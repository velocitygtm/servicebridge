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flyntjr/Documents/GitHub/servicebridge/docs/"/>
    </mc:Choice>
  </mc:AlternateContent>
  <xr:revisionPtr revIDLastSave="0" documentId="8_{9ACDAD6E-21EB-1147-824C-573F1BCCF6CE}" xr6:coauthVersionLast="47" xr6:coauthVersionMax="47" xr10:uidLastSave="{00000000-0000-0000-0000-000000000000}"/>
  <bookViews>
    <workbookView xWindow="0" yWindow="600" windowWidth="27660" windowHeight="8200" tabRatio="500" activeTab="6" xr2:uid="{00000000-000D-0000-FFFF-FFFF00000000}"/>
  </bookViews>
  <sheets>
    <sheet name="README" sheetId="1" r:id="rId1"/>
    <sheet name="Data Priority Legend" sheetId="2" r:id="rId2"/>
    <sheet name="01 Neighborly" sheetId="3" r:id="rId3"/>
    <sheet name="02 Authority Brands" sheetId="4" r:id="rId4"/>
    <sheet name="03 Empower Brands" sheetId="5" r:id="rId5"/>
    <sheet name="04 Premium Service Brands" sheetId="6" r:id="rId6"/>
    <sheet name="05 HomeFront Brands" sheetId="7" r:id="rId7"/>
    <sheet name="06 Five Star Franchising" sheetId="8" r:id="rId8"/>
    <sheet name="07 ResiBrands" sheetId="9" r:id="rId9"/>
    <sheet name="08 Evive Brands" sheetId="10" r:id="rId10"/>
    <sheet name="09 Threshold Brands" sheetId="11" r:id="rId11"/>
    <sheet name="10 BELFOR Franchise Group" sheetId="12" r:id="rId12"/>
    <sheet name="11 Rollins Inc" sheetId="13" r:id="rId13"/>
    <sheet name="Completion Summar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4" l="1"/>
  <c r="F15" i="14" s="1"/>
  <c r="D14" i="14"/>
  <c r="F14" i="14" s="1"/>
  <c r="D13" i="14"/>
  <c r="F13" i="14" s="1"/>
  <c r="D12" i="14"/>
  <c r="F12" i="14" s="1"/>
  <c r="D11" i="14"/>
  <c r="F11" i="14" s="1"/>
  <c r="D10" i="14"/>
  <c r="F10" i="14" s="1"/>
  <c r="D9" i="14"/>
  <c r="F9" i="14" s="1"/>
  <c r="D8" i="14"/>
  <c r="F8" i="14" s="1"/>
  <c r="D7" i="14"/>
  <c r="F7" i="14" s="1"/>
  <c r="D6" i="14"/>
  <c r="F6" i="14" s="1"/>
  <c r="D5" i="14"/>
  <c r="D16" i="14" s="1"/>
  <c r="F16" i="14" s="1"/>
  <c r="F5" i="14" l="1"/>
</calcChain>
</file>

<file path=xl/sharedStrings.xml><?xml version="1.0" encoding="utf-8"?>
<sst xmlns="http://schemas.openxmlformats.org/spreadsheetml/2006/main" count="1306" uniqueCount="247">
  <si>
    <t>PITCHBOOK DATA REQUEST  ·  11 Franchisors  ·  For Accel-KKR</t>
  </si>
  <si>
    <t>Velocity GTM Co  ·  Prepared for GPSI/ServiceBridge  ·  April 21, 2026</t>
  </si>
  <si>
    <t>PURPOSE</t>
  </si>
  <si>
    <t>This spreadsheet captures the specific data points Velocity GTM needs to build the PE narrative and franchisor pitch for each of our 11 Track 1 targets. It exists as a backup in case direct PitchBook access isn't granted — Accel-KKR can fill in the gaps directly.
One tab per franchisor (11 total). Each tab uses the same structure so data fills consistently.
Green-shaded cells are pre-populated with what we already know from public sources.
White cells are gaps we need Accel-KKR to fill.</t>
  </si>
  <si>
    <t>HOW TO FILL</t>
  </si>
  <si>
    <t>Priority column indicates what matters most:
  P1 (red) = MUST-HAVE. Core to the PE narrative letter or Insight Engine ROI calculation.
  P2 (amber) = SHOULD-HAVE. Strengthens the franchisor-specific pitch.
  P3 (grey) = NICE-TO-HAVE. Context or supporting detail.
If a data point is unknown or unavailable, enter "NOT AVAILABLE" so we can distinguish gaps from blanks. If a data point has a range, enter the range (e.g., "$15M–$20M").
Source citations are welcomed but not required — if you paste from PitchBook, we'll trust the data.</t>
  </si>
  <si>
    <t>USE CASES</t>
  </si>
  <si>
    <t>The data feeds three deliverables:
  1. PE narrative letters to each franchisor's PE backer — ownership, hold period, fund dynamics
  2. Franchisor-specific pitch decks — unit economics, growth trajectory, FSM landscape
  3. Insight Engine ROI model — tech counts, revenue, EBITDA, exit multiples for value-creation math</t>
  </si>
  <si>
    <t>TIMING</t>
  </si>
  <si>
    <t>Ideally filled by end of April 2026. Data informs the Week 3–4 deliverables (PE narrative letters + franchisor pitch materials) in the ServiceBridge GTM plan.</t>
  </si>
  <si>
    <t>TAB INDEX</t>
  </si>
  <si>
    <t>Priority 1 (Active Focus)</t>
  </si>
  <si>
    <t>Neighborly, Authority, Empower, PSB, HomeFront, Five Star, ResiBrands</t>
  </si>
  <si>
    <t>Priority 2 (Existing Footprint)</t>
  </si>
  <si>
    <t>Evive, Threshold, BELFOR</t>
  </si>
  <si>
    <t>Priority 3 (Strategic Account)</t>
  </si>
  <si>
    <t>Rollins (public company)</t>
  </si>
  <si>
    <t>DATA PRIORITY LEGEND  ·  What we need and why</t>
  </si>
  <si>
    <t>CATEGORY</t>
  </si>
  <si>
    <t>DATA POINT</t>
  </si>
  <si>
    <t>PRIORITY</t>
  </si>
  <si>
    <t>WHY IT MATTERS</t>
  </si>
  <si>
    <t>USE CASE</t>
  </si>
  <si>
    <t>A. Company Overview</t>
  </si>
  <si>
    <t>Legal entity / parent structure</t>
  </si>
  <si>
    <t>P1</t>
  </si>
  <si>
    <t>Clarifies who actually signs a mandate — franchisor vs. parent vs. portco.</t>
  </si>
  <si>
    <t>PE letter + pitch</t>
  </si>
  <si>
    <t>HQ location</t>
  </si>
  <si>
    <t>P3</t>
  </si>
  <si>
    <t>Context for meeting logistics, regional alignment.</t>
  </si>
  <si>
    <t>Pitch context</t>
  </si>
  <si>
    <t>Year founded / acquired</t>
  </si>
  <si>
    <t>P2</t>
  </si>
  <si>
    <t>Maturity signal. Recent platform = still shaping, longer runway.</t>
  </si>
  <si>
    <t>PE letter</t>
  </si>
  <si>
    <t>Number of brands in portfolio</t>
  </si>
  <si>
    <t>Confirms/validates our current count. Drives Insight Engine territory math.</t>
  </si>
  <si>
    <t>Insight Engine</t>
  </si>
  <si>
    <t>Number of franchisees (total units)</t>
  </si>
  <si>
    <t>Most-critical metric. Drives addressable market and ROI model.</t>
  </si>
  <si>
    <t>B. Ownership</t>
  </si>
  <si>
    <t>Current majority owner</t>
  </si>
  <si>
    <t>Confirms PE firm (critical for warm-intro path identification).</t>
  </si>
  <si>
    <t>Minority investors / co-investors</t>
  </si>
  <si>
    <t>Board dynamics. BCI + Apax co-invest at Authority is a known pattern.</t>
  </si>
  <si>
    <t>Acquisition date / initial investment</t>
  </si>
  <si>
    <t>Establishes hold period — Year 3–5 is our prime window for mandate conversations.</t>
  </si>
  <si>
    <t>PE letter timing</t>
  </si>
  <si>
    <t>Fund vintage / fund size</t>
  </si>
  <si>
    <t>Fund dynamics — end-of-life funds push for exits; vintage funds push for growth.</t>
  </si>
  <si>
    <t>PE letter framing</t>
  </si>
  <si>
    <t>Anticipated exit window</t>
  </si>
  <si>
    <t>If PE is 1–2 years from exit, the mandate conversation is time-sensitive.</t>
  </si>
  <si>
    <t>Timing urgency</t>
  </si>
  <si>
    <t>Prior ownership history</t>
  </si>
  <si>
    <t>Narrative color — turnaround story, roll-up, spin-off, etc.</t>
  </si>
  <si>
    <t>Pitch color</t>
  </si>
  <si>
    <t>C. Financials</t>
  </si>
  <si>
    <t>Systemwide sales ($)</t>
  </si>
  <si>
    <t>The headline economic number. Drives all downstream math.</t>
  </si>
  <si>
    <t>Insight Engine + PE letter</t>
  </si>
  <si>
    <t>Royalty + marketing fund revenue</t>
  </si>
  <si>
    <t>Franchisor P&amp;L proxy. Connects to what SB mandate economics look like.</t>
  </si>
  <si>
    <t>SOW pricing</t>
  </si>
  <si>
    <t>EBITDA (last 12 months)</t>
  </si>
  <si>
    <t>Required for exit multiple math. $1 of franchisee EBITDA = $10–12 at exit.</t>
  </si>
  <si>
    <t>EBITDA margin %</t>
  </si>
  <si>
    <t>Operational leverage signal. Compares across portfolio.</t>
  </si>
  <si>
    <t>Revenue growth rate (YoY)</t>
  </si>
  <si>
    <t>Platform momentum — key to PE narrative framing (growth story vs. turnaround).</t>
  </si>
  <si>
    <t>Most recent valuation / enterprise value</t>
  </si>
  <si>
    <t>Benchmarks current exit expectation vs. incremental platform upside.</t>
  </si>
  <si>
    <t>D. Unit Economics</t>
  </si>
  <si>
    <t>Average unit AUV</t>
  </si>
  <si>
    <t>Per-unit economics. Feeds ROI per franchisee in Insight Engine.</t>
  </si>
  <si>
    <t>Average unit EBITDA</t>
  </si>
  <si>
    <t>Critical for franchisee-level ROI pitch.</t>
  </si>
  <si>
    <t>Average franchisee tenure</t>
  </si>
  <si>
    <t>Maturity signal — newer networks still establishing best practices = FSM opportunity.</t>
  </si>
  <si>
    <t>Multi-unit ownership %</t>
  </si>
  <si>
    <t>Multi-unit operators have scale needs that SB specifically solves.</t>
  </si>
  <si>
    <t>ICP mapping</t>
  </si>
  <si>
    <t>Average franchise fee / initial investment</t>
  </si>
  <si>
    <t>Franchise sales context. Barrier to entry signal.</t>
  </si>
  <si>
    <t>E. Growth</t>
  </si>
  <si>
    <t>Number of units added (last 3 years)</t>
  </si>
  <si>
    <t>Growth trajectory signal. Fast-growing = more greenfield opportunity.</t>
  </si>
  <si>
    <t>Number of units closed (last 3 years)</t>
  </si>
  <si>
    <t>Network health. High closures signal retention issues.</t>
  </si>
  <si>
    <t>Planned unit openings (next 2 years)</t>
  </si>
  <si>
    <t>Forward pipeline. Informs when new SB deployments would happen.</t>
  </si>
  <si>
    <t>Geographic concentration (top 5 states)</t>
  </si>
  <si>
    <t>Fleet + territorial routing context.</t>
  </si>
  <si>
    <t>GPSI overlap check</t>
  </si>
  <si>
    <t>International footprint</t>
  </si>
  <si>
    <t>Scope awareness — Neighborly has Canada ops, for example.</t>
  </si>
  <si>
    <t>Scope framing</t>
  </si>
  <si>
    <t>F. Technology</t>
  </si>
  <si>
    <t>Current FSM platform(s) used across network</t>
  </si>
  <si>
    <t>Displacement vs. greenfield determination. Single most important data point.</t>
  </si>
  <si>
    <t>Campaign positioning</t>
  </si>
  <si>
    <t>CRM platform used</t>
  </si>
  <si>
    <t>Integration complexity signal.</t>
  </si>
  <si>
    <t>Integration pitch</t>
  </si>
  <si>
    <t>Telematics / fleet tracking provider</t>
  </si>
  <si>
    <t>GPSI customer overlap check. Hard conflict with Smart Fleet USA (Neighborly) already known.</t>
  </si>
  <si>
    <t>GPSI conflict check</t>
  </si>
  <si>
    <t>Payment processing / financing provider</t>
  </si>
  <si>
    <t>GreenSky mentioned by Andrea — who offers franchisee financing?</t>
  </si>
  <si>
    <t>Revenue lever</t>
  </si>
  <si>
    <t>Franchisor technology mandate vs. franchisee choice</t>
  </si>
  <si>
    <t>Top-down mandate vs. bottom-up adoption — changes the sales motion.</t>
  </si>
  <si>
    <t>GTM motion</t>
  </si>
  <si>
    <t>G. Narrative</t>
  </si>
  <si>
    <t>Recent press / announcements (last 12 months)</t>
  </si>
  <si>
    <t>Warm-outreach hooks. CEO transitions, fund closings, new brand acquisitions.</t>
  </si>
  <si>
    <t>Outreach color</t>
  </si>
  <si>
    <t>Strategic priorities stated by leadership</t>
  </si>
  <si>
    <t>Align ServiceBridge pitch to what CEO is already focused on.</t>
  </si>
  <si>
    <t>Pitch alignment</t>
  </si>
  <si>
    <t>Recent partnerships / vendor relationships</t>
  </si>
  <si>
    <t>ServiceTitan @ Authority = known. What other vendors are embedded?</t>
  </si>
  <si>
    <t>Competitive intel</t>
  </si>
  <si>
    <t>Known challenges / public issues</t>
  </si>
  <si>
    <t>Retention problems, franchisee disputes — all create entry points.</t>
  </si>
  <si>
    <t>Wedge identification</t>
  </si>
  <si>
    <t>Awards / industry rankings</t>
  </si>
  <si>
    <t>Credibility framing for the pitch letter.</t>
  </si>
  <si>
    <t>Neighborly  ·  Priority 1 · Active Focus</t>
  </si>
  <si>
    <t>Green cells = pre-populated (known)  ·  White cells = need Accel-KKR to fill  ·  If unknown, enter "NOT AVAILABLE"</t>
  </si>
  <si>
    <t>VALUE / DATA</t>
  </si>
  <si>
    <t>SOURCE / NOTES</t>
  </si>
  <si>
    <t>Neighborly (parent), Dwyer Group legacy</t>
  </si>
  <si>
    <t>Waco, Texas</t>
  </si>
  <si>
    <t>1980s origins; KKR acquired 2021</t>
  </si>
  <si>
    <t>25+</t>
  </si>
  <si>
    <t>5,500+ franchises</t>
  </si>
  <si>
    <t>B. Ownership &amp; PE Structure</t>
  </si>
  <si>
    <t>KKR ($349B+ AUM)</t>
  </si>
  <si>
    <t>2021</t>
  </si>
  <si>
    <t>C. Financial Performance</t>
  </si>
  <si>
    <t>D. Franchisee Unit Economics</t>
  </si>
  <si>
    <t>E. Growth &amp; Territory Data</t>
  </si>
  <si>
    <t>F. Technology Stack</t>
  </si>
  <si>
    <t>Mix — ServiceTitan partial, franchisee choice for others</t>
  </si>
  <si>
    <t>Smart Fleet USA / Azuga (CONFIRMED — hard GPSI conflict)</t>
  </si>
  <si>
    <t>G. Narrative Inputs</t>
  </si>
  <si>
    <t>Mike Davis CEO promoted 2024; Gagan Sinha CIO Sept 2025 from Bloomin' Brands; Ben Lamb CFO May 2025. Mike Bidwell founder passed Sept 2023 (sensitive).</t>
  </si>
  <si>
    <t>Authority Brands  ·  Priority 1 · Active Focus</t>
  </si>
  <si>
    <t>Authority Brands, Inc.</t>
  </si>
  <si>
    <t>Columbia, Maryland</t>
  </si>
  <si>
    <t>2018 (platform formation)</t>
  </si>
  <si>
    <t>14</t>
  </si>
  <si>
    <t>1,700+ units</t>
  </si>
  <si>
    <t>Apax Partners</t>
  </si>
  <si>
    <t>British Columbia Investment Management Corporation (BCI)</t>
  </si>
  <si>
    <t>2021 (Apax acquired from Thoma Bravo)</t>
  </si>
  <si>
    <t>ServiceTitan (active partnership announced 2024)</t>
  </si>
  <si>
    <t>Jay Caiafa CEO Aug 2025 (ex-IHG COO Americas); Josh Greear CFO Sept 2025. 246 new franchisees added in 2025. Systemwide sales ~$2B.</t>
  </si>
  <si>
    <t>ServiceTitan partnership 2024</t>
  </si>
  <si>
    <t>Empower Brands  ·  Priority 1 · Active Focus</t>
  </si>
  <si>
    <t>Empower Brands</t>
  </si>
  <si>
    <t>Virginia Beach, Virginia</t>
  </si>
  <si>
    <t>16</t>
  </si>
  <si>
    <t>~11,755 units (incl. JAN-PRO 10,000)</t>
  </si>
  <si>
    <t>MidOcean Partners</t>
  </si>
  <si>
    <t>2022</t>
  </si>
  <si>
    <t>R. Scott Sutton CDO moved from Threshold Aug 2025.</t>
  </si>
  <si>
    <t>Premium Service Brands  ·  Priority 1 · Active Focus</t>
  </si>
  <si>
    <t>Premium Service Brands</t>
  </si>
  <si>
    <t>Charlottesville, Virginia</t>
  </si>
  <si>
    <t>9</t>
  </si>
  <si>
    <t>~595 units</t>
  </si>
  <si>
    <t>Susquehanna Private Capital (needs verification — RiverGlade also cited)</t>
  </si>
  <si>
    <t>Paul Flick founder/CEO engaged. Roxanne Conrad COO active.</t>
  </si>
  <si>
    <t>HomeFront Brands  ·  Priority 1 · Active Focus</t>
  </si>
  <si>
    <t>HomeFront Brands</t>
  </si>
  <si>
    <t>Charlotte, North Carolina</t>
  </si>
  <si>
    <t>2022 (platform)</t>
  </si>
  <si>
    <t>6</t>
  </si>
  <si>
    <t>~185 units</t>
  </si>
  <si>
    <t>Dudan Group (family office) / Trilantic Capital Partners (structure to verify)</t>
  </si>
  <si>
    <t>Jeff Dudan CEO active (Forbes contributor, podcaster). Zack Dudan CGO.</t>
  </si>
  <si>
    <t>Five Star Franchising  ·  Priority 1 · Active Focus</t>
  </si>
  <si>
    <t>Five Star Franchising</t>
  </si>
  <si>
    <t>Orem, Utah</t>
  </si>
  <si>
    <t>4 (may include Gotcha Covered — needs verification)</t>
  </si>
  <si>
    <t>~580 units</t>
  </si>
  <si>
    <t>Princeton Equity Group (franchise-focused PE); conflicting sources cite MPK Equity and Trive Capital — needs confirmation</t>
  </si>
  <si>
    <t>Scott Abbott co-founder/CEO active. Chad Jones co-founder/COO. Important: 1-800-WATERDAMAGE is actually BELFOR-owned (portfolio confusion to clarify).</t>
  </si>
  <si>
    <t>ResiBrands  ·  Priority 1 · Active Focus</t>
  </si>
  <si>
    <t>ResiBrands</t>
  </si>
  <si>
    <t>Austin, Texas</t>
  </si>
  <si>
    <t>5</t>
  </si>
  <si>
    <t>~230 units</t>
  </si>
  <si>
    <t>Founder-led / Trivest Partners / Codie Sanchez angel (structure to verify)</t>
  </si>
  <si>
    <t>Steven Montgomery founder/CEO. Allan Alarcon co-founder. Codie Sanchez IFA Main Stage speaker Feb 2026.</t>
  </si>
  <si>
    <t>Evive Brands  ·  Priority 2 · Existing Footprint</t>
  </si>
  <si>
    <t>Evive Brands</t>
  </si>
  <si>
    <t>Cleveland, Ohio (Riverside HQ)</t>
  </si>
  <si>
    <t>2023 (platform formation via Riverside roll-up)</t>
  </si>
  <si>
    <t>7</t>
  </si>
  <si>
    <t>1,100+ territories</t>
  </si>
  <si>
    <t>The Riverside Company ($13B+ AUM)</t>
  </si>
  <si>
    <t>ServiceBridge (43% Brothers Gutters penetration, growing)</t>
  </si>
  <si>
    <t>Ryan Parsons CEO (founded Brothers Gutters). Maid Brigade acquired 2024. Brothers Gutters under new SB contract (confirmed by Andrea Apr 2026).</t>
  </si>
  <si>
    <t>Threshold Brands  ·  Priority 2 · Existing Footprint</t>
  </si>
  <si>
    <t>Threshold Brands</t>
  </si>
  <si>
    <t>10+</t>
  </si>
  <si>
    <t>~1,000 territories</t>
  </si>
  <si>
    <t>ServiceBridge (75% USA Insulation, at-risk over next year)</t>
  </si>
  <si>
    <t>Ted DeMarino CEO (replaced Hagan Kappler 2024). Billy Newby CFO. Multiple Threshold departures 2025 (Kappler, Scott, Pitrone, Diiorio). USA Insulation off-loading SB over next year (per Andrea Apr 2026).</t>
  </si>
  <si>
    <t>USA Insulation transitioning off SB — franchisor-level decision (per Andrea Apr 21, 2026)</t>
  </si>
  <si>
    <t>BELFOR Franchise Group  ·  Priority 2 · Existing Footprint</t>
  </si>
  <si>
    <t>BELFOR Franchise Group (subsidiary of BELFOR Holdings)</t>
  </si>
  <si>
    <t>Birmingham, Michigan</t>
  </si>
  <si>
    <t>Franchise Group formed ~2010; American Securities acquired BELFOR Holdings 2019</t>
  </si>
  <si>
    <t>20+</t>
  </si>
  <si>
    <t>9,250 technicians systemwide</t>
  </si>
  <si>
    <t>American Securities (~$10B AUM)</t>
  </si>
  <si>
    <t>2019</t>
  </si>
  <si>
    <t>ServiceBridge de facto standard in HOODZ/DUCTZ (94% each). No franchisor-level mandate.</t>
  </si>
  <si>
    <t>Rusty Amarante President BFG; Sheldon Yellen CEO Holdings; Doug Smith SVP Franchise Dev; Beth Toenies VP Franchise Dev. Dan Tarantin reported left (verify).</t>
  </si>
  <si>
    <t>Rollins Inc  ·  Priority 3 · Strategic Account</t>
  </si>
  <si>
    <t>Rollins, Inc. (publicly traded)</t>
  </si>
  <si>
    <t>Atlanta, Georgia</t>
  </si>
  <si>
    <t>1948 (Rollins founded); public since 1968</t>
  </si>
  <si>
    <t>60+</t>
  </si>
  <si>
    <t>Franchise: ~85 Critter Control territories. Corporate-operated: Orkin, HomeTeam, Western, Trutech, Saela/Romex/Fox Pest</t>
  </si>
  <si>
    <t>Public (NYSE: ROL) — Rollins family retains significant ownership</t>
  </si>
  <si>
    <t>10-K disclosed — see most recent annual report</t>
  </si>
  <si>
    <t>~$3.4B market cap</t>
  </si>
  <si>
    <t>ServiceBridge de facto in Critter Control (156% multi-unit penetration). Corporate brands use enterprise systems.</t>
  </si>
  <si>
    <t>Jerry E. Gahlhoff Jr. President &amp; CEO. Kenneth D. Krause CFO. Thomas D. Tesh CCX Officer (promoted 2026). Stanford C. Phillips President U.S. Brands.</t>
  </si>
  <si>
    <t>COMPLETION SUMMARY  ·  Track data fill progress</t>
  </si>
  <si>
    <t>Counts populated vs. total data points per franchisor. Updates as Accel-KKR fills the tabs.</t>
  </si>
  <si>
    <t>#</t>
  </si>
  <si>
    <t>FRANCHISOR</t>
  </si>
  <si>
    <t>FIELDS POPULATED</t>
  </si>
  <si>
    <t>TOTAL FIELDS</t>
  </si>
  <si>
    <t>% COMPLETE</t>
  </si>
  <si>
    <t>Neighborly</t>
  </si>
  <si>
    <t>Authority Brands</t>
  </si>
  <si>
    <t>BELFOR Franchise Group</t>
  </si>
  <si>
    <t>Rollins Inc</t>
  </si>
  <si>
    <t>TOTAL (all 11 franchisors)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</si>
</sst>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6B7280"/>
      <name val="Arial"/>
      <family val="2"/>
    </font>
    <font>
      <b/>
      <sz val="12"/>
      <color rgb="FF1A2B3C"/>
      <name val="Arial"/>
      <family val="2"/>
    </font>
    <font>
      <sz val="10"/>
      <color rgb="FF000000"/>
      <name val="Arial"/>
      <family val="2"/>
    </font>
    <font>
      <b/>
      <sz val="10"/>
      <color rgb="FF1A2B3C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2B3C"/>
      <name val="Arial"/>
      <family val="2"/>
    </font>
    <font>
      <b/>
      <sz val="9"/>
      <color rgb="FFA32D2D"/>
      <name val="Arial"/>
      <family val="2"/>
    </font>
    <font>
      <sz val="9"/>
      <color rgb="FF000000"/>
      <name val="Arial"/>
      <family val="2"/>
    </font>
    <font>
      <i/>
      <sz val="9"/>
      <color rgb="FF185FA5"/>
      <name val="Arial"/>
      <family val="2"/>
    </font>
    <font>
      <sz val="9"/>
      <color rgb="FF6B7280"/>
      <name val="Arial"/>
      <family val="2"/>
    </font>
    <font>
      <b/>
      <sz val="9"/>
      <color rgb="FFB8860B"/>
      <name val="Arial"/>
      <family val="2"/>
    </font>
    <font>
      <i/>
      <sz val="9"/>
      <color rgb="FF6B7280"/>
      <name val="Arial"/>
      <family val="2"/>
    </font>
    <font>
      <b/>
      <sz val="11"/>
      <color rgb="FFFFFFFF"/>
      <name val="Arial"/>
      <family val="2"/>
    </font>
    <font>
      <b/>
      <sz val="11"/>
      <color rgb="FF185FA5"/>
      <name val="Arial"/>
      <family val="2"/>
    </font>
    <font>
      <sz val="10"/>
      <color rgb="FF6B7280"/>
      <name val="Arial"/>
      <family val="2"/>
    </font>
    <font>
      <b/>
      <sz val="11"/>
      <color rgb="FF15803D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A2B3C"/>
        <bgColor rgb="FF003366"/>
      </patternFill>
    </fill>
    <fill>
      <patternFill patternType="solid">
        <fgColor rgb="FFE4EDF7"/>
        <bgColor rgb="FFF5F7FA"/>
      </patternFill>
    </fill>
    <fill>
      <patternFill patternType="solid">
        <fgColor rgb="FFD1FAE5"/>
        <bgColor rgb="FFE4EDF7"/>
      </patternFill>
    </fill>
    <fill>
      <patternFill patternType="solid">
        <fgColor rgb="FFFEF9E7"/>
        <bgColor rgb="FFFEF2F2"/>
      </patternFill>
    </fill>
    <fill>
      <patternFill patternType="solid">
        <fgColor rgb="FFF5F7FA"/>
        <bgColor rgb="FFFEF2F2"/>
      </patternFill>
    </fill>
    <fill>
      <patternFill patternType="solid">
        <fgColor rgb="FF185FA5"/>
        <bgColor rgb="FF008080"/>
      </patternFill>
    </fill>
    <fill>
      <patternFill patternType="solid">
        <fgColor rgb="FFFEF2F2"/>
        <bgColor rgb="FFFEF9E7"/>
      </patternFill>
    </fill>
    <fill>
      <patternFill patternType="solid">
        <fgColor rgb="FFA32D2D"/>
        <bgColor rgb="FF993366"/>
      </patternFill>
    </fill>
    <fill>
      <patternFill patternType="solid">
        <fgColor rgb="FFFFFFFF"/>
        <bgColor rgb="FFF5F7FA"/>
      </patternFill>
    </fill>
    <fill>
      <patternFill patternType="solid">
        <fgColor rgb="FF15803D"/>
        <bgColor rgb="FF008080"/>
      </patternFill>
    </fill>
    <fill>
      <patternFill patternType="solid">
        <fgColor rgb="FFB8860B"/>
        <bgColor rgb="FFFF9900"/>
      </patternFill>
    </fill>
  </fills>
  <borders count="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1"/>
    </xf>
    <xf numFmtId="0" fontId="12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6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10" borderId="1" xfId="0" applyFont="1" applyFill="1" applyBorder="1" applyAlignment="1">
      <alignment horizontal="left" vertical="center" wrapText="1" indent="1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19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EF9E7"/>
      <rgbColor rgb="FFE4EDF7"/>
      <rgbColor rgb="FF660066"/>
      <rgbColor rgb="FFFF8080"/>
      <rgbColor rgb="FF185FA5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1FAE5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1A2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2" customWidth="1"/>
    <col min="2" max="5" width="18" customWidth="1"/>
    <col min="6" max="6" width="20" customWidth="1"/>
  </cols>
  <sheetData>
    <row r="1" spans="1:6" ht="36" customHeight="1" x14ac:dyDescent="0.2">
      <c r="A1" s="33" t="s">
        <v>0</v>
      </c>
      <c r="B1" s="33"/>
      <c r="C1" s="33"/>
      <c r="D1" s="33"/>
      <c r="E1" s="33"/>
      <c r="F1" s="33"/>
    </row>
    <row r="2" spans="1:6" x14ac:dyDescent="0.2">
      <c r="A2" s="34" t="s">
        <v>1</v>
      </c>
      <c r="B2" s="34"/>
      <c r="C2" s="34"/>
      <c r="D2" s="34"/>
      <c r="E2" s="34"/>
      <c r="F2" s="34"/>
    </row>
    <row r="4" spans="1:6" ht="24" customHeight="1" x14ac:dyDescent="0.2">
      <c r="A4" s="28" t="s">
        <v>2</v>
      </c>
      <c r="B4" s="28"/>
      <c r="C4" s="28"/>
      <c r="D4" s="28"/>
      <c r="E4" s="28"/>
      <c r="F4" s="28"/>
    </row>
    <row r="5" spans="1:6" ht="109.5" customHeight="1" x14ac:dyDescent="0.2">
      <c r="A5" s="32" t="s">
        <v>3</v>
      </c>
      <c r="B5" s="32"/>
      <c r="C5" s="32"/>
      <c r="D5" s="32"/>
      <c r="E5" s="32"/>
      <c r="F5" s="32"/>
    </row>
    <row r="7" spans="1:6" ht="24" customHeight="1" x14ac:dyDescent="0.2">
      <c r="A7" s="28" t="s">
        <v>4</v>
      </c>
      <c r="B7" s="28"/>
      <c r="C7" s="28"/>
      <c r="D7" s="28"/>
      <c r="E7" s="28"/>
      <c r="F7" s="28"/>
    </row>
    <row r="8" spans="1:6" ht="120" customHeight="1" x14ac:dyDescent="0.2">
      <c r="A8" s="32" t="s">
        <v>5</v>
      </c>
      <c r="B8" s="32"/>
      <c r="C8" s="32"/>
      <c r="D8" s="32"/>
      <c r="E8" s="32"/>
      <c r="F8" s="32"/>
    </row>
    <row r="10" spans="1:6" ht="24" customHeight="1" x14ac:dyDescent="0.2">
      <c r="A10" s="28" t="s">
        <v>6</v>
      </c>
      <c r="B10" s="28"/>
      <c r="C10" s="28"/>
      <c r="D10" s="28"/>
      <c r="E10" s="28"/>
      <c r="F10" s="28"/>
    </row>
    <row r="11" spans="1:6" ht="79.5" customHeight="1" x14ac:dyDescent="0.2">
      <c r="A11" s="32" t="s">
        <v>7</v>
      </c>
      <c r="B11" s="32"/>
      <c r="C11" s="32"/>
      <c r="D11" s="32"/>
      <c r="E11" s="32"/>
      <c r="F11" s="32"/>
    </row>
    <row r="13" spans="1:6" ht="24" customHeight="1" x14ac:dyDescent="0.2">
      <c r="A13" s="28" t="s">
        <v>8</v>
      </c>
      <c r="B13" s="28"/>
      <c r="C13" s="28"/>
      <c r="D13" s="28"/>
      <c r="E13" s="28"/>
      <c r="F13" s="28"/>
    </row>
    <row r="14" spans="1:6" ht="49.5" customHeight="1" x14ac:dyDescent="0.2">
      <c r="A14" s="32" t="s">
        <v>9</v>
      </c>
      <c r="B14" s="32"/>
      <c r="C14" s="32"/>
      <c r="D14" s="32"/>
      <c r="E14" s="32"/>
      <c r="F14" s="32"/>
    </row>
    <row r="16" spans="1:6" ht="24" customHeight="1" x14ac:dyDescent="0.2">
      <c r="A16" s="28" t="s">
        <v>10</v>
      </c>
      <c r="B16" s="28"/>
      <c r="C16" s="28"/>
      <c r="D16" s="28"/>
      <c r="E16" s="28"/>
      <c r="F16" s="28"/>
    </row>
    <row r="17" spans="1:6" x14ac:dyDescent="0.2">
      <c r="A17" s="1" t="s">
        <v>11</v>
      </c>
      <c r="B17" s="29" t="s">
        <v>12</v>
      </c>
      <c r="C17" s="29"/>
      <c r="D17" s="29"/>
      <c r="E17" s="29"/>
      <c r="F17" s="29"/>
    </row>
    <row r="18" spans="1:6" x14ac:dyDescent="0.2">
      <c r="A18" s="2" t="s">
        <v>13</v>
      </c>
      <c r="B18" s="30" t="s">
        <v>14</v>
      </c>
      <c r="C18" s="30"/>
      <c r="D18" s="30"/>
      <c r="E18" s="30"/>
      <c r="F18" s="30"/>
    </row>
    <row r="19" spans="1:6" x14ac:dyDescent="0.2">
      <c r="A19" s="3" t="s">
        <v>15</v>
      </c>
      <c r="B19" s="31" t="s">
        <v>16</v>
      </c>
      <c r="C19" s="31"/>
      <c r="D19" s="31"/>
      <c r="E19" s="31"/>
      <c r="F19" s="31"/>
    </row>
  </sheetData>
  <mergeCells count="14">
    <mergeCell ref="A1:F1"/>
    <mergeCell ref="A2:F2"/>
    <mergeCell ref="A4:F4"/>
    <mergeCell ref="A5:F5"/>
    <mergeCell ref="A7:F7"/>
    <mergeCell ref="A16:F16"/>
    <mergeCell ref="B17:F17"/>
    <mergeCell ref="B18:F18"/>
    <mergeCell ref="B19:F19"/>
    <mergeCell ref="A8:F8"/>
    <mergeCell ref="A10:F10"/>
    <mergeCell ref="A11:F11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40" customWidth="1"/>
    <col min="3" max="3" width="12" customWidth="1"/>
    <col min="4" max="4" width="50" customWidth="1"/>
    <col min="5" max="5" width="30" customWidth="1"/>
  </cols>
  <sheetData>
    <row r="1" spans="1:5" ht="31.5" customHeight="1" x14ac:dyDescent="0.2">
      <c r="A1" s="35" t="s">
        <v>17</v>
      </c>
      <c r="B1" s="35"/>
      <c r="C1" s="35"/>
      <c r="D1" s="35"/>
      <c r="E1" s="35"/>
    </row>
    <row r="3" spans="1:5" ht="36" customHeight="1" x14ac:dyDescent="0.2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 ht="36" customHeight="1" x14ac:dyDescent="0.2">
      <c r="A4" s="5" t="s">
        <v>23</v>
      </c>
      <c r="B4" s="6" t="s">
        <v>24</v>
      </c>
      <c r="C4" s="7" t="s">
        <v>25</v>
      </c>
      <c r="D4" s="8" t="s">
        <v>26</v>
      </c>
      <c r="E4" s="9" t="s">
        <v>27</v>
      </c>
    </row>
    <row r="5" spans="1:5" ht="36" customHeight="1" x14ac:dyDescent="0.2">
      <c r="A5" s="5" t="s">
        <v>23</v>
      </c>
      <c r="B5" s="6" t="s">
        <v>28</v>
      </c>
      <c r="C5" s="10" t="s">
        <v>29</v>
      </c>
      <c r="D5" s="8" t="s">
        <v>30</v>
      </c>
      <c r="E5" s="9" t="s">
        <v>31</v>
      </c>
    </row>
    <row r="6" spans="1:5" ht="36" customHeight="1" x14ac:dyDescent="0.2">
      <c r="A6" s="5" t="s">
        <v>23</v>
      </c>
      <c r="B6" s="6" t="s">
        <v>32</v>
      </c>
      <c r="C6" s="11" t="s">
        <v>33</v>
      </c>
      <c r="D6" s="8" t="s">
        <v>34</v>
      </c>
      <c r="E6" s="9" t="s">
        <v>35</v>
      </c>
    </row>
    <row r="7" spans="1:5" ht="36" customHeight="1" x14ac:dyDescent="0.2">
      <c r="A7" s="5" t="s">
        <v>23</v>
      </c>
      <c r="B7" s="6" t="s">
        <v>36</v>
      </c>
      <c r="C7" s="7" t="s">
        <v>25</v>
      </c>
      <c r="D7" s="8" t="s">
        <v>37</v>
      </c>
      <c r="E7" s="9" t="s">
        <v>38</v>
      </c>
    </row>
    <row r="8" spans="1:5" ht="36" customHeight="1" x14ac:dyDescent="0.2">
      <c r="A8" s="5" t="s">
        <v>23</v>
      </c>
      <c r="B8" s="6" t="s">
        <v>39</v>
      </c>
      <c r="C8" s="7" t="s">
        <v>25</v>
      </c>
      <c r="D8" s="8" t="s">
        <v>40</v>
      </c>
      <c r="E8" s="9" t="s">
        <v>38</v>
      </c>
    </row>
    <row r="9" spans="1:5" ht="36" customHeight="1" x14ac:dyDescent="0.2">
      <c r="A9" s="5" t="s">
        <v>41</v>
      </c>
      <c r="B9" s="6" t="s">
        <v>42</v>
      </c>
      <c r="C9" s="7" t="s">
        <v>25</v>
      </c>
      <c r="D9" s="8" t="s">
        <v>43</v>
      </c>
      <c r="E9" s="9" t="s">
        <v>35</v>
      </c>
    </row>
    <row r="10" spans="1:5" ht="36" customHeight="1" x14ac:dyDescent="0.2">
      <c r="A10" s="5" t="s">
        <v>41</v>
      </c>
      <c r="B10" s="6" t="s">
        <v>44</v>
      </c>
      <c r="C10" s="11" t="s">
        <v>33</v>
      </c>
      <c r="D10" s="8" t="s">
        <v>45</v>
      </c>
      <c r="E10" s="9" t="s">
        <v>35</v>
      </c>
    </row>
    <row r="11" spans="1:5" ht="36" customHeight="1" x14ac:dyDescent="0.2">
      <c r="A11" s="5" t="s">
        <v>41</v>
      </c>
      <c r="B11" s="6" t="s">
        <v>46</v>
      </c>
      <c r="C11" s="7" t="s">
        <v>25</v>
      </c>
      <c r="D11" s="8" t="s">
        <v>47</v>
      </c>
      <c r="E11" s="9" t="s">
        <v>48</v>
      </c>
    </row>
    <row r="12" spans="1:5" ht="36" customHeight="1" x14ac:dyDescent="0.2">
      <c r="A12" s="5" t="s">
        <v>41</v>
      </c>
      <c r="B12" s="6" t="s">
        <v>49</v>
      </c>
      <c r="C12" s="11" t="s">
        <v>33</v>
      </c>
      <c r="D12" s="8" t="s">
        <v>50</v>
      </c>
      <c r="E12" s="9" t="s">
        <v>51</v>
      </c>
    </row>
    <row r="13" spans="1:5" ht="36" customHeight="1" x14ac:dyDescent="0.2">
      <c r="A13" s="5" t="s">
        <v>41</v>
      </c>
      <c r="B13" s="6" t="s">
        <v>52</v>
      </c>
      <c r="C13" s="11" t="s">
        <v>33</v>
      </c>
      <c r="D13" s="8" t="s">
        <v>53</v>
      </c>
      <c r="E13" s="9" t="s">
        <v>54</v>
      </c>
    </row>
    <row r="14" spans="1:5" ht="36" customHeight="1" x14ac:dyDescent="0.2">
      <c r="A14" s="5" t="s">
        <v>41</v>
      </c>
      <c r="B14" s="6" t="s">
        <v>55</v>
      </c>
      <c r="C14" s="10" t="s">
        <v>29</v>
      </c>
      <c r="D14" s="8" t="s">
        <v>56</v>
      </c>
      <c r="E14" s="9" t="s">
        <v>57</v>
      </c>
    </row>
    <row r="15" spans="1:5" ht="36" customHeight="1" x14ac:dyDescent="0.2">
      <c r="A15" s="5" t="s">
        <v>58</v>
      </c>
      <c r="B15" s="6" t="s">
        <v>59</v>
      </c>
      <c r="C15" s="7" t="s">
        <v>25</v>
      </c>
      <c r="D15" s="8" t="s">
        <v>60</v>
      </c>
      <c r="E15" s="9" t="s">
        <v>61</v>
      </c>
    </row>
    <row r="16" spans="1:5" ht="36" customHeight="1" x14ac:dyDescent="0.2">
      <c r="A16" s="5" t="s">
        <v>58</v>
      </c>
      <c r="B16" s="6" t="s">
        <v>62</v>
      </c>
      <c r="C16" s="7" t="s">
        <v>25</v>
      </c>
      <c r="D16" s="8" t="s">
        <v>63</v>
      </c>
      <c r="E16" s="9" t="s">
        <v>64</v>
      </c>
    </row>
    <row r="17" spans="1:5" ht="36" customHeight="1" x14ac:dyDescent="0.2">
      <c r="A17" s="5" t="s">
        <v>58</v>
      </c>
      <c r="B17" s="6" t="s">
        <v>65</v>
      </c>
      <c r="C17" s="7" t="s">
        <v>25</v>
      </c>
      <c r="D17" s="8" t="s">
        <v>66</v>
      </c>
      <c r="E17" s="9" t="s">
        <v>38</v>
      </c>
    </row>
    <row r="18" spans="1:5" ht="36" customHeight="1" x14ac:dyDescent="0.2">
      <c r="A18" s="5" t="s">
        <v>58</v>
      </c>
      <c r="B18" s="6" t="s">
        <v>67</v>
      </c>
      <c r="C18" s="11" t="s">
        <v>33</v>
      </c>
      <c r="D18" s="8" t="s">
        <v>68</v>
      </c>
      <c r="E18" s="9" t="s">
        <v>38</v>
      </c>
    </row>
    <row r="19" spans="1:5" ht="36" customHeight="1" x14ac:dyDescent="0.2">
      <c r="A19" s="5" t="s">
        <v>58</v>
      </c>
      <c r="B19" s="6" t="s">
        <v>69</v>
      </c>
      <c r="C19" s="11" t="s">
        <v>33</v>
      </c>
      <c r="D19" s="8" t="s">
        <v>70</v>
      </c>
      <c r="E19" s="9" t="s">
        <v>35</v>
      </c>
    </row>
    <row r="20" spans="1:5" ht="36" customHeight="1" x14ac:dyDescent="0.2">
      <c r="A20" s="5" t="s">
        <v>58</v>
      </c>
      <c r="B20" s="6" t="s">
        <v>71</v>
      </c>
      <c r="C20" s="11" t="s">
        <v>33</v>
      </c>
      <c r="D20" s="8" t="s">
        <v>72</v>
      </c>
      <c r="E20" s="9" t="s">
        <v>35</v>
      </c>
    </row>
    <row r="21" spans="1:5" ht="36" customHeight="1" x14ac:dyDescent="0.2">
      <c r="A21" s="5" t="s">
        <v>73</v>
      </c>
      <c r="B21" s="6" t="s">
        <v>74</v>
      </c>
      <c r="C21" s="7" t="s">
        <v>25</v>
      </c>
      <c r="D21" s="8" t="s">
        <v>75</v>
      </c>
      <c r="E21" s="9" t="s">
        <v>38</v>
      </c>
    </row>
    <row r="22" spans="1:5" ht="36" customHeight="1" x14ac:dyDescent="0.2">
      <c r="A22" s="5" t="s">
        <v>73</v>
      </c>
      <c r="B22" s="6" t="s">
        <v>76</v>
      </c>
      <c r="C22" s="7" t="s">
        <v>25</v>
      </c>
      <c r="D22" s="8" t="s">
        <v>77</v>
      </c>
      <c r="E22" s="9" t="s">
        <v>38</v>
      </c>
    </row>
    <row r="23" spans="1:5" ht="36" customHeight="1" x14ac:dyDescent="0.2">
      <c r="A23" s="5" t="s">
        <v>73</v>
      </c>
      <c r="B23" s="6" t="s">
        <v>78</v>
      </c>
      <c r="C23" s="11" t="s">
        <v>33</v>
      </c>
      <c r="D23" s="8" t="s">
        <v>79</v>
      </c>
      <c r="E23" s="9" t="s">
        <v>57</v>
      </c>
    </row>
    <row r="24" spans="1:5" ht="36" customHeight="1" x14ac:dyDescent="0.2">
      <c r="A24" s="5" t="s">
        <v>73</v>
      </c>
      <c r="B24" s="6" t="s">
        <v>80</v>
      </c>
      <c r="C24" s="11" t="s">
        <v>33</v>
      </c>
      <c r="D24" s="8" t="s">
        <v>81</v>
      </c>
      <c r="E24" s="9" t="s">
        <v>82</v>
      </c>
    </row>
    <row r="25" spans="1:5" ht="36" customHeight="1" x14ac:dyDescent="0.2">
      <c r="A25" s="5" t="s">
        <v>73</v>
      </c>
      <c r="B25" s="6" t="s">
        <v>83</v>
      </c>
      <c r="C25" s="10" t="s">
        <v>29</v>
      </c>
      <c r="D25" s="8" t="s">
        <v>84</v>
      </c>
      <c r="E25" s="9" t="s">
        <v>31</v>
      </c>
    </row>
    <row r="26" spans="1:5" ht="36" customHeight="1" x14ac:dyDescent="0.2">
      <c r="A26" s="5" t="s">
        <v>85</v>
      </c>
      <c r="B26" s="6" t="s">
        <v>86</v>
      </c>
      <c r="C26" s="7" t="s">
        <v>25</v>
      </c>
      <c r="D26" s="8" t="s">
        <v>87</v>
      </c>
      <c r="E26" s="9" t="s">
        <v>38</v>
      </c>
    </row>
    <row r="27" spans="1:5" ht="36" customHeight="1" x14ac:dyDescent="0.2">
      <c r="A27" s="5" t="s">
        <v>85</v>
      </c>
      <c r="B27" s="6" t="s">
        <v>88</v>
      </c>
      <c r="C27" s="11" t="s">
        <v>33</v>
      </c>
      <c r="D27" s="8" t="s">
        <v>89</v>
      </c>
      <c r="E27" s="9" t="s">
        <v>31</v>
      </c>
    </row>
    <row r="28" spans="1:5" ht="36" customHeight="1" x14ac:dyDescent="0.2">
      <c r="A28" s="5" t="s">
        <v>85</v>
      </c>
      <c r="B28" s="6" t="s">
        <v>90</v>
      </c>
      <c r="C28" s="11" t="s">
        <v>33</v>
      </c>
      <c r="D28" s="8" t="s">
        <v>91</v>
      </c>
      <c r="E28" s="9" t="s">
        <v>38</v>
      </c>
    </row>
    <row r="29" spans="1:5" ht="36" customHeight="1" x14ac:dyDescent="0.2">
      <c r="A29" s="5" t="s">
        <v>85</v>
      </c>
      <c r="B29" s="6" t="s">
        <v>92</v>
      </c>
      <c r="C29" s="10" t="s">
        <v>29</v>
      </c>
      <c r="D29" s="8" t="s">
        <v>93</v>
      </c>
      <c r="E29" s="9" t="s">
        <v>94</v>
      </c>
    </row>
    <row r="30" spans="1:5" ht="36" customHeight="1" x14ac:dyDescent="0.2">
      <c r="A30" s="5" t="s">
        <v>85</v>
      </c>
      <c r="B30" s="6" t="s">
        <v>95</v>
      </c>
      <c r="C30" s="10" t="s">
        <v>29</v>
      </c>
      <c r="D30" s="8" t="s">
        <v>96</v>
      </c>
      <c r="E30" s="9" t="s">
        <v>97</v>
      </c>
    </row>
    <row r="31" spans="1:5" ht="36" customHeight="1" x14ac:dyDescent="0.2">
      <c r="A31" s="5" t="s">
        <v>98</v>
      </c>
      <c r="B31" s="6" t="s">
        <v>99</v>
      </c>
      <c r="C31" s="7" t="s">
        <v>25</v>
      </c>
      <c r="D31" s="8" t="s">
        <v>100</v>
      </c>
      <c r="E31" s="9" t="s">
        <v>101</v>
      </c>
    </row>
    <row r="32" spans="1:5" ht="36" customHeight="1" x14ac:dyDescent="0.2">
      <c r="A32" s="5" t="s">
        <v>98</v>
      </c>
      <c r="B32" s="6" t="s">
        <v>102</v>
      </c>
      <c r="C32" s="11" t="s">
        <v>33</v>
      </c>
      <c r="D32" s="8" t="s">
        <v>103</v>
      </c>
      <c r="E32" s="9" t="s">
        <v>104</v>
      </c>
    </row>
    <row r="33" spans="1:5" ht="36" customHeight="1" x14ac:dyDescent="0.2">
      <c r="A33" s="5" t="s">
        <v>98</v>
      </c>
      <c r="B33" s="6" t="s">
        <v>105</v>
      </c>
      <c r="C33" s="7" t="s">
        <v>25</v>
      </c>
      <c r="D33" s="8" t="s">
        <v>106</v>
      </c>
      <c r="E33" s="9" t="s">
        <v>107</v>
      </c>
    </row>
    <row r="34" spans="1:5" ht="36" customHeight="1" x14ac:dyDescent="0.2">
      <c r="A34" s="5" t="s">
        <v>98</v>
      </c>
      <c r="B34" s="6" t="s">
        <v>108</v>
      </c>
      <c r="C34" s="11" t="s">
        <v>33</v>
      </c>
      <c r="D34" s="8" t="s">
        <v>109</v>
      </c>
      <c r="E34" s="9" t="s">
        <v>110</v>
      </c>
    </row>
    <row r="35" spans="1:5" ht="36" customHeight="1" x14ac:dyDescent="0.2">
      <c r="A35" s="5" t="s">
        <v>98</v>
      </c>
      <c r="B35" s="6" t="s">
        <v>111</v>
      </c>
      <c r="C35" s="7" t="s">
        <v>25</v>
      </c>
      <c r="D35" s="8" t="s">
        <v>112</v>
      </c>
      <c r="E35" s="9" t="s">
        <v>113</v>
      </c>
    </row>
    <row r="36" spans="1:5" ht="36" customHeight="1" x14ac:dyDescent="0.2">
      <c r="A36" s="5" t="s">
        <v>114</v>
      </c>
      <c r="B36" s="6" t="s">
        <v>115</v>
      </c>
      <c r="C36" s="11" t="s">
        <v>33</v>
      </c>
      <c r="D36" s="8" t="s">
        <v>116</v>
      </c>
      <c r="E36" s="9" t="s">
        <v>117</v>
      </c>
    </row>
    <row r="37" spans="1:5" ht="36" customHeight="1" x14ac:dyDescent="0.2">
      <c r="A37" s="5" t="s">
        <v>114</v>
      </c>
      <c r="B37" s="6" t="s">
        <v>118</v>
      </c>
      <c r="C37" s="11" t="s">
        <v>33</v>
      </c>
      <c r="D37" s="8" t="s">
        <v>119</v>
      </c>
      <c r="E37" s="9" t="s">
        <v>120</v>
      </c>
    </row>
    <row r="38" spans="1:5" ht="36" customHeight="1" x14ac:dyDescent="0.2">
      <c r="A38" s="5" t="s">
        <v>114</v>
      </c>
      <c r="B38" s="6" t="s">
        <v>121</v>
      </c>
      <c r="C38" s="11" t="s">
        <v>33</v>
      </c>
      <c r="D38" s="8" t="s">
        <v>122</v>
      </c>
      <c r="E38" s="9" t="s">
        <v>123</v>
      </c>
    </row>
    <row r="39" spans="1:5" ht="36" customHeight="1" x14ac:dyDescent="0.2">
      <c r="A39" s="5" t="s">
        <v>114</v>
      </c>
      <c r="B39" s="6" t="s">
        <v>124</v>
      </c>
      <c r="C39" s="11" t="s">
        <v>33</v>
      </c>
      <c r="D39" s="8" t="s">
        <v>125</v>
      </c>
      <c r="E39" s="9" t="s">
        <v>126</v>
      </c>
    </row>
    <row r="40" spans="1:5" ht="36" customHeight="1" x14ac:dyDescent="0.2">
      <c r="A40" s="5" t="s">
        <v>114</v>
      </c>
      <c r="B40" s="6" t="s">
        <v>127</v>
      </c>
      <c r="C40" s="10" t="s">
        <v>29</v>
      </c>
      <c r="D40" s="8" t="s">
        <v>128</v>
      </c>
      <c r="E40" s="9" t="s">
        <v>57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129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133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134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135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136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137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139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5" t="s">
        <v>140</v>
      </c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5" t="s">
        <v>145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5" t="s">
        <v>146</v>
      </c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148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149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150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151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152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153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154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155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5" t="s">
        <v>156</v>
      </c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5" t="s">
        <v>157</v>
      </c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5" t="s">
        <v>158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159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5" t="s">
        <v>160</v>
      </c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161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162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163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6"/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164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165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166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5" t="s">
        <v>167</v>
      </c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6"/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24" customHeight="1" x14ac:dyDescent="0.2">
      <c r="A44" s="13"/>
      <c r="B44" s="14" t="s">
        <v>115</v>
      </c>
      <c r="C44" s="11" t="s">
        <v>33</v>
      </c>
      <c r="D44" s="15" t="s">
        <v>168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169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170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171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6"/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172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173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174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6"/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24" customHeight="1" x14ac:dyDescent="0.2">
      <c r="A44" s="13"/>
      <c r="B44" s="14" t="s">
        <v>115</v>
      </c>
      <c r="C44" s="11" t="s">
        <v>33</v>
      </c>
      <c r="D44" s="15" t="s">
        <v>175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8"/>
  <sheetViews>
    <sheetView tabSelected="1"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176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177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178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179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180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181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182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6"/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24" customHeight="1" x14ac:dyDescent="0.2">
      <c r="A44" s="13"/>
      <c r="B44" s="14" t="s">
        <v>115</v>
      </c>
      <c r="C44" s="11" t="s">
        <v>33</v>
      </c>
      <c r="D44" s="15" t="s">
        <v>183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184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185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186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6"/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187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188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49.5" customHeight="1" x14ac:dyDescent="0.2">
      <c r="A12" s="13"/>
      <c r="B12" s="14" t="s">
        <v>42</v>
      </c>
      <c r="C12" s="7" t="s">
        <v>25</v>
      </c>
      <c r="D12" s="15" t="s">
        <v>189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6"/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190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191</v>
      </c>
      <c r="B1" s="35"/>
      <c r="C1" s="35"/>
      <c r="D1" s="35"/>
      <c r="E1" s="12" t="s">
        <v>25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192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193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6"/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194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195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196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6"/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197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198</v>
      </c>
      <c r="B1" s="35"/>
      <c r="C1" s="35"/>
      <c r="D1" s="35"/>
      <c r="E1" s="17" t="s">
        <v>33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199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200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201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202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203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204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5" t="s">
        <v>205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206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207</v>
      </c>
      <c r="B1" s="35"/>
      <c r="C1" s="35"/>
      <c r="D1" s="35"/>
      <c r="E1" s="17" t="s">
        <v>33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208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200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6"/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209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210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204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24" customHeight="1" x14ac:dyDescent="0.2">
      <c r="A38" s="13"/>
      <c r="B38" s="14" t="s">
        <v>99</v>
      </c>
      <c r="C38" s="7" t="s">
        <v>25</v>
      </c>
      <c r="D38" s="15" t="s">
        <v>211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212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49.5" customHeight="1" x14ac:dyDescent="0.2">
      <c r="A47" s="13"/>
      <c r="B47" s="14" t="s">
        <v>124</v>
      </c>
      <c r="C47" s="11" t="s">
        <v>33</v>
      </c>
      <c r="D47" s="15" t="s">
        <v>213</v>
      </c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214</v>
      </c>
      <c r="B1" s="35"/>
      <c r="C1" s="35"/>
      <c r="D1" s="35"/>
      <c r="E1" s="17" t="s">
        <v>33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215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216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217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218</v>
      </c>
      <c r="E9" s="16"/>
    </row>
    <row r="10" spans="1:5" ht="24" customHeight="1" x14ac:dyDescent="0.2">
      <c r="A10" s="13"/>
      <c r="B10" s="14" t="s">
        <v>39</v>
      </c>
      <c r="C10" s="7" t="s">
        <v>25</v>
      </c>
      <c r="D10" s="15" t="s">
        <v>219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220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5" t="s">
        <v>221</v>
      </c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6"/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6"/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49.5" customHeight="1" x14ac:dyDescent="0.2">
      <c r="A38" s="13"/>
      <c r="B38" s="14" t="s">
        <v>99</v>
      </c>
      <c r="C38" s="7" t="s">
        <v>25</v>
      </c>
      <c r="D38" s="15" t="s">
        <v>222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223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3" width="10" customWidth="1"/>
    <col min="4" max="4" width="55" customWidth="1"/>
    <col min="5" max="5" width="35" customWidth="1"/>
  </cols>
  <sheetData>
    <row r="1" spans="1:5" ht="31.5" customHeight="1" x14ac:dyDescent="0.2">
      <c r="A1" s="35" t="s">
        <v>224</v>
      </c>
      <c r="B1" s="35"/>
      <c r="C1" s="35"/>
      <c r="D1" s="35"/>
      <c r="E1" s="18" t="s">
        <v>29</v>
      </c>
    </row>
    <row r="2" spans="1:5" x14ac:dyDescent="0.2">
      <c r="A2" s="37" t="s">
        <v>130</v>
      </c>
      <c r="B2" s="37"/>
      <c r="C2" s="37"/>
      <c r="D2" s="37"/>
      <c r="E2" s="37"/>
    </row>
    <row r="4" spans="1:5" ht="36" customHeight="1" x14ac:dyDescent="0.2">
      <c r="A4" s="4" t="s">
        <v>18</v>
      </c>
      <c r="B4" s="4" t="s">
        <v>19</v>
      </c>
      <c r="C4" s="4" t="s">
        <v>20</v>
      </c>
      <c r="D4" s="4" t="s">
        <v>131</v>
      </c>
      <c r="E4" s="4" t="s">
        <v>132</v>
      </c>
    </row>
    <row r="5" spans="1:5" ht="24" customHeight="1" x14ac:dyDescent="0.2">
      <c r="A5" s="36" t="s">
        <v>23</v>
      </c>
      <c r="B5" s="36"/>
      <c r="C5" s="36"/>
      <c r="D5" s="36"/>
      <c r="E5" s="36"/>
    </row>
    <row r="6" spans="1:5" ht="24" customHeight="1" x14ac:dyDescent="0.2">
      <c r="A6" s="13"/>
      <c r="B6" s="14" t="s">
        <v>24</v>
      </c>
      <c r="C6" s="7" t="s">
        <v>25</v>
      </c>
      <c r="D6" s="15" t="s">
        <v>225</v>
      </c>
      <c r="E6" s="16"/>
    </row>
    <row r="7" spans="1:5" ht="24" customHeight="1" x14ac:dyDescent="0.2">
      <c r="A7" s="13"/>
      <c r="B7" s="14" t="s">
        <v>28</v>
      </c>
      <c r="C7" s="10" t="s">
        <v>29</v>
      </c>
      <c r="D7" s="15" t="s">
        <v>226</v>
      </c>
      <c r="E7" s="16"/>
    </row>
    <row r="8" spans="1:5" ht="24" customHeight="1" x14ac:dyDescent="0.2">
      <c r="A8" s="13"/>
      <c r="B8" s="14" t="s">
        <v>32</v>
      </c>
      <c r="C8" s="11" t="s">
        <v>33</v>
      </c>
      <c r="D8" s="15" t="s">
        <v>227</v>
      </c>
      <c r="E8" s="16"/>
    </row>
    <row r="9" spans="1:5" ht="24" customHeight="1" x14ac:dyDescent="0.2">
      <c r="A9" s="13"/>
      <c r="B9" s="14" t="s">
        <v>36</v>
      </c>
      <c r="C9" s="7" t="s">
        <v>25</v>
      </c>
      <c r="D9" s="15" t="s">
        <v>228</v>
      </c>
      <c r="E9" s="16"/>
    </row>
    <row r="10" spans="1:5" ht="49.5" customHeight="1" x14ac:dyDescent="0.2">
      <c r="A10" s="13"/>
      <c r="B10" s="14" t="s">
        <v>39</v>
      </c>
      <c r="C10" s="7" t="s">
        <v>25</v>
      </c>
      <c r="D10" s="15" t="s">
        <v>229</v>
      </c>
      <c r="E10" s="16"/>
    </row>
    <row r="11" spans="1:5" ht="24" customHeight="1" x14ac:dyDescent="0.2">
      <c r="A11" s="36" t="s">
        <v>138</v>
      </c>
      <c r="B11" s="36"/>
      <c r="C11" s="36"/>
      <c r="D11" s="36"/>
      <c r="E11" s="36"/>
    </row>
    <row r="12" spans="1:5" ht="24" customHeight="1" x14ac:dyDescent="0.2">
      <c r="A12" s="13"/>
      <c r="B12" s="14" t="s">
        <v>42</v>
      </c>
      <c r="C12" s="7" t="s">
        <v>25</v>
      </c>
      <c r="D12" s="15" t="s">
        <v>230</v>
      </c>
      <c r="E12" s="16"/>
    </row>
    <row r="13" spans="1:5" ht="24" customHeight="1" x14ac:dyDescent="0.2">
      <c r="A13" s="13"/>
      <c r="B13" s="14" t="s">
        <v>44</v>
      </c>
      <c r="C13" s="11" t="s">
        <v>33</v>
      </c>
      <c r="D13" s="16"/>
      <c r="E13" s="16"/>
    </row>
    <row r="14" spans="1:5" ht="24" customHeight="1" x14ac:dyDescent="0.2">
      <c r="A14" s="13"/>
      <c r="B14" s="14" t="s">
        <v>46</v>
      </c>
      <c r="C14" s="7" t="s">
        <v>25</v>
      </c>
      <c r="D14" s="16"/>
      <c r="E14" s="16"/>
    </row>
    <row r="15" spans="1:5" ht="24" customHeight="1" x14ac:dyDescent="0.2">
      <c r="A15" s="13"/>
      <c r="B15" s="14" t="s">
        <v>49</v>
      </c>
      <c r="C15" s="11" t="s">
        <v>33</v>
      </c>
      <c r="D15" s="16"/>
      <c r="E15" s="16"/>
    </row>
    <row r="16" spans="1:5" ht="24" customHeight="1" x14ac:dyDescent="0.2">
      <c r="A16" s="13"/>
      <c r="B16" s="14" t="s">
        <v>52</v>
      </c>
      <c r="C16" s="11" t="s">
        <v>33</v>
      </c>
      <c r="D16" s="16"/>
      <c r="E16" s="16"/>
    </row>
    <row r="17" spans="1:5" ht="24" customHeight="1" x14ac:dyDescent="0.2">
      <c r="A17" s="13"/>
      <c r="B17" s="14" t="s">
        <v>55</v>
      </c>
      <c r="C17" s="10" t="s">
        <v>29</v>
      </c>
      <c r="D17" s="16"/>
      <c r="E17" s="16"/>
    </row>
    <row r="18" spans="1:5" ht="24" customHeight="1" x14ac:dyDescent="0.2">
      <c r="A18" s="36" t="s">
        <v>141</v>
      </c>
      <c r="B18" s="36"/>
      <c r="C18" s="36"/>
      <c r="D18" s="36"/>
      <c r="E18" s="36"/>
    </row>
    <row r="19" spans="1:5" ht="24" customHeight="1" x14ac:dyDescent="0.2">
      <c r="A19" s="13"/>
      <c r="B19" s="14" t="s">
        <v>59</v>
      </c>
      <c r="C19" s="7" t="s">
        <v>25</v>
      </c>
      <c r="D19" s="16"/>
      <c r="E19" s="16"/>
    </row>
    <row r="20" spans="1:5" ht="24" customHeight="1" x14ac:dyDescent="0.2">
      <c r="A20" s="13"/>
      <c r="B20" s="14" t="s">
        <v>62</v>
      </c>
      <c r="C20" s="7" t="s">
        <v>25</v>
      </c>
      <c r="D20" s="16"/>
      <c r="E20" s="16"/>
    </row>
    <row r="21" spans="1:5" ht="24" customHeight="1" x14ac:dyDescent="0.2">
      <c r="A21" s="13"/>
      <c r="B21" s="14" t="s">
        <v>65</v>
      </c>
      <c r="C21" s="7" t="s">
        <v>25</v>
      </c>
      <c r="D21" s="16"/>
      <c r="E21" s="16"/>
    </row>
    <row r="22" spans="1:5" ht="24" customHeight="1" x14ac:dyDescent="0.2">
      <c r="A22" s="13"/>
      <c r="B22" s="14" t="s">
        <v>67</v>
      </c>
      <c r="C22" s="11" t="s">
        <v>33</v>
      </c>
      <c r="D22" s="16"/>
      <c r="E22" s="16"/>
    </row>
    <row r="23" spans="1:5" ht="24" customHeight="1" x14ac:dyDescent="0.2">
      <c r="A23" s="13"/>
      <c r="B23" s="14" t="s">
        <v>69</v>
      </c>
      <c r="C23" s="11" t="s">
        <v>33</v>
      </c>
      <c r="D23" s="15" t="s">
        <v>231</v>
      </c>
      <c r="E23" s="16"/>
    </row>
    <row r="24" spans="1:5" ht="24" customHeight="1" x14ac:dyDescent="0.2">
      <c r="A24" s="13"/>
      <c r="B24" s="14" t="s">
        <v>71</v>
      </c>
      <c r="C24" s="11" t="s">
        <v>33</v>
      </c>
      <c r="D24" s="15" t="s">
        <v>232</v>
      </c>
      <c r="E24" s="16"/>
    </row>
    <row r="25" spans="1:5" ht="24" customHeight="1" x14ac:dyDescent="0.2">
      <c r="A25" s="36" t="s">
        <v>142</v>
      </c>
      <c r="B25" s="36"/>
      <c r="C25" s="36"/>
      <c r="D25" s="36"/>
      <c r="E25" s="36"/>
    </row>
    <row r="26" spans="1:5" ht="24" customHeight="1" x14ac:dyDescent="0.2">
      <c r="A26" s="13"/>
      <c r="B26" s="14" t="s">
        <v>74</v>
      </c>
      <c r="C26" s="7" t="s">
        <v>25</v>
      </c>
      <c r="D26" s="16"/>
      <c r="E26" s="16"/>
    </row>
    <row r="27" spans="1:5" ht="24" customHeight="1" x14ac:dyDescent="0.2">
      <c r="A27" s="13"/>
      <c r="B27" s="14" t="s">
        <v>76</v>
      </c>
      <c r="C27" s="7" t="s">
        <v>25</v>
      </c>
      <c r="D27" s="16"/>
      <c r="E27" s="16"/>
    </row>
    <row r="28" spans="1:5" ht="24" customHeight="1" x14ac:dyDescent="0.2">
      <c r="A28" s="13"/>
      <c r="B28" s="14" t="s">
        <v>78</v>
      </c>
      <c r="C28" s="11" t="s">
        <v>33</v>
      </c>
      <c r="D28" s="16"/>
      <c r="E28" s="16"/>
    </row>
    <row r="29" spans="1:5" ht="24" customHeight="1" x14ac:dyDescent="0.2">
      <c r="A29" s="13"/>
      <c r="B29" s="14" t="s">
        <v>80</v>
      </c>
      <c r="C29" s="11" t="s">
        <v>33</v>
      </c>
      <c r="D29" s="16"/>
      <c r="E29" s="16"/>
    </row>
    <row r="30" spans="1:5" ht="24" customHeight="1" x14ac:dyDescent="0.2">
      <c r="A30" s="13"/>
      <c r="B30" s="14" t="s">
        <v>83</v>
      </c>
      <c r="C30" s="10" t="s">
        <v>29</v>
      </c>
      <c r="D30" s="16"/>
      <c r="E30" s="16"/>
    </row>
    <row r="31" spans="1:5" ht="24" customHeight="1" x14ac:dyDescent="0.2">
      <c r="A31" s="36" t="s">
        <v>143</v>
      </c>
      <c r="B31" s="36"/>
      <c r="C31" s="36"/>
      <c r="D31" s="36"/>
      <c r="E31" s="36"/>
    </row>
    <row r="32" spans="1:5" ht="24" customHeight="1" x14ac:dyDescent="0.2">
      <c r="A32" s="13"/>
      <c r="B32" s="14" t="s">
        <v>86</v>
      </c>
      <c r="C32" s="7" t="s">
        <v>25</v>
      </c>
      <c r="D32" s="16"/>
      <c r="E32" s="16"/>
    </row>
    <row r="33" spans="1:5" ht="24" customHeight="1" x14ac:dyDescent="0.2">
      <c r="A33" s="13"/>
      <c r="B33" s="14" t="s">
        <v>88</v>
      </c>
      <c r="C33" s="11" t="s">
        <v>33</v>
      </c>
      <c r="D33" s="16"/>
      <c r="E33" s="16"/>
    </row>
    <row r="34" spans="1:5" ht="24" customHeight="1" x14ac:dyDescent="0.2">
      <c r="A34" s="13"/>
      <c r="B34" s="14" t="s">
        <v>90</v>
      </c>
      <c r="C34" s="11" t="s">
        <v>33</v>
      </c>
      <c r="D34" s="16"/>
      <c r="E34" s="16"/>
    </row>
    <row r="35" spans="1:5" ht="24" customHeight="1" x14ac:dyDescent="0.2">
      <c r="A35" s="13"/>
      <c r="B35" s="14" t="s">
        <v>92</v>
      </c>
      <c r="C35" s="10" t="s">
        <v>29</v>
      </c>
      <c r="D35" s="16"/>
      <c r="E35" s="16"/>
    </row>
    <row r="36" spans="1:5" ht="24" customHeight="1" x14ac:dyDescent="0.2">
      <c r="A36" s="13"/>
      <c r="B36" s="14" t="s">
        <v>95</v>
      </c>
      <c r="C36" s="10" t="s">
        <v>29</v>
      </c>
      <c r="D36" s="16"/>
      <c r="E36" s="16"/>
    </row>
    <row r="37" spans="1:5" ht="24" customHeight="1" x14ac:dyDescent="0.2">
      <c r="A37" s="36" t="s">
        <v>144</v>
      </c>
      <c r="B37" s="36"/>
      <c r="C37" s="36"/>
      <c r="D37" s="36"/>
      <c r="E37" s="36"/>
    </row>
    <row r="38" spans="1:5" ht="49.5" customHeight="1" x14ac:dyDescent="0.2">
      <c r="A38" s="13"/>
      <c r="B38" s="14" t="s">
        <v>99</v>
      </c>
      <c r="C38" s="7" t="s">
        <v>25</v>
      </c>
      <c r="D38" s="15" t="s">
        <v>233</v>
      </c>
      <c r="E38" s="16"/>
    </row>
    <row r="39" spans="1:5" ht="24" customHeight="1" x14ac:dyDescent="0.2">
      <c r="A39" s="13"/>
      <c r="B39" s="14" t="s">
        <v>102</v>
      </c>
      <c r="C39" s="11" t="s">
        <v>33</v>
      </c>
      <c r="D39" s="16"/>
      <c r="E39" s="16"/>
    </row>
    <row r="40" spans="1:5" ht="24" customHeight="1" x14ac:dyDescent="0.2">
      <c r="A40" s="13"/>
      <c r="B40" s="14" t="s">
        <v>105</v>
      </c>
      <c r="C40" s="7" t="s">
        <v>25</v>
      </c>
      <c r="D40" s="16"/>
      <c r="E40" s="16"/>
    </row>
    <row r="41" spans="1:5" ht="24" customHeight="1" x14ac:dyDescent="0.2">
      <c r="A41" s="13"/>
      <c r="B41" s="14" t="s">
        <v>108</v>
      </c>
      <c r="C41" s="11" t="s">
        <v>33</v>
      </c>
      <c r="D41" s="16"/>
      <c r="E41" s="16"/>
    </row>
    <row r="42" spans="1:5" ht="24" customHeight="1" x14ac:dyDescent="0.2">
      <c r="A42" s="13"/>
      <c r="B42" s="14" t="s">
        <v>111</v>
      </c>
      <c r="C42" s="7" t="s">
        <v>25</v>
      </c>
      <c r="D42" s="16"/>
      <c r="E42" s="16"/>
    </row>
    <row r="43" spans="1:5" ht="24" customHeight="1" x14ac:dyDescent="0.2">
      <c r="A43" s="36" t="s">
        <v>147</v>
      </c>
      <c r="B43" s="36"/>
      <c r="C43" s="36"/>
      <c r="D43" s="36"/>
      <c r="E43" s="36"/>
    </row>
    <row r="44" spans="1:5" ht="49.5" customHeight="1" x14ac:dyDescent="0.2">
      <c r="A44" s="13"/>
      <c r="B44" s="14" t="s">
        <v>115</v>
      </c>
      <c r="C44" s="11" t="s">
        <v>33</v>
      </c>
      <c r="D44" s="15" t="s">
        <v>234</v>
      </c>
      <c r="E44" s="16"/>
    </row>
    <row r="45" spans="1:5" ht="24" customHeight="1" x14ac:dyDescent="0.2">
      <c r="A45" s="13"/>
      <c r="B45" s="14" t="s">
        <v>118</v>
      </c>
      <c r="C45" s="11" t="s">
        <v>33</v>
      </c>
      <c r="D45" s="16"/>
      <c r="E45" s="16"/>
    </row>
    <row r="46" spans="1:5" ht="24" customHeight="1" x14ac:dyDescent="0.2">
      <c r="A46" s="13"/>
      <c r="B46" s="14" t="s">
        <v>121</v>
      </c>
      <c r="C46" s="11" t="s">
        <v>33</v>
      </c>
      <c r="D46" s="16"/>
      <c r="E46" s="16"/>
    </row>
    <row r="47" spans="1:5" ht="24" customHeight="1" x14ac:dyDescent="0.2">
      <c r="A47" s="13"/>
      <c r="B47" s="14" t="s">
        <v>124</v>
      </c>
      <c r="C47" s="11" t="s">
        <v>33</v>
      </c>
      <c r="D47" s="16"/>
      <c r="E47" s="16"/>
    </row>
    <row r="48" spans="1:5" ht="24" customHeight="1" x14ac:dyDescent="0.2">
      <c r="A48" s="13"/>
      <c r="B48" s="14" t="s">
        <v>127</v>
      </c>
      <c r="C48" s="10" t="s">
        <v>29</v>
      </c>
      <c r="D48" s="16"/>
      <c r="E48" s="16"/>
    </row>
  </sheetData>
  <mergeCells count="9">
    <mergeCell ref="A25:E25"/>
    <mergeCell ref="A31:E31"/>
    <mergeCell ref="A37:E37"/>
    <mergeCell ref="A43:E43"/>
    <mergeCell ref="A1:D1"/>
    <mergeCell ref="A2:E2"/>
    <mergeCell ref="A5:E5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26" customWidth="1"/>
    <col min="3" max="3" width="12" customWidth="1"/>
    <col min="4" max="4" width="18" customWidth="1"/>
    <col min="5" max="6" width="15" customWidth="1"/>
  </cols>
  <sheetData>
    <row r="1" spans="1:6" ht="31.5" customHeight="1" x14ac:dyDescent="0.2">
      <c r="A1" s="35" t="s">
        <v>235</v>
      </c>
      <c r="B1" s="35"/>
      <c r="C1" s="35"/>
      <c r="D1" s="35"/>
      <c r="E1" s="35"/>
      <c r="F1" s="35"/>
    </row>
    <row r="2" spans="1:6" x14ac:dyDescent="0.2">
      <c r="A2" s="37" t="s">
        <v>236</v>
      </c>
      <c r="B2" s="37"/>
      <c r="C2" s="37"/>
      <c r="D2" s="37"/>
      <c r="E2" s="37"/>
      <c r="F2" s="37"/>
    </row>
    <row r="4" spans="1:6" ht="36" customHeight="1" x14ac:dyDescent="0.2">
      <c r="A4" s="4" t="s">
        <v>237</v>
      </c>
      <c r="B4" s="4" t="s">
        <v>238</v>
      </c>
      <c r="C4" s="4" t="s">
        <v>20</v>
      </c>
      <c r="D4" s="4" t="s">
        <v>239</v>
      </c>
      <c r="E4" s="4" t="s">
        <v>240</v>
      </c>
      <c r="F4" s="4" t="s">
        <v>241</v>
      </c>
    </row>
    <row r="5" spans="1:6" ht="25.5" customHeight="1" x14ac:dyDescent="0.2">
      <c r="A5" s="19">
        <v>1</v>
      </c>
      <c r="B5" s="20" t="s">
        <v>242</v>
      </c>
      <c r="C5" s="7" t="s">
        <v>25</v>
      </c>
      <c r="D5" s="21">
        <f>COUNTA('01 Neighborly'!D6:D10)+COUNTA('01 Neighborly'!D12:D17)+COUNTA('01 Neighborly'!D19:D24)+COUNTA('01 Neighborly'!D26:D30)+COUNTA('01 Neighborly'!D32:D36)+COUNTA('01 Neighborly'!D38:D42)+COUNTA('01 Neighborly'!D44:D48)</f>
        <v>10</v>
      </c>
      <c r="E5" s="22">
        <v>37</v>
      </c>
      <c r="F5" s="23">
        <f t="shared" ref="F5:F16" si="0">D5/E5</f>
        <v>0.27027027027027029</v>
      </c>
    </row>
    <row r="6" spans="1:6" ht="25.5" customHeight="1" x14ac:dyDescent="0.2">
      <c r="A6" s="19">
        <v>2</v>
      </c>
      <c r="B6" s="20" t="s">
        <v>243</v>
      </c>
      <c r="C6" s="7" t="s">
        <v>25</v>
      </c>
      <c r="D6" s="21">
        <f>COUNTA('02 Authority Brands'!D6:D10)+COUNTA('02 Authority Brands'!D12:D17)+COUNTA('02 Authority Brands'!D19:D24)+COUNTA('02 Authority Brands'!D26:D30)+COUNTA('02 Authority Brands'!D32:D36)+COUNTA('02 Authority Brands'!D38:D42)+COUNTA('02 Authority Brands'!D44:D48)</f>
        <v>11</v>
      </c>
      <c r="E6" s="22">
        <v>37</v>
      </c>
      <c r="F6" s="23">
        <f t="shared" si="0"/>
        <v>0.29729729729729731</v>
      </c>
    </row>
    <row r="7" spans="1:6" ht="25.5" customHeight="1" x14ac:dyDescent="0.2">
      <c r="A7" s="19">
        <v>3</v>
      </c>
      <c r="B7" s="20" t="s">
        <v>162</v>
      </c>
      <c r="C7" s="7" t="s">
        <v>25</v>
      </c>
      <c r="D7" s="21">
        <f>COUNTA('03 Empower Brands'!D6:D10)+COUNTA('03 Empower Brands'!D12:D17)+COUNTA('03 Empower Brands'!D19:D24)+COUNTA('03 Empower Brands'!D26:D30)+COUNTA('03 Empower Brands'!D32:D36)+COUNTA('03 Empower Brands'!D38:D42)+COUNTA('03 Empower Brands'!D44:D48)</f>
        <v>7</v>
      </c>
      <c r="E7" s="22">
        <v>37</v>
      </c>
      <c r="F7" s="23">
        <f t="shared" si="0"/>
        <v>0.1891891891891892</v>
      </c>
    </row>
    <row r="8" spans="1:6" ht="25.5" customHeight="1" x14ac:dyDescent="0.2">
      <c r="A8" s="19">
        <v>4</v>
      </c>
      <c r="B8" s="20" t="s">
        <v>170</v>
      </c>
      <c r="C8" s="7" t="s">
        <v>25</v>
      </c>
      <c r="D8" s="21">
        <f>COUNTA('04 Premium Service Brands'!D6:D10)+COUNTA('04 Premium Service Brands'!D12:D17)+COUNTA('04 Premium Service Brands'!D19:D24)+COUNTA('04 Premium Service Brands'!D26:D30)+COUNTA('04 Premium Service Brands'!D32:D36)+COUNTA('04 Premium Service Brands'!D38:D42)+COUNTA('04 Premium Service Brands'!D44:D48)</f>
        <v>6</v>
      </c>
      <c r="E8" s="22">
        <v>37</v>
      </c>
      <c r="F8" s="23">
        <f t="shared" si="0"/>
        <v>0.16216216216216217</v>
      </c>
    </row>
    <row r="9" spans="1:6" ht="25.5" customHeight="1" x14ac:dyDescent="0.2">
      <c r="A9" s="19">
        <v>5</v>
      </c>
      <c r="B9" s="20" t="s">
        <v>177</v>
      </c>
      <c r="C9" s="7" t="s">
        <v>25</v>
      </c>
      <c r="D9" s="21">
        <f>COUNTA('05 HomeFront Brands'!D6:D10)+COUNTA('05 HomeFront Brands'!D12:D17)+COUNTA('05 HomeFront Brands'!D19:D24)+COUNTA('05 HomeFront Brands'!D26:D30)+COUNTA('05 HomeFront Brands'!D32:D36)+COUNTA('05 HomeFront Brands'!D38:D42)+COUNTA('05 HomeFront Brands'!D44:D48)</f>
        <v>7</v>
      </c>
      <c r="E9" s="22">
        <v>37</v>
      </c>
      <c r="F9" s="23">
        <f t="shared" si="0"/>
        <v>0.1891891891891892</v>
      </c>
    </row>
    <row r="10" spans="1:6" ht="25.5" customHeight="1" x14ac:dyDescent="0.2">
      <c r="A10" s="19">
        <v>6</v>
      </c>
      <c r="B10" s="20" t="s">
        <v>185</v>
      </c>
      <c r="C10" s="7" t="s">
        <v>25</v>
      </c>
      <c r="D10" s="21">
        <f>COUNTA('06 Five Star Franchising'!D6:D10)+COUNTA('06 Five Star Franchising'!D12:D17)+COUNTA('06 Five Star Franchising'!D19:D24)+COUNTA('06 Five Star Franchising'!D26:D30)+COUNTA('06 Five Star Franchising'!D32:D36)+COUNTA('06 Five Star Franchising'!D38:D42)+COUNTA('06 Five Star Franchising'!D44:D48)</f>
        <v>6</v>
      </c>
      <c r="E10" s="22">
        <v>37</v>
      </c>
      <c r="F10" s="23">
        <f t="shared" si="0"/>
        <v>0.16216216216216217</v>
      </c>
    </row>
    <row r="11" spans="1:6" ht="25.5" customHeight="1" x14ac:dyDescent="0.2">
      <c r="A11" s="19">
        <v>7</v>
      </c>
      <c r="B11" s="20" t="s">
        <v>192</v>
      </c>
      <c r="C11" s="7" t="s">
        <v>25</v>
      </c>
      <c r="D11" s="21">
        <f>COUNTA('07 ResiBrands'!D6:D10)+COUNTA('07 ResiBrands'!D12:D17)+COUNTA('07 ResiBrands'!D19:D24)+COUNTA('07 ResiBrands'!D26:D30)+COUNTA('07 ResiBrands'!D32:D36)+COUNTA('07 ResiBrands'!D38:D42)+COUNTA('07 ResiBrands'!D44:D48)</f>
        <v>6</v>
      </c>
      <c r="E11" s="22">
        <v>37</v>
      </c>
      <c r="F11" s="23">
        <f t="shared" si="0"/>
        <v>0.16216216216216217</v>
      </c>
    </row>
    <row r="12" spans="1:6" ht="25.5" customHeight="1" x14ac:dyDescent="0.2">
      <c r="A12" s="19">
        <v>8</v>
      </c>
      <c r="B12" s="20" t="s">
        <v>199</v>
      </c>
      <c r="C12" s="11" t="s">
        <v>33</v>
      </c>
      <c r="D12" s="21">
        <f>COUNTA('08 Evive Brands'!D6:D10)+COUNTA('08 Evive Brands'!D12:D17)+COUNTA('08 Evive Brands'!D19:D24)+COUNTA('08 Evive Brands'!D26:D30)+COUNTA('08 Evive Brands'!D32:D36)+COUNTA('08 Evive Brands'!D38:D42)+COUNTA('08 Evive Brands'!D44:D48)</f>
        <v>8</v>
      </c>
      <c r="E12" s="22">
        <v>37</v>
      </c>
      <c r="F12" s="23">
        <f t="shared" si="0"/>
        <v>0.21621621621621623</v>
      </c>
    </row>
    <row r="13" spans="1:6" ht="25.5" customHeight="1" x14ac:dyDescent="0.2">
      <c r="A13" s="19">
        <v>9</v>
      </c>
      <c r="B13" s="20" t="s">
        <v>208</v>
      </c>
      <c r="C13" s="11" t="s">
        <v>33</v>
      </c>
      <c r="D13" s="21">
        <f>COUNTA('09 Threshold Brands'!D6:D10)+COUNTA('09 Threshold Brands'!D12:D17)+COUNTA('09 Threshold Brands'!D19:D24)+COUNTA('09 Threshold Brands'!D26:D30)+COUNTA('09 Threshold Brands'!D32:D36)+COUNTA('09 Threshold Brands'!D38:D42)+COUNTA('09 Threshold Brands'!D44:D48)</f>
        <v>8</v>
      </c>
      <c r="E13" s="22">
        <v>37</v>
      </c>
      <c r="F13" s="23">
        <f t="shared" si="0"/>
        <v>0.21621621621621623</v>
      </c>
    </row>
    <row r="14" spans="1:6" ht="25.5" customHeight="1" x14ac:dyDescent="0.2">
      <c r="A14" s="19">
        <v>10</v>
      </c>
      <c r="B14" s="20" t="s">
        <v>244</v>
      </c>
      <c r="C14" s="11" t="s">
        <v>33</v>
      </c>
      <c r="D14" s="21">
        <f>COUNTA('10 BELFOR Franchise Group'!D6:D10)+COUNTA('10 BELFOR Franchise Group'!D12:D17)+COUNTA('10 BELFOR Franchise Group'!D19:D24)+COUNTA('10 BELFOR Franchise Group'!D26:D30)+COUNTA('10 BELFOR Franchise Group'!D32:D36)+COUNTA('10 BELFOR Franchise Group'!D38:D42)+COUNTA('10 BELFOR Franchise Group'!D44:D48)</f>
        <v>9</v>
      </c>
      <c r="E14" s="22">
        <v>37</v>
      </c>
      <c r="F14" s="23">
        <f t="shared" si="0"/>
        <v>0.24324324324324326</v>
      </c>
    </row>
    <row r="15" spans="1:6" ht="25.5" customHeight="1" x14ac:dyDescent="0.2">
      <c r="A15" s="19">
        <v>11</v>
      </c>
      <c r="B15" s="20" t="s">
        <v>245</v>
      </c>
      <c r="C15" s="10" t="s">
        <v>29</v>
      </c>
      <c r="D15" s="21">
        <f>COUNTA('11 Rollins Inc'!D6:D10)+COUNTA('11 Rollins Inc'!D12:D17)+COUNTA('11 Rollins Inc'!D19:D24)+COUNTA('11 Rollins Inc'!D26:D30)+COUNTA('11 Rollins Inc'!D32:D36)+COUNTA('11 Rollins Inc'!D38:D42)+COUNTA('11 Rollins Inc'!D44:D48)</f>
        <v>10</v>
      </c>
      <c r="E15" s="22">
        <v>37</v>
      </c>
      <c r="F15" s="23">
        <f t="shared" si="0"/>
        <v>0.27027027027027029</v>
      </c>
    </row>
    <row r="16" spans="1:6" ht="30" customHeight="1" x14ac:dyDescent="0.2">
      <c r="A16" s="38" t="s">
        <v>246</v>
      </c>
      <c r="B16" s="38"/>
      <c r="C16" s="24"/>
      <c r="D16" s="25">
        <f>SUM(D5:D15)</f>
        <v>88</v>
      </c>
      <c r="E16" s="26">
        <v>407</v>
      </c>
      <c r="F16" s="27">
        <f t="shared" si="0"/>
        <v>0.21621621621621623</v>
      </c>
    </row>
  </sheetData>
  <mergeCells count="3">
    <mergeCell ref="A1:F1"/>
    <mergeCell ref="A2:F2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Data Priority Legend</vt:lpstr>
      <vt:lpstr>01 Neighborly</vt:lpstr>
      <vt:lpstr>02 Authority Brands</vt:lpstr>
      <vt:lpstr>03 Empower Brands</vt:lpstr>
      <vt:lpstr>04 Premium Service Brands</vt:lpstr>
      <vt:lpstr>05 HomeFront Brands</vt:lpstr>
      <vt:lpstr>06 Five Star Franchising</vt:lpstr>
      <vt:lpstr>07 ResiBrands</vt:lpstr>
      <vt:lpstr>08 Evive Brands</vt:lpstr>
      <vt:lpstr>09 Threshold Brands</vt:lpstr>
      <vt:lpstr>10 BELFOR Franchise Group</vt:lpstr>
      <vt:lpstr>11 Rollins Inc</vt:lpstr>
      <vt:lpstr>Completion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Flynt</cp:lastModifiedBy>
  <cp:revision>0</cp:revision>
  <dcterms:created xsi:type="dcterms:W3CDTF">2026-04-22T12:04:51Z</dcterms:created>
  <dcterms:modified xsi:type="dcterms:W3CDTF">2026-04-23T16:14:13Z</dcterms:modified>
  <dc:language>en-US</dc:language>
</cp:coreProperties>
</file>