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mflyntjr/Downloads/"/>
    </mc:Choice>
  </mc:AlternateContent>
  <xr:revisionPtr revIDLastSave="0" documentId="8_{4DF55662-BC7E-3745-B0AE-0B348C3395AE}" xr6:coauthVersionLast="47" xr6:coauthVersionMax="47" xr10:uidLastSave="{00000000-0000-0000-0000-000000000000}"/>
  <bookViews>
    <workbookView xWindow="0" yWindow="600" windowWidth="57000" windowHeight="17120" tabRatio="500" activeTab="12" xr2:uid="{00000000-000D-0000-FFFF-FFFF00000000}"/>
  </bookViews>
  <sheets>
    <sheet name="Executive Scorecard" sheetId="1" r:id="rId1"/>
    <sheet name="Changelog v15.6" sheetId="2" r:id="rId2"/>
    <sheet name="PE Relationship Map" sheetId="3" r:id="rId3"/>
    <sheet name="Track 1 · Franchisors" sheetId="4" r:id="rId4"/>
    <sheet name="Track 2 · Franchisees" sheetId="5" r:id="rId5"/>
    <sheet name="Engagement Log" sheetId="6" r:id="rId6"/>
    <sheet name="Account Feedback" sheetId="7" r:id="rId7"/>
    <sheet name="Field Guide" sheetId="8" r:id="rId8"/>
    <sheet name="📅 Event Intelligence" sheetId="9" r:id="rId9"/>
    <sheet name="💡 Engagement Ideas" sheetId="10" r:id="rId10"/>
    <sheet name="📊 Scoring Model" sheetId="11" r:id="rId11"/>
    <sheet name="🔍 Competition Intel" sheetId="12" r:id="rId12"/>
    <sheet name="📣 Marketing &amp; Offers" sheetId="13" r:id="rId13"/>
    <sheet name="🇺🇸 America 250" sheetId="14" r:id="rId1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93" i="1" l="1"/>
  <c r="F92" i="1"/>
  <c r="F88" i="1"/>
  <c r="E77" i="1"/>
  <c r="G77" i="1" s="1"/>
  <c r="E76" i="1"/>
  <c r="G76" i="1" s="1"/>
  <c r="E75" i="1"/>
  <c r="G75" i="1" s="1"/>
  <c r="E74" i="1"/>
  <c r="G74" i="1" s="1"/>
  <c r="F73" i="1"/>
  <c r="E73" i="1"/>
  <c r="G73" i="1" s="1"/>
  <c r="F72" i="1"/>
  <c r="E72" i="1"/>
  <c r="G72" i="1" s="1"/>
  <c r="E71" i="1"/>
  <c r="G71" i="1" s="1"/>
  <c r="G70" i="1"/>
  <c r="E70" i="1"/>
  <c r="F70" i="1" s="1"/>
  <c r="F69" i="1"/>
  <c r="E69" i="1"/>
  <c r="E68" i="1"/>
  <c r="F68" i="1" s="1"/>
  <c r="E67" i="1"/>
  <c r="F67" i="1" s="1"/>
  <c r="E66" i="1"/>
  <c r="F66" i="1" s="1"/>
  <c r="G60" i="1"/>
  <c r="F60" i="1"/>
  <c r="E60" i="1"/>
  <c r="G59" i="1"/>
  <c r="F59" i="1"/>
  <c r="E59" i="1"/>
  <c r="G58" i="1"/>
  <c r="F58" i="1"/>
  <c r="E58" i="1"/>
  <c r="G57" i="1"/>
  <c r="F57" i="1"/>
  <c r="E57" i="1"/>
  <c r="G56" i="1"/>
  <c r="F56" i="1"/>
  <c r="E56" i="1"/>
  <c r="G55" i="1"/>
  <c r="F55" i="1"/>
  <c r="E55" i="1"/>
  <c r="G54" i="1"/>
  <c r="F54" i="1"/>
  <c r="E54" i="1"/>
  <c r="G53" i="1"/>
  <c r="F53" i="1"/>
  <c r="E53" i="1"/>
  <c r="G52" i="1"/>
  <c r="F52" i="1"/>
  <c r="E52" i="1"/>
  <c r="E45" i="1"/>
  <c r="F44" i="1"/>
  <c r="E44" i="1"/>
  <c r="G44" i="1" s="1"/>
  <c r="E43" i="1"/>
  <c r="G43" i="1" s="1"/>
  <c r="E40" i="1"/>
  <c r="G39" i="1"/>
  <c r="E39" i="1"/>
  <c r="F39" i="1" s="1"/>
  <c r="E38" i="1"/>
  <c r="E32" i="1"/>
  <c r="G32" i="1" s="1"/>
  <c r="E31" i="1"/>
  <c r="G30" i="1"/>
  <c r="E30" i="1"/>
  <c r="F30" i="1" s="1"/>
  <c r="E29" i="1"/>
  <c r="G29" i="1" s="1"/>
  <c r="E27" i="1"/>
  <c r="F27" i="1" s="1"/>
  <c r="E26" i="1"/>
  <c r="F26" i="1" s="1"/>
  <c r="E25" i="1"/>
  <c r="F24" i="1"/>
  <c r="E24" i="1"/>
  <c r="G24" i="1" s="1"/>
  <c r="G18" i="1"/>
  <c r="E18" i="1"/>
  <c r="F18" i="1" s="1"/>
  <c r="E17" i="1"/>
  <c r="G17" i="1" s="1"/>
  <c r="E15" i="1"/>
  <c r="F15" i="1" s="1"/>
  <c r="E14" i="1"/>
  <c r="G14" i="1" s="1"/>
  <c r="E13" i="1"/>
  <c r="G13" i="1" s="1"/>
  <c r="G11" i="1"/>
  <c r="F11" i="1"/>
  <c r="E11" i="1"/>
  <c r="G10" i="1"/>
  <c r="F10" i="1"/>
  <c r="E10" i="1"/>
  <c r="F9" i="1"/>
  <c r="E9" i="1"/>
  <c r="G9" i="1" s="1"/>
  <c r="G15" i="1" l="1"/>
  <c r="G27" i="1"/>
  <c r="F14" i="1"/>
  <c r="G26" i="1"/>
  <c r="F76" i="1"/>
  <c r="F71" i="1"/>
  <c r="F74" i="1"/>
  <c r="F77" i="1"/>
  <c r="F13" i="1"/>
  <c r="F32" i="1"/>
  <c r="F43" i="1"/>
  <c r="F17" i="1"/>
  <c r="F29" i="1"/>
  <c r="F75" i="1"/>
</calcChain>
</file>

<file path=xl/sharedStrings.xml><?xml version="1.0" encoding="utf-8"?>
<sst xmlns="http://schemas.openxmlformats.org/spreadsheetml/2006/main" count="5077" uniqueCount="2716">
  <si>
    <t>📣 MARKETING, ADVERTISING, EVENTS &amp; OFFERS — ServiceBridge GTM Program</t>
  </si>
  <si>
    <t>🍽️  SECTION 1 — THE PILOT OFFER: "Lunch &amp; Launch"</t>
  </si>
  <si>
    <t>Offer Name</t>
  </si>
  <si>
    <t>The Lunch &amp; Launch — ServiceBridge 30-Day Pilot</t>
  </si>
  <si>
    <t>Tagline</t>
  </si>
  <si>
    <t>"We buy lunch. You get live. Let the numbers do the talking."</t>
  </si>
  <si>
    <t>What We Send</t>
  </si>
  <si>
    <t>$50 DoorDash/Uber Eats gift card + personal invite from GPS Insight account rep or Charles Layne</t>
  </si>
  <si>
    <t>What We Schedule</t>
  </si>
  <si>
    <t>45-minute virtual 'Lunch &amp; Install' session with a ServiceBridge tech. Franchisee gets full platform live during the call.</t>
  </si>
  <si>
    <t>Trial Terms</t>
  </si>
  <si>
    <t>30 days full access. No credit card. No contract. No obligation. We set it up — they just show up.</t>
  </si>
  <si>
    <t>Target Volume</t>
  </si>
  <si>
    <t>20 franchisees per cohort. Run 2-3 cohorts across different parent networks before going back to franchisor.</t>
  </si>
  <si>
    <t>Target Networks
(Priority Order)</t>
  </si>
  <si>
    <t>1. BELFOR franchisees — GPS Insight warm intro via account rep. Greenfield + insurance angle.
2. Five Star Franchising — Princeton PE exit window open. Bio-One, 1-800-Packouts, Five Star Bath Solutions.
3. PSB (Premium Service Brands) — Roxanne Conrad intro path. 360 Painting, ProLift, House Doctors.</t>
  </si>
  <si>
    <t>Source of 20</t>
  </si>
  <si>
    <t>Andrea Rowan → GPS Insight telematics customer list → identify BELFOR franchisees already on GPS Insight → account rep makes warm intro. This is the unlock. Without the list we are cold calling.</t>
  </si>
  <si>
    <t>What 'Install' Means</t>
  </si>
  <si>
    <t>ServiceBridge tech shares screen. Enters franchisee's real business info (name, address, 3-5 services). Creates sample jobs, shows dispatch board, runs a payment. Franchisee leaves with a live account, not a demo.</t>
  </si>
  <si>
    <t>Ask at Day 30</t>
  </si>
  <si>
    <t>1. One testimonial quote (written or on video, 60 sec)
2. Permission to share usage data with their franchisor
3. NPS score (1-10 would you recommend to another franchisee in your network)
4. Referral to one other franchisee in their network</t>
  </si>
  <si>
    <t>Franchisor Close</t>
  </si>
  <si>
    <t>After 20 pilots: deliver 'Cohort Report' to franchisor exec showing: # active users, avg jobs dispatched, avg payment collected, NPS score, 3 verbatim quotes. Frame as: 'Your operators have already voted.'</t>
  </si>
  <si>
    <t>Gift Card Budget</t>
  </si>
  <si>
    <t>20 franchisees × $50 = $1,000 per cohort. Three cohorts = $3,000 total pilot investment.</t>
  </si>
  <si>
    <t>Launch Date</t>
  </si>
  <si>
    <t>May 1, 2026 — aligns with outreach start date. First cohort closes June 1. Franchisor close meetings June-July.</t>
  </si>
  <si>
    <t>📬  SECTION 2 — PILOT OUTREACH SEQUENCE (Per Franchisee)</t>
  </si>
  <si>
    <t>TOUCH</t>
  </si>
  <si>
    <t>TIMING</t>
  </si>
  <si>
    <t>CHANNEL</t>
  </si>
  <si>
    <t>FROM</t>
  </si>
  <si>
    <t>SUBJECT / HOOK</t>
  </si>
  <si>
    <t>MESSAGE BODY</t>
  </si>
  <si>
    <t>GOAL</t>
  </si>
  <si>
    <t>1</t>
  </si>
  <si>
    <t>May 1
Week 1</t>
  </si>
  <si>
    <t>GPS Acct Rep
Phone/Email</t>
  </si>
  <si>
    <t>GPS Insight
Account Rep</t>
  </si>
  <si>
    <t>Quick intro — your fleet + your jobs</t>
  </si>
  <si>
    <t>Hey [Name], I work with GPS Insight on your fleet account. We just launched a pilot program with ServiceBridge — the FSM platform that connects directly to your GPS Insight data. We're inviting 20 operators across your network for a free 30-day trial. We send you lunch, our tech gets you live in 45 minutes. No contract, no card. Want to see it?</t>
  </si>
  <si>
    <t>Warm intro. Get a yes or a time.</t>
  </si>
  <si>
    <t>2</t>
  </si>
  <si>
    <t>May 5-7
Week 1</t>
  </si>
  <si>
    <t>Email</t>
  </si>
  <si>
    <t>Mike Flynt
Velocity GTM</t>
  </si>
  <si>
    <t>Lunch is on us — [Name]'s numbers in ServiceBridge</t>
  </si>
  <si>
    <t>Hi [Name],
[Rep name] from GPS Insight mentioned you might be interested in seeing ServiceBridge live.
Here's the offer: We send you a $50 DoorDash gift card. You join a 45-minute Zoom with one of our techs. We build your account live — real jobs, real dispatch, real payment. You keep it free for 30 days.
No contract. No credit card. Just lunch and 45 minutes.
I pre-loaded your numbers from [Parent Network] FDD data into our ROI model. Want me to share what it shows?
— Mike
Velocity GTM Co / GPS Insight GTM Partner</t>
  </si>
  <si>
    <t>Send gift card offer + Insight Engine teaser.</t>
  </si>
  <si>
    <t>3</t>
  </si>
  <si>
    <t>May 12-14
Week 2</t>
  </si>
  <si>
    <t>Phone</t>
  </si>
  <si>
    <t>Following up on the Lunch &amp; Launch invite</t>
  </si>
  <si>
    <t>Quick call to follow up on the email. Did the numbers look roughly right for your operation? I can adjust the model on the call. The 45-minute install slot is filling up — we're only running 20 operators in this first cohort. Wanted to make sure you had first access given the GPS Insight relationship.</t>
  </si>
  <si>
    <t>Book the install session.</t>
  </si>
  <si>
    <t>4</t>
  </si>
  <si>
    <t>Install Day
(Booked)</t>
  </si>
  <si>
    <t>Zoom</t>
  </si>
  <si>
    <t>ServiceBridge
Tech + Mike</t>
  </si>
  <si>
    <t>Lunch &amp; Launch — [Name] live in ServiceBridge</t>
  </si>
  <si>
    <t>45-minute session:
1. Tech shares screen, enters franchisee info live (5 min)
2. Creates 3 sample jobs matching their trade (10 min)
3. Shows dispatch board, scheduling, mobile tech view (10 min)
4. Runs a test payment, shows reporting dashboard (10 min)
5. Mike walks through Insight Engine with real numbers (10 min)
Franchisee leaves with a live account and a gift card code.</t>
  </si>
  <si>
    <t>Get them live. Create a wow moment.</t>
  </si>
  <si>
    <t>5</t>
  </si>
  <si>
    <t>Day 15
Mid-trial</t>
  </si>
  <si>
    <t>ServiceBridge
Tech</t>
  </si>
  <si>
    <t>How's [Name]'s account looking? Quick check-in</t>
  </si>
  <si>
    <t>Hi [Name], just checking in on your ServiceBridge account. You've had it 2 weeks — have you had a chance to dispatch any real jobs through it? Happy to jump on a quick 15-minute call if you hit any snags. We want to make sure you're getting full value out of the 30 days.</t>
  </si>
  <si>
    <t>Drive activation. Catch issues early.</t>
  </si>
  <si>
    <t>6</t>
  </si>
  <si>
    <t>Day 28-30
Close</t>
  </si>
  <si>
    <t>Phone + Email</t>
  </si>
  <si>
    <t>Your 30 days — what did you think?</t>
  </si>
  <si>
    <t>Hi [Name],
Your pilot wraps up in 2 days. Here's what your account shows: [X jobs dispatched, $X collected, X active].
Two quick asks:
1. Would you be willing to share a quick quote about your experience — even one sentence? We're building a report to take back to [Parent Franchisor].
2. NPS: On a scale of 1-10, would you recommend ServiceBridge to another [Parent Network] franchisee?
Either way, we'd love to keep your account live. Happy to talk options.
— Mike</t>
  </si>
  <si>
    <t>Get testimonial + NPS. Convert to paid or reference.</t>
  </si>
  <si>
    <t>📅  SECTION 3 — FRANCHISE EVENTS CALENDAR (Vendor/Sponsor Opportunities)</t>
  </si>
  <si>
    <t>EVENT</t>
  </si>
  <si>
    <t>FRANCHISOR/NETWORK</t>
  </si>
  <si>
    <t>DATE</t>
  </si>
  <si>
    <t>LOCATION</t>
  </si>
  <si>
    <t>TYPE</t>
  </si>
  <si>
    <t>OPPORTUNITY</t>
  </si>
  <si>
    <t>CONTACTS</t>
  </si>
  <si>
    <t>STATUS</t>
  </si>
  <si>
    <t>PRIORITY</t>
  </si>
  <si>
    <t>BELFOR Franchise Group
Annual Convention</t>
  </si>
  <si>
    <t>BELFOR / All BFG Brands</t>
  </si>
  <si>
    <t>Feb 2027
(est.)</t>
  </si>
  <si>
    <t>TBD</t>
  </si>
  <si>
    <t>Annual Convention</t>
  </si>
  <si>
    <t>Vendor expo floor. 14 brands + franchisees in one room. Rusty Amarante + Beth Toenies intro path.</t>
  </si>
  <si>
    <t>Beth Toenies (VP FD)
Rusty Amarante (President BFG)</t>
  </si>
  <si>
    <t>Research 2026 date</t>
  </si>
  <si>
    <t>🔴 HIGH</t>
  </si>
  <si>
    <t>HomeFront Homecoming 4</t>
  </si>
  <si>
    <t>HomeFront Brands</t>
  </si>
  <si>
    <t>Nov 2026</t>
  </si>
  <si>
    <t>Orlando, FL</t>
  </si>
  <si>
    <t>Vendor/sponsor opportunity. Jeff Dudan founder event. All HomeFront franchisees in one room.</t>
  </si>
  <si>
    <t>Jeff Dudan (CEO)
Zack Dudan (CGO)</t>
  </si>
  <si>
    <t>⚠️ Confirm vendor registration</t>
  </si>
  <si>
    <t>IFA Annual Convention</t>
  </si>
  <si>
    <t>International Franchise Association</t>
  </si>
  <si>
    <t>Industry Conference</t>
  </si>
  <si>
    <t>Franchisor CEOs, PE operating partners, brand presidents all attend. Best place to build relationships outside of direct outreach.</t>
  </si>
  <si>
    <t>All franchisor contacts</t>
  </si>
  <si>
    <t>Research 2027 date</t>
  </si>
  <si>
    <t>🟡 MEDIUM</t>
  </si>
  <si>
    <t>Five Star Franchising
Annual Convention</t>
  </si>
  <si>
    <t>Five Star Franchising</t>
  </si>
  <si>
    <t>Q1 2027
(est.)</t>
  </si>
  <si>
    <t>Princeton PE Year 5 — Scott Abbott + Steve White attending. Bio-One, Mosquito Shield franchisees. Exit window messaging.</t>
  </si>
  <si>
    <t>Scott Abbott (CEO)
Steve White (CFO)
Michael Moorhouse (Mosquito Shield)</t>
  </si>
  <si>
    <t>Research date</t>
  </si>
  <si>
    <t>Threshold Brands
Franchise Convention</t>
  </si>
  <si>
    <t>Threshold Brands / Riverside</t>
  </si>
  <si>
    <t>Q1-Q2 2027
(est.)</t>
  </si>
  <si>
    <t>MaidPro, USA Insulation, Sir Grout franchisees. Riverside PE Year 4 exit window context.</t>
  </si>
  <si>
    <t>Hagan Kappler (CEO — verify)
Andrea Hohermuth (COO)</t>
  </si>
  <si>
    <t>PSB Annual Conference</t>
  </si>
  <si>
    <t>Premium Service Brands</t>
  </si>
  <si>
    <t>Q2 2027
(est.)</t>
  </si>
  <si>
    <t>Charlottesville, VA area</t>
  </si>
  <si>
    <t>360 Painting, ProLift, RooterMan franchisees. Paul Flick (Founder/CEO) in attendance.</t>
  </si>
  <si>
    <t>Paul Flick (CEO)
Roxanne Conrad (COO)
Gabe Colon (EVP Performance)</t>
  </si>
  <si>
    <t>Authority Brands
Franchise Conference</t>
  </si>
  <si>
    <t>Authority Brands / Apax</t>
  </si>
  <si>
    <t>Jay Caiafa (new CEO Aug 2025) + Tij Bedi (CTO). New leadership = new vendor relationships possible. 12 brands in attendance.</t>
  </si>
  <si>
    <t>Jay Caiafa (CEO)
Tij Bedi (CTO)</t>
  </si>
  <si>
    <t>Research date + reach via Tij Bedi</t>
  </si>
  <si>
    <t>Franchise Times Forum</t>
  </si>
  <si>
    <t>Industry</t>
  </si>
  <si>
    <t>Oct 2026
(est.)</t>
  </si>
  <si>
    <t>Franchise execs + PE operators. Good for Neighborly/KKR relationship building at safe distance.</t>
  </si>
  <si>
    <t>Felix Gernburd (KKR) — do not approach direct</t>
  </si>
  <si>
    <t>⚪ LOW</t>
  </si>
  <si>
    <t>📡  SECTION 4 — ADVERTISING &amp; CHANNEL PLAN</t>
  </si>
  <si>
    <t>TARGET AUDIENCE</t>
  </si>
  <si>
    <t>MESSAGE / HOOK</t>
  </si>
  <si>
    <t>FORMAT</t>
  </si>
  <si>
    <t>BUDGET SIGNAL</t>
  </si>
  <si>
    <t>LinkedIn — Organic</t>
  </si>
  <si>
    <t>Franchise CEOs, PE operating partners, CFOs, CTOs in home services</t>
  </si>
  <si>
    <t>Insight Engine results for specific networks. PE exit math posts. 'What franchise operators are leaving on the table' content.</t>
  </si>
  <si>
    <t>Text posts + images. 2-3x/week.</t>
  </si>
  <si>
    <t>Zero cost — Mike's LinkedIn</t>
  </si>
  <si>
    <t>Start May 1</t>
  </si>
  <si>
    <t>📝 Plan content calendar</t>
  </si>
  <si>
    <t>LinkedIn — Targeted DM</t>
  </si>
  <si>
    <t>CEOs, COOs, CFOs at target franchisor accounts. PE deal teams.</t>
  </si>
  <si>
    <t>Personalized outreach referencing FDD data, Insight Engine pre-loaded with their numbers. Not a cold pitch — a warm data share.</t>
  </si>
  <si>
    <t>Direct message. 200-300 words max.</t>
  </si>
  <si>
    <t>Zero cost</t>
  </si>
  <si>
    <t>Start May 1 per outreach sequence</t>
  </si>
  <si>
    <t>📝 Drafts needed per account</t>
  </si>
  <si>
    <t>LinkedIn — Paid Ads
(Phase 2)</t>
  </si>
  <si>
    <t>Franchise executives at target networks. Job titles: CEO, COO, CFO, CTO, VP Operations, Franchise Dev</t>
  </si>
  <si>
    <t>'We already know your numbers.' Lead with Insight Engine output as creative. Drive to landing page.</t>
  </si>
  <si>
    <t>Single image ads + carousel. Lead gen form.</t>
  </si>
  <si>
    <t>$500-1,000/mo test budget
(Phase 2 only)</t>
  </si>
  <si>
    <t>Post-first-pilot (July 2026+)</t>
  </si>
  <si>
    <t>⏸️ Hold until pilot data in hand</t>
  </si>
  <si>
    <t>Email — Warm Intro Sequence</t>
  </si>
  <si>
    <t>GPS Insight account reps → their franchisee contacts</t>
  </si>
  <si>
    <t>Lunch &amp; Launch offer. Gift card + 45-min install. Personalized with FDD numbers.</t>
  </si>
  <si>
    <t>Plain text email. 150-200 words. Personal tone.</t>
  </si>
  <si>
    <t>May 1 — coordinated with Andrea</t>
  </si>
  <si>
    <t>⚠️ Needs Andrea's account rep list</t>
  </si>
  <si>
    <t>GPS Insight Newsletter
/ Customer Comms</t>
  </si>
  <si>
    <t>GPS Insight existing customers who are franchise operators</t>
  </si>
  <si>
    <t>'Did you know your GPS Insight data connects directly to ServiceBridge FSM?' Awareness play inside existing customer base.</t>
  </si>
  <si>
    <t>GPS Insight internal comms. Article or email blast.</t>
  </si>
  <si>
    <t>Zero cost (coordinate with Andrea)</t>
  </si>
  <si>
    <t>Q2 2026</t>
  </si>
  <si>
    <t>⚠️ Needs Andrea + Charles approval</t>
  </si>
  <si>
    <t>Franchise Trade Press
(PR / Contributed Article)</t>
  </si>
  <si>
    <t>Franchise Times, Franchise Business Review, multi-unit franchising publications</t>
  </si>
  <si>
    <t>'What PE-backed franchise networks look for in FSM: the exit multiple conversation no one is having.' Thought leadership positioning Mike as the expert.</t>
  </si>
  <si>
    <t>1,200-word contributed article. Bylined by Mike Flynt.</t>
  </si>
  <si>
    <t>Zero cost (contributed editorial)</t>
  </si>
  <si>
    <t>Submit June 2026 — after first pilot data</t>
  </si>
  <si>
    <t>📝 Draft outline needed</t>
  </si>
  <si>
    <t>The ServiceBridge
Advantage (Direct Mail)</t>
  </si>
  <si>
    <t>CEOs / COOs at top 9 franchisor targets</t>
  </si>
  <si>
    <t>Physical copy of The ServiceBridge Advantage doc + handwritten note from Charles Layne. Delivered before first outreach touch.</t>
  </si>
  <si>
    <t>Printed 19-page doc + cover letter. FedEx envelope.</t>
  </si>
  <si>
    <t>$50-100/package × 9 = $450-900</t>
  </si>
  <si>
    <t>April 28 — week before May 1 outreach</t>
  </si>
  <si>
    <t>⚠️ Needs Charles to sign cover letter</t>
  </si>
  <si>
    <t>🎁  SECTION 5 — OFFER LIBRARY</t>
  </si>
  <si>
    <t>OFFER NAME</t>
  </si>
  <si>
    <t>TARGET</t>
  </si>
  <si>
    <t>DESCRIPTION</t>
  </si>
  <si>
    <t>HOOK</t>
  </si>
  <si>
    <t>ASK IN RETURN</t>
  </si>
  <si>
    <t>COMMERCIAL TERMS</t>
  </si>
  <si>
    <t>🍽️ Lunch &amp; Launch
30-Day Pilot</t>
  </si>
  <si>
    <t>Franchisees
(Greenfield operators
2-10 techs)</t>
  </si>
  <si>
    <t>$50 DoorDash gift card + 45-min virtual install session with ServiceBridge tech. Full platform access for 30 days. Account built live during the call.</t>
  </si>
  <si>
    <t>1 testimonial quote
1 NPS score (1-10)
Permission to share data with franchisor
1 referral to another franchisee</t>
  </si>
  <si>
    <t>30-day free trial. Standard pricing after. No contract lock-in.</t>
  </si>
  <si>
    <t>✅ READY TO DEPLOY
Launch May 1, 2026</t>
  </si>
  <si>
    <t>📊 Insight Engine
Franchisor Briefing</t>
  </si>
  <si>
    <t>Franchisor CEOs,
CFOs, PE Operating
Partners</t>
  </si>
  <si>
    <t>Pre-loaded ROI model with their specific network data (FDD-sourced). Delivered as a 30-minute 'data briefing' — not a pitch. 'Here's what your network looks like.'</t>
  </si>
  <si>
    <t>"No generic demo. Your numbers, your network, before the first call."</t>
  </si>
  <si>
    <t>30-minute follow-up call with ops team
Introduction to 2 franchisees for pilot</t>
  </si>
  <si>
    <t>No cost. Tool freely provided. Commercial conversation follows pilot data.</t>
  </si>
  <si>
    <t>✅ READY TO DEPLOY
Insight Engine v4 built</t>
  </si>
  <si>
    <t>🤝 GPS Insight
Warm Intro Offer</t>
  </si>
  <si>
    <t>GPS Insight existing
customers who are
franchise operators</t>
  </si>
  <si>
    <t>For franchisees already on GPS Insight: ServiceBridge as the FSM layer on top of existing fleet data. 'Your trucks are already tracked — now connect the jobs.'</t>
  </si>
  <si>
    <t>"You already trust GPS Insight with your fleet. ServiceBridge completes the picture."</t>
  </si>
  <si>
    <t>Reference call with 1 other GPS Insight customer
Usage data sharing</t>
  </si>
  <si>
    <t>GPS Insight customer discount TBD with Andrea/Charles. Bundled pricing conversation.</t>
  </si>
  <si>
    <t>⚠️ PENDING
Needs Andrea approval on bundle pricing</t>
  </si>
  <si>
    <t>🏆 Cohort Report
Franchisor Close</t>
  </si>
  <si>
    <t>Franchisor CEOs
after 20-pilot cohort</t>
  </si>
  <si>
    <t>After 20 pilot completions: deliver a branded 'Cohort Report' showing aggregate results — active users, jobs dispatched, NPS, 3 verbatim quotes, revenue impact. Walk it into the franchisor meeting.</t>
  </si>
  <si>
    <t>"Your operators have already voted. Here's what they said."</t>
  </si>
  <si>
    <t>Commitment to 90-day network pilot
Introduction to PE operating partner</t>
  </si>
  <si>
    <t>Network pilot pricing TBD based on tech count. Volume discount vs individual operator pricing.</t>
  </si>
  <si>
    <t>📝 TEMPLATE NEEDED
Build after first cohort data</t>
  </si>
  <si>
    <t>🎯 PE Exit Math
Briefing</t>
  </si>
  <si>
    <t>PE Operating Partners
(American Securities,
Riverside, Princeton,
MidOcean)</t>
  </si>
  <si>
    <t>45-minute 'Capital Allocation Briefing' — not a software pitch. Show the 3-Way Scenario: ServiceBridge as an EBITDA expansion lever and exit multiple enhancer. Delivered by Mike + Charles.</t>
  </si>
  <si>
    <t>"This is not a software conversation. This is an exit multiple conversation."</t>
  </si>
  <si>
    <t>Introduction to portfolio company CEO/COO
Permission to run Insight Engine on portfolio</t>
  </si>
  <si>
    <t>No cost. PE relationship is the return. Commercial follows portfolio company engagement.</t>
  </si>
  <si>
    <t>⚠️ PENDING
Needs Charles + Garrett sign-off on narrative</t>
  </si>
  <si>
    <t>🇺🇸  SECTION 6 — AMERICA'S 250TH ANNIVERSARY CAMPAIGN (1776–2026)</t>
  </si>
  <si>
    <t>The Opportunity</t>
  </si>
  <si>
    <t>July 4, 2026 = America's 250th birthday (Semiquincentennial). The White House has a dedicated Task Force 250 / Freedom 250 initiative. This is the single most patriotic moment in a generation. Our audience — franchise operators in the trades — are overwhelmingly patriotic, often military-adjacent, and deeply connected to American small business culture. This is NOT a generic marketing moment. This is a genuine alignment between who they are and what we're celebrating.</t>
  </si>
  <si>
    <t>The Core Message</t>
  </si>
  <si>
    <t>"The trades built America. For 250 years, the plumbers, electricians, painters, restoration crews and pest control operators have kept this country running. GPS Insight and ServiceBridge are proud to serve the people who keep America moving — on America's 250th birthday, we say thank you."</t>
  </si>
  <si>
    <t>Campaign Name</t>
  </si>
  <si>
    <t>"Built to Last — 250 Years of American Trades" — GPS Insight × ServiceBridge × America 250</t>
  </si>
  <si>
    <t>Handwritten Letter
Campaign</t>
  </si>
  <si>
    <t>Write a personal, handwritten letter — or a high-quality handwritten-style printed letter on premium letterhead — to every CEO, COO, CFO, and VP Business Development at our Top 9 franchisors.
Letter themes:
• Honor the trades on America's 250th birthday
• Reference their specific network (BELFOR restores American homes, Five Star builds American bathrooms, etc.)
• Tie GPS Insight + ServiceBridge to the American small business story
• Close with a personal invitation to a conversation — not a pitch
Delivery: FedEx envelope. Arrive first week of May 2026 — before our first outreach call.
Signed: Mike Flynt, Velocity GTM Co — with a handwritten note from Charles Layne for Tier 1 accounts.
Total letters: 9 franchisors × 4 contacts each = ~36 letters. Budget: $200-300 (printing + FedEx).</t>
  </si>
  <si>
    <t>Challenge Coin
(v18 FINAL)
→ See 🇺🇸 America 250 tab</t>
  </si>
  <si>
    <t>GPS Insight / ServiceBridge Limited Edition Challenge Coin — America 250th Anniversary
FINAL DESIGN BRIEF (v18 — LOCKED) — Ready for Charles Layne approval before ordering
── FRONT FACE ──
• Outer ring: Polished silver edge with reeded tick marks (60 ticks)
• Wide rim band: Dark navy enamel (#1A2B3C) with WHITE raised lettering
  - Top arc: "CELEBRATING 250 YEARS" with ★ flanking
  - Bottom arc: "SEMIQUINCENTENNIAL" with ★ flanking
• Black enamel center field (r=128)
• AMERICA — large serif (30pt), wide letter-spacing, top of field
• 250 — large italic serif (90pt), red/white/blue diagonal stripe fill, silver outline
• Divider line
• TRADES BUILT AMERICA (spaced caps, 11pt)
• 1776 — 2026 (10pt, muted)
• Bottom micro-line: GPSInsight · ServiceBridge (9pt, dimmed)
── BACK FACE ──
• Same silver outer ring + reeded ticks + navy rim band
  - Top arc: "POWERING THE AMERICAN TRADES"
  - Bottom arc: "TRADES BUILT AMERICA 1776–2026"
• Black enamel center field
• GPSINSIGHT wordmark (28pt bold sans, centered)
• 3-dot signature raised to TOP OF THE T (superscript position):
  - Grey dot (#888780) — top-left of cluster
  - Blue dot (#185FA5) — directly below grey (stacked left column)
  - Red dot (#A32D2D) — centered right, vertically between grey and blue
  - All dots r=4.2, tight cluster at cap-height above the T
• "Experience you can trust" tagline (11pt, muted #888898)
• Divider line
• SERVICEBRIDGE (18pt, softer/smaller than GPS Insight)
• "Fleet Management Software" (11pt muted, same style as Experience tagline)
── PRODUCTION SPECS ──
• Size: 1.5 inch diameter · 3mm thick
• Finish: Antique silver outer edge + dark navy enamel rim band + black enamel field
• Process: Die struck, hard enamel fill
• Quantity: ~150 coins ($5-7 each = $750-1,050)
• Vendors: ChallengeCoins4Less.com · CoinandPins.com
• Lead time: 3-4 weeks from approved artwork
── PENDING ACTIONS (before ordering) ──
⚠️  1. Charles Layne sign-off on full design
⚠️  2. GPS Insight brand guidelines confirm co-branded coin approved
⚠️  3. America 250 trademark license — apply at america250.org licensing program
⚠️  4. Confirm navy enamel rim + GPS Insight dot colors per brand standards
⚠️  5. Determine distribution list (36 franchisor contacts + 14 PE + 60 pilot + 20 Charles)</t>
  </si>
  <si>
    <t>🪙  Challenge Coin v18 FINAL — Visual Reference (front &amp; back)</t>
  </si>
  <si>
    <t>LinkedIn Campaign
— America 250 Angle</t>
  </si>
  <si>
    <t>Series: "250 Years of American Trades"
Post 1 (May 1): "In 1776, someone had to fix the plumbing at Independence Hall. The trades have been keeping America running for 250 years. Today we start a conversation about the technology they deserve." [Image: GPS Insight + America 250]
Post 2 (May 15): "BELFOR's 9,250 technicians responded to more American disasters last year than most people will ever see in a lifetime. These are the people we're proud to work with." [Image: restoration crew at work]
Post 3 (June 1): "First cohort results: 20 franchise operators. 30 days. [X] jobs dispatched. [X] paid. Here's what they said." [Post-pilot results — fill in after cohort 1]
Post 4 (July 4): "Happy 250th Birthday, America. To every technician, operator, and franchise owner keeping this country running — this one's for you." [Challenge coin image + America 250]
Frequency: 2-3x/week organic posts from Mike's personal LinkedIn. Tag GPS Insight company page. Tag target franchisor companies.</t>
  </si>
  <si>
    <t>🍺  SECTION 7 — BREWERY WEBINAR: "Suds &amp; Software"</t>
  </si>
  <si>
    <t>Concept</t>
  </si>
  <si>
    <t>Format</t>
  </si>
  <si>
    <t>• 60-minute Zoom webinar
• 10-15 franchise operators per session (curated, not open registration)
• Pre-webinar: 3-beer sampler pack delivered to each registrant (1-2 days before)
• Webinar structure:
  - 0:00 Welcome, crack open beer #1, quick intros (10 min)
  - 0:10 Live ServiceBridge demo — real jobs, real dispatch, real payment (20 min)
  - 0:30 Crack beer #2 — Q&amp;A and "what would this look like in your business?" (15 min)
  - 0:45 Insight Engine — show their FDD numbers live, PE exit math (10 min)
  - 0:55 Crack beer #3 — Pilot offer close: "Who wants a 30-day account?" (5 min)
• Follow-up within 24 hours with personalized Insight Engine output + pilot invite</t>
  </si>
  <si>
    <t>Brewery Partner
Strategy</t>
  </si>
  <si>
    <t>Use a brewery in the same city/region as the target franchisor — creates local connection and goodwill.
• BELFOR franchisees (national) — partner with a veteran-owned brewery (strong patriotic tie-in)
• Five Star franchisees (Midwest/national) — local craft brewery in franchisee's market, ship via Drizly/GoPuff/local delivery
• PSB franchisees (Charlottesville, VA area) — local Virginia craft brewery, lean into the 250th anniversary Virginia history angle
Delivery logistics: Use Drizly, GoPuff, or a local delivery service in each market. $20-30 per 3-pack. Confirm delivery availability by zip code before scheduling the webinar.</t>
  </si>
  <si>
    <t>Cost Per Session</t>
  </si>
  <si>
    <t>15 registrants × $25 beer delivery = $375 beer
Zoom Pro = $0 (already have)
Promotion (LinkedIn DM + email) = $0
ServiceBridge tech time = 1 hour
Total: ~$375-500 per webinar session
3 sessions (one per target network) = $1,125-1,500 total</t>
  </si>
  <si>
    <t>Webinar Name Options</t>
  </si>
  <si>
    <t>1. "Suds &amp; Software" — straightforward, memorable
2. "Cracks &amp; Codes" — plays on the trades + tech angle
3. "Pints &amp; Pilots" — ties to the pilot offer
4. "Built to Last" — ties to the America 250 theme
Recommendation: "Suds &amp; Software" for the series name. Subtitle: "A 60-Minute Live Demo for the Trades — Beer Included."</t>
  </si>
  <si>
    <t>GPS Insight / SB
Precedent Check</t>
  </si>
  <si>
    <t>🚐  SECTION 8 — 30-DAY RIDE-ALONG PLAN (Competitive Intelligence in the Field)</t>
  </si>
  <si>
    <t>Objective</t>
  </si>
  <si>
    <t>Spend a day with 4 operators who use a competing FSM platform (ServiceTitan, Jobber, Housecall Pro, FieldRoutes). Ride in the truck. Watch the dispatch process. See where the friction is. Learn what they love and hate about their current software — from real usage, not demos.
This is the single best competitive intelligence available. No research report, no G2 review, no analyst briefing will tell you what one day in a service truck will tell you.</t>
  </si>
  <si>
    <t>Target Ride-Alongs
(Priority)</t>
  </si>
  <si>
    <t>1. ServiceTitan user — HVAC or plumbing operator (highest priority — #1 competitor)
   Best source: Ask Andrea for a GPS Insight telematics customer who is also on ServiceTitan
   What to watch: Job dispatch flow, time from call to truck, invoice process, tech frustration points
2. FieldRoutes user — pest control or lawn care operator
   Best source: Mosquito Shield franchisee or similar route-based operator
   What to watch: Route scheduling, how stops are managed, what data they can't see
3. Jobber user — small painting or cleaning operator (2-5 techs)
   Best source: PSB or HomeFront franchisee who hasn't adopted a network platform
   What to watch: Manual workarounds, what they wish Jobber did better
4. Paper / No FSM operator — greenfield franchisee
   Best source: BELFOR restoration franchisee, newer operator
   What to watch: The chaos. What falls through the cracks. What a Week-1 install would solve immediately.</t>
  </si>
  <si>
    <t>How to Get Access</t>
  </si>
  <si>
    <t>1. Ask Andrea for GPS Insight telematics customers who are franchise operators — many will be on competing FSM. GPS Insight rep makes intro: "Our GTM partner wants to understand how you operate — would you be willing to spend a day with them?"
2. LinkedIn outreach to franchise operators in target networks — "I'm building a report on how the best franchise operators use technology. Would you let me ride along for a day? Happy to share the findings with you."
3. Charles Layne warm intro — "Mike is doing competitive field research to help us serve your industry better. Could you spend a day with him?"
Incentive to offer: $250 Amazon gift card for a full day ride-along. Free Insight Engine output for their specific operation.</t>
  </si>
  <si>
    <t>What to Capture</t>
  </si>
  <si>
    <t>For each ride-along, document:
• Current FSM platform + how they feel about it (1-10 NPS)
• Biggest daily frustration with current system
• How they dispatch (phone call? app? radio? paper?)
• How they invoice and collect payment
• How long from job complete to payment received
• What data they wish they had but don't
• What they'd pay for a better solution
• Photo of their current dispatch board / workflow (with permission)
Output: A "Field Intelligence Report" — 1-2 pages per ride-along. Shared with Charles, Andrea, Garrett. Informs Insight Engine inputs and ServiceBridge pitch refinement.</t>
  </si>
  <si>
    <t>Timeline</t>
  </si>
  <si>
    <t>Week 1 (May 1-7): Identify 4 operators via Andrea + LinkedIn. Make ask.
Week 2 (May 8-14): Confirm 4 ride-along dates.
Week 3-4 (May 15-31): Complete all 4 ride-alongs.
June 1: Deliver Field Intelligence Report to GPS Insight team.
Goal: Enter every franchisor conversation in June with first-hand competitive intelligence no vendor has. "I spent a day in the truck with a ServiceTitan operator last week. Here's what I saw."</t>
  </si>
  <si>
    <t>💼  SECTION 9 — LINKEDIN CAMPAIGN STRATEGY</t>
  </si>
  <si>
    <t>Should We Run
LinkedIn Paid Ads?</t>
  </si>
  <si>
    <t>SHORT ANSWER: Yes, but Phase 2 only — after first pilot data is in hand.
SERVICETITAN runs LinkedIn paid ads heavily (segmented by trade, company size, geography per public analysis). They have 1,000+ sales reps and a massive ABM operation.
WE SHOULD NOT try to outspend them. We should outflank them.
Our LinkedIn strategy is:
• Phase 1 (May-July 2026): Organic posts + targeted personal DMs. Zero ad spend. Use Mike's personal brand + Charles Layne relationship as the differentiator.
• Phase 2 (July 2026+): $500-1,000/mo test budget on LinkedIn Lead Gen Forms targeting franchise CEOs/COOs/CFOs + PE operating partners. Creative = Insight Engine output for their specific network. "We already know your numbers."
Competitor weakness: ServiceTitan runs generic trade ads. We can run hyper-specific franchise network ads that no generic FSM vendor can match.</t>
  </si>
  <si>
    <t>Organic LinkedIn
Content Pillars</t>
  </si>
  <si>
    <t>1. FRANCHISE OPERATOR STORIES — "A day in the truck with [trade] operators" (ride-along content)
2. INSIGHT ENGINE REVEALS — "Here's what [Network X]'s numbers look like when you run them through the model"
3. AMERICA 250 / TRADES PATRIOTISM — "250 years of American trades" series
4. COMPETITION INTEL — "What ServiceTitan doesn't tell you" educational posts (tactful, data-driven)
5. PILOT RESULTS — Post-cohort: "20 operators. 30 days. Here's what happened."
6. PE EXIT MATH — "Why franchise PE firms should care about FSM margins" thought leadership
Cadence: 3 posts/week from Mike's personal LinkedIn. Tag GPS Insight company page. Engage with target accounts' posts BEFORE reaching out (warm the relationship).</t>
  </si>
  <si>
    <t>DM Outreach
Strategy</t>
  </si>
  <si>
    <t>Step 1: Follow + engage with 2-3 posts from target exec (like, thoughtful comment). Do this for 1-2 weeks.
Step 2: Connect request with personalized note referencing their content.
Step 3 (after connect): Short DM — "I pre-loaded [Network] data into our ROI model — would it be useful to share what it shows? Takes 5 minutes on a call."
DO NOT pitch in DM #1. The Insight Engine data is the hook — it shows you've done homework they haven't seen from any other vendor.
Target: 5 new connections/week across Top 9 franchisor exec teams = ~45 new exec relationships by end of May.</t>
  </si>
  <si>
    <t>📍  SECTION 10 — WHERE OUR CLIENTS ARE GOING (Events Mike Should Attend)</t>
  </si>
  <si>
    <t>Research Approach</t>
  </si>
  <si>
    <t>For each of our Top 9 franchisor targets, we need to identify:
1. Their annual franchise convention (where franchisees + leadership gather)
2. Trade association events their CEOs/COOs speak at or attend
3. PE portfolio company events (less public but worth researching)
4. Industry conferences (IFA, Franchise Times Forum, etc.)
SOURCES to check for each network:
• Company website → "Events" or "Convention" page
• LinkedIn events section for company page
• Google: "[Franchisor name] annual convention 2026"
• IFA.org events calendar
• FranchiseTimes.com events
• Each PE firm's portfolio company event announcements</t>
  </si>
  <si>
    <t>November 2026</t>
  </si>
  <si>
    <t>CONFIRMED — Annual franchise convention. Jeff Dudan founded event. Vendor floor opportunity. Register as exhibitor. All HomeFront franchisees attend.</t>
  </si>
  <si>
    <t>🔴 REGISTER NOW</t>
  </si>
  <si>
    <t>BELFOR Annual Convention</t>
  </si>
  <si>
    <t>BELFOR / American Securities</t>
  </si>
  <si>
    <t>Feb 2027 (est.)</t>
  </si>
  <si>
    <t>TBD — verify</t>
  </si>
  <si>
    <t>BELFOR holds annual franchise conventions. GPS Insight warm intro via Charles = best path to vendor floor access. Contact Beth Toenies or Rusty Amarante to inquire about vendor participation.</t>
  </si>
  <si>
    <t>🔴 VERIFY DATE — Contact Beth Toenies</t>
  </si>
  <si>
    <t>Five Star Franchisee Summit</t>
  </si>
  <si>
    <t>Five Star Franchising / Princeton</t>
  </si>
  <si>
    <t>Q1 2027 (est.)</t>
  </si>
  <si>
    <t>TBD — verify fivestarfranchising.com</t>
  </si>
  <si>
    <t>Princeton PE Year 5 exit window. Scott Abbott + franchisees attend. Vendor/sponsor inquiry via Scott Abbott or Michael Moorhouse intro.</t>
  </si>
  <si>
    <t>🟡 RESEARCH DATE</t>
  </si>
  <si>
    <t>Las Vegas (typical)</t>
  </si>
  <si>
    <t>Largest franchise industry event. All franchisor CEOs attend. Best place to build 5+ franchisor relationships in 2 days. Exhibitor booth or attendee.</t>
  </si>
  <si>
    <t>🟡 REGISTER AS ATTENDEE — 2027</t>
  </si>
  <si>
    <t>Industry — Franchise Times Magazine</t>
  </si>
  <si>
    <t>Oct 2026 (est.)</t>
  </si>
  <si>
    <t>TBD — franchisettimes.com</t>
  </si>
  <si>
    <t>Smaller, high-quality exec event. CEOs from PSB, Resibrands, HomeFront likely attend. Good for Tier 2 relationship building.</t>
  </si>
  <si>
    <t>🟡 CHECK DATE + REGISTRATION</t>
  </si>
  <si>
    <t>Threshold Brands Convention</t>
  </si>
  <si>
    <t>Q1-Q2 2027 (est.)</t>
  </si>
  <si>
    <t>Riverside PE Year 4. All Threshold brands (MaidPro, USA Insulation, Sir Grout, Pestmaster) franchisees attend. Vendor inquiry via Andrea Hohermuth (COO).</t>
  </si>
  <si>
    <t>🟡 RESEARCH DATE — Contact Andrea H.</t>
  </si>
  <si>
    <t>PSB Annual Summit</t>
  </si>
  <si>
    <t>Premium Service Brands / Susquehanna</t>
  </si>
  <si>
    <t>Q2 2027 (est.)</t>
  </si>
  <si>
    <t>Paul Flick (Founder/CEO) runs a tight event. Requires relationship to get vendor access. Roxanne Conrad intro path.</t>
  </si>
  <si>
    <t>🟡 RESEARCH DATE — Contact Roxanne Conrad</t>
  </si>
  <si>
    <t>Multi-Unit Franchising Conference</t>
  </si>
  <si>
    <t>March/April 2027 (est.)</t>
  </si>
  <si>
    <t>Multi-unit operators (3+ locations) attend. Our exact target demographic — operators running 5-20 techs across multiple locations. Strong pilot-to-reference path.</t>
  </si>
  <si>
    <t>⚪ RESEARCH + CONSIDER</t>
  </si>
  <si>
    <t xml:space="preserve">  EXECUTIVE SCORECARD  ·  ServiceBridge Franchisor GTM Engagement  ·  April – June 2026</t>
  </si>
  <si>
    <t xml:space="preserve">  Prepared by Velocity GTM Co LLC  ·  Michael Montgomery Flynt Jr  ·  Metrics auto-update as activity is logged across all tabs</t>
  </si>
  <si>
    <t>METRIC</t>
  </si>
  <si>
    <t>ACTUAL</t>
  </si>
  <si>
    <t>% TO GOAL</t>
  </si>
  <si>
    <t>PHASE 1  ·  30-DAY  ·  DEVELOP</t>
  </si>
  <si>
    <t xml:space="preserve">  Target: End of April 2026  ·  Build the foundation for both tracks</t>
  </si>
  <si>
    <t xml:space="preserve">  TRACK 1  —  FRANCHISOR</t>
  </si>
  <si>
    <t xml:space="preserve">  Franchisors Profiled (deep research complete)</t>
  </si>
  <si>
    <t xml:space="preserve">  Contacts Mapped (3+ per franchisor = 27 total)</t>
  </si>
  <si>
    <t xml:space="preserve">  Outreach Sequences Live (both tracks active)</t>
  </si>
  <si>
    <t xml:space="preserve">  TRACK 2  —  FRANCHISEE</t>
  </si>
  <si>
    <t xml:space="preserve">  Franchisee Brands Scored (all 85 in database)</t>
  </si>
  <si>
    <t xml:space="preserve">  Contacts Validated (one per brand)</t>
  </si>
  <si>
    <t xml:space="preserve">  Outreach Sequences Live (brands contacted)</t>
  </si>
  <si>
    <t xml:space="preserve">  ENGAGEMENT ACTIVITY  —  CRM LOG</t>
  </si>
  <si>
    <t xml:space="preserve">  Total Touchpoints Logged (all channels)</t>
  </si>
  <si>
    <t xml:space="preserve">  Positive Outcomes (replied, calls, meetings)</t>
  </si>
  <si>
    <t>PHASE 2  ·  60-DAY  ·  ENGAGE</t>
  </si>
  <si>
    <t xml:space="preserve">  Target: End of May 2026  ·  Drive active conversations on both tracks</t>
  </si>
  <si>
    <t xml:space="preserve">  Franchisors in Active Conversation</t>
  </si>
  <si>
    <t xml:space="preserve">  Mandate Validated (confirmed at franchisor level)</t>
  </si>
  <si>
    <t>3 req.</t>
  </si>
  <si>
    <t>—</t>
  </si>
  <si>
    <t>Manual</t>
  </si>
  <si>
    <t xml:space="preserve">  Franchisor Discovery Calls Completed</t>
  </si>
  <si>
    <t xml:space="preserve">  Proposals / ROI Models Submitted</t>
  </si>
  <si>
    <t xml:space="preserve">  Franchisees Engaged (in active conversation)</t>
  </si>
  <si>
    <t xml:space="preserve">  Confirmed Next Steps (committed to follow-up)</t>
  </si>
  <si>
    <t xml:space="preserve">  Pilots Seeded (pilot conversation started)</t>
  </si>
  <si>
    <t>3–5</t>
  </si>
  <si>
    <t xml:space="preserve">  HIGH Pilot Potential Accounts Contacted</t>
  </si>
  <si>
    <t>PHASE 3  ·  90-DAY  ·  CLOSE</t>
  </si>
  <si>
    <t xml:space="preserve">  Target: End of June 2026  ·  Close pilots, advance franchisors, deliver playbook</t>
  </si>
  <si>
    <t xml:space="preserve">  Franchisor in Qualified Interest Discussion</t>
  </si>
  <si>
    <t>1+ req.</t>
  </si>
  <si>
    <t xml:space="preserve">  Franchisor Deal in Progress / Closed</t>
  </si>
  <si>
    <t xml:space="preserve">  PE Warm Intros Activated (Charles path)</t>
  </si>
  <si>
    <t xml:space="preserve">  GTM Playbook Delivered</t>
  </si>
  <si>
    <t>Yes/No</t>
  </si>
  <si>
    <t>No</t>
  </si>
  <si>
    <t xml:space="preserve">  Pilots Closed (signed agreements)</t>
  </si>
  <si>
    <t xml:space="preserve">  Pilots in Active Negotiation</t>
  </si>
  <si>
    <t xml:space="preserve">  Total Pipeline Value Created (Closed + Negotiating)</t>
  </si>
  <si>
    <t>$50K+</t>
  </si>
  <si>
    <t xml:space="preserve">  Extension Plan Presented to Core Team</t>
  </si>
  <si>
    <t xml:space="preserve">  FRANCHISOR ACCOUNT SCORECARD  ·  Status by Account</t>
  </si>
  <si>
    <t xml:space="preserve">  Live from Top 9 Franchisors tab  ·  Update status there and this auto-refreshes</t>
  </si>
  <si>
    <t>ACCOUNT</t>
  </si>
  <si>
    <t>TIER</t>
  </si>
  <si>
    <t>TEMP</t>
  </si>
  <si>
    <t>NOTES</t>
  </si>
  <si>
    <t xml:space="preserve">  BELFOR</t>
  </si>
  <si>
    <t>TIER 1</t>
  </si>
  <si>
    <t xml:space="preserve">  THRESHOLD</t>
  </si>
  <si>
    <t xml:space="preserve">  EMPOWER</t>
  </si>
  <si>
    <t xml:space="preserve">  PREMIUM SVC</t>
  </si>
  <si>
    <t>TIER 2</t>
  </si>
  <si>
    <t xml:space="preserve">  RESIBRANDS</t>
  </si>
  <si>
    <t xml:space="preserve">  FIVE STAR</t>
  </si>
  <si>
    <t xml:space="preserve">  HOMEFRONT</t>
  </si>
  <si>
    <t xml:space="preserve">  AUTHORITY</t>
  </si>
  <si>
    <t>TIER 3</t>
  </si>
  <si>
    <t xml:space="preserve">  NEIGHBORLY</t>
  </si>
  <si>
    <t xml:space="preserve">  FRANCHISEE PIPELINE SUMMARY  ·  By Stage</t>
  </si>
  <si>
    <t xml:space="preserve">  Live from 85 Franchisees tab  ·  Status dropdowns drive these counts automatically</t>
  </si>
  <si>
    <t>PIPELINE STAGE</t>
  </si>
  <si>
    <t>ACTUAL COUNT</t>
  </si>
  <si>
    <t>% OF TOTAL</t>
  </si>
  <si>
    <t xml:space="preserve">  Total Brands in Database</t>
  </si>
  <si>
    <t>Reference</t>
  </si>
  <si>
    <t xml:space="preserve">  HIGH Pilot Potential Brands</t>
  </si>
  <si>
    <t xml:space="preserve">  MED Pilot Potential Brands</t>
  </si>
  <si>
    <t xml:space="preserve">  GPS Warm Accounts (YES)</t>
  </si>
  <si>
    <t xml:space="preserve">  Researching</t>
  </si>
  <si>
    <t xml:space="preserve">  Contacted (outreach sent)</t>
  </si>
  <si>
    <t xml:space="preserve">  Replied (any response)</t>
  </si>
  <si>
    <t xml:space="preserve">  Call Scheduled</t>
  </si>
  <si>
    <t xml:space="preserve">  Discovery Done</t>
  </si>
  <si>
    <t xml:space="preserve">  Proposal Sent / Negotiating</t>
  </si>
  <si>
    <t xml:space="preserve">  Pilot Closed  🎯</t>
  </si>
  <si>
    <t xml:space="preserve">  Stalled</t>
  </si>
  <si>
    <t xml:space="preserve">  PE RELATIONSHIP TRACKER  ·  GPS Insight Actions Required</t>
  </si>
  <si>
    <t xml:space="preserve">  Live from the 🔑 PE Relationship Map tab  ·  Update status there — this section reflects the current state of all GPS Insight intro requests</t>
  </si>
  <si>
    <t>PE RELATIONSHIP / GPS ASK</t>
  </si>
  <si>
    <t xml:space="preserve">  Accel-KKR Deal Team Brief
(All PE intros flow from this)</t>
  </si>
  <si>
    <t xml:space="preserve">  KKR → Felix Gernburd
(Neighborly Board — ST renewal window 2025–27)</t>
  </si>
  <si>
    <t xml:space="preserve">  Insight Engine ROI Model Sign-Off
(Required before external use)</t>
  </si>
  <si>
    <t xml:space="preserve">  American Securities → BELFOR
(Board-level intro needed)</t>
  </si>
  <si>
    <t xml:space="preserve">  Riverside Company → Threshold Brands
(Approaching exit — EBITDA story)</t>
  </si>
  <si>
    <t>🟡 HIGH</t>
  </si>
  <si>
    <t>GPS Insight
(Charles Layne, CEO)</t>
  </si>
  <si>
    <t>📞 On me — once the AKKR brief is confirmed, asking Charles to assign the Riverside intro to GPS Insight.</t>
  </si>
  <si>
    <t xml:space="preserve">  GPS Insight Telematics List
(Conflict check — required before outreach)</t>
  </si>
  <si>
    <t>🔴 CRITICAL</t>
  </si>
  <si>
    <t>GPS Insight
(Andrea Rowan, GM)</t>
  </si>
  <si>
    <t>Manual — update when received</t>
  </si>
  <si>
    <t>📋 GPS Insight to provide the telematics client list. On me to run the conflict check once received.</t>
  </si>
  <si>
    <t xml:space="preserve">  Micro-Franchise List from Angie
(Expands Track 2 beyond 85 brands)</t>
  </si>
  <si>
    <t>GPS Insight
(Angie, Data Strategist)</t>
  </si>
  <si>
    <t>📋 GPS Insight (Angie) to pull the micro-franchise list. On me to score and integrate into Track 2 once received.</t>
  </si>
  <si>
    <t xml:space="preserve">  Apax Partners → Authority Brands
(CTO Tij Bedi — tech agenda active)</t>
  </si>
  <si>
    <t>🔍 On me — researching and asking Charles if AKKR has any Apax overlap. GPS Insight to surface the intro if the connection exists.</t>
  </si>
  <si>
    <t xml:space="preserve">  Princeton Equity → Five Star Franchising
(Year 5 — exit building)</t>
  </si>
  <si>
    <t>🔵 MEDIUM</t>
  </si>
  <si>
    <t>📞 On me — asking Charles to surface the Princeton Equity connection. GPS Insight to facilitate if the path exists.</t>
  </si>
  <si>
    <t xml:space="preserve">  LAST UPDATED  ·  Update this cell manually each Friday before sending to Andrea</t>
  </si>
  <si>
    <t xml:space="preserve">  April 14, 2026  ·  Week 1  ·  Engagement not yet started</t>
  </si>
  <si>
    <t xml:space="preserve">  HOW THIS SCORECARD WORKS</t>
  </si>
  <si>
    <t xml:space="preserve">  1.  All ACTUAL numbers pull live from the other tabs via COUNTIF formulas — no manual entry needed for counts.</t>
  </si>
  <si>
    <t xml:space="preserve">  2.  STATUS auto-calculates: ✅ On Track = at or above target  ·  ⚠️ At Risk = 70%+ of target  ·  🔴 Behind = below 70%</t>
  </si>
  <si>
    <t xml:space="preserve">  3.  Items marked 'Manual' in the ACTUAL column need to be updated by you — they cannot be counted automatically.</t>
  </si>
  <si>
    <t xml:space="preserve">  4.  Franchisor Account Scorecard pulls status from the Top 9 Franchisors tab and temperature from Account Feedback Cards.</t>
  </si>
  <si>
    <t xml:space="preserve">  5.  To update: change status dropdowns in Tab 2 (Top 9) or Tab 3 (85 Franchisees) — this scorecard refreshes automatically.</t>
  </si>
  <si>
    <t xml:space="preserve">  Prepared by Velocity GTM Co LLC on behalf of GPS Insight / ServiceBridge  ·  Michael Montgomery Flynt Jr  ·  919.434.6720  ·  mflyntjr@gmail.com  ·  Confidential  ·  April 2026</t>
  </si>
  <si>
    <t xml:space="preserve">  📊 INSIGHT ENGINE  ·  Use Insight_Engine_Excel_v3.xlsx for all ROI conversations  ·  FDD unit economics loaded into Track 1 col V  ·  3-Way Scenario = PE/CFO boardroom document</t>
  </si>
  <si>
    <t>CRM v15.6 — Validation Changelog</t>
  </si>
  <si>
    <t>Validated April 29, 2026 by Velocity GTM Co LLC. 9 changes applied to Track 2 · Franchisees sheet.</t>
  </si>
  <si>
    <t>Date</t>
  </si>
  <si>
    <t>Row</t>
  </si>
  <si>
    <t>Brand</t>
  </si>
  <si>
    <t>Field Changed</t>
  </si>
  <si>
    <t>Old Value</t>
  </si>
  <si>
    <t>New Value</t>
  </si>
  <si>
    <t>Reason for Change</t>
  </si>
  <si>
    <t>2026-04-29 20:24</t>
  </si>
  <si>
    <t>USA Insulation</t>
  </si>
  <si>
    <t>FSM Status</t>
  </si>
  <si>
    <t>Greenfield</t>
  </si>
  <si>
    <t>At-Risk SB</t>
  </si>
  <si>
    <t>Per Andrea Apr 2026: 75% SB penetration but transitioning OFF over next year. Not greenfield — retention/monitor play.</t>
  </si>
  <si>
    <t>Current FSM Platform</t>
  </si>
  <si>
    <t>Greenfield / Paper</t>
  </si>
  <si>
    <t>ServiceBridge (75%, AT-RISK — transitioning off per Andrea Apr 2026)</t>
  </si>
  <si>
    <t>Andrea confirmed Apr 2026: USA Insulation transitioning off ServiceBridge over the next year. Not greenfield.</t>
  </si>
  <si>
    <t>Notes</t>
  </si>
  <si>
    <t>Seasonal scheduling — strong dispatch fit</t>
  </si>
  <si>
    <t>⚠️ AT-RISK / RETENTION PLAY — Andrea confirmed Apr 2026: USA Insulation transitioning off ServiceBridge over next year. Posture: dual-track — defend if reversible, reset relationship at brand-corp lev</t>
  </si>
  <si>
    <t>Added retention-play context per Threshold P2 readiness package.</t>
  </si>
  <si>
    <t>Combined Score</t>
  </si>
  <si>
    <t>84
🟡 QUEUE</t>
  </si>
  <si>
    <t>84*
⚠️ RECALIBRATE — at-risk, not greenfield</t>
  </si>
  <si>
    <t>Score derived from greenfield assumption that does not apply. Flagged for recalibration.</t>
  </si>
  <si>
    <t>BELFOR Property Restoration</t>
  </si>
  <si>
    <t>Not FSM Scope</t>
  </si>
  <si>
    <t>BELFOR Property Restoration is the parent restoration business — runs on restoration management software (Xactimate/Symbility), not FSM. Out of ServiceBridge category.</t>
  </si>
  <si>
    <t>Restoration management software (Xactimate/Symbility ecosystem) — not FSM category</t>
  </si>
  <si>
    <t>Restoration management is a different software category. Not displaceable by FSM.</t>
  </si>
  <si>
    <t>116
🔴 LEAD PILOT</t>
  </si>
  <si>
    <t>EXCLUDE
⛔ NOT FSM SCOPE</t>
  </si>
  <si>
    <t>Excluded from FSM engagement. Score was based on incorrect greenfield framework.</t>
  </si>
  <si>
    <t>Large restoration crews — documentation + compliance</t>
  </si>
  <si>
    <t>⛔ EXCLUDED — different software ecosystem (restoration management). Engage at parent franchisor level (BELFOR FG) only, not as Stage 2 brand-corp target. | Large restoration crews — documentation + co</t>
  </si>
  <si>
    <t>Added exclusion rationale.</t>
  </si>
  <si>
    <t>(Header)</t>
  </si>
  <si>
    <t>Subheader version stamp</t>
  </si>
  <si>
    <t xml:space="preserve">  Velocity GTM Co LLC  ·  Sorted by parent franchisor  ·  GPS Insight warm accounts highlighted  ·  Pilot potential scored HIGH / MED / LOW</t>
  </si>
  <si>
    <t xml:space="preserve">  Velocity GTM Co LLC  ·  Sorted by parent franchisor  ·  GPS Insight warm accounts prioritized  ·  v15.6 — validated April 29, 2026</t>
  </si>
  <si>
    <t>Version bump and validation date.</t>
  </si>
  <si>
    <t>Validation Summary</t>
  </si>
  <si>
    <t>✓ Total brands in Track 2 reviewed: 78</t>
  </si>
  <si>
    <t>✓ Portfolio assignments verified — CRM is correct (no misassignments found)</t>
  </si>
  <si>
    <t>✓ Score-FSM consistency check passed — no logic errors</t>
  </si>
  <si>
    <t>✓ No duplicate brand entries</t>
  </si>
  <si>
    <t>✓ All 78 brands have parent franchisor, trade, location, FSM status fields populated</t>
  </si>
  <si>
    <t>⚠️ 64 of 78 brands marked "Validate with Andrea" for GPSI customer overlap — REQUIRES GPSI team query</t>
  </si>
  <si>
    <t>⚠️ ~68 of 78 brands have "TBD" for Owner/Decision Maker — REQUIRES Andrea/Marketing team intel</t>
  </si>
  <si>
    <t>⚠️ 2 substantive corrections applied: USA Insulation (At-Risk, not Greenfield) + BELFOR Property Restoration (Not FSM scope)</t>
  </si>
  <si>
    <t>NEXT STEPS for full data closure:</t>
  </si>
  <si>
    <t>1. GPSI customer database query for all 78 brands → fills GPSI Customer column + Telematics column</t>
  </si>
  <si>
    <t>2. Brand-corp leadership intel from Andrea/Marketing team → fills Owner/DM column for ~68 brands</t>
  </si>
  <si>
    <t>3. GPSI Account Rep mapping from Andrea → fills warm-intro path for engagement</t>
  </si>
  <si>
    <t>4. Becky/Andrea HOODZ engagement interview → calibrates transfer rules across all 78 brands</t>
  </si>
  <si>
    <t>Track 1 · Franchisors V2 Realignment (April 29, 2026)</t>
  </si>
  <si>
    <t>2026-04-29</t>
  </si>
  <si>
    <t>4-14</t>
  </si>
  <si>
    <t>NEIGHBORLY</t>
  </si>
  <si>
    <t>V2 Track 1 position</t>
  </si>
  <si>
    <t>9</t>
  </si>
  <si>
    <t>V2 ranking</t>
  </si>
  <si>
    <t>TIER label</t>
  </si>
  <si>
    <t>P1 #1 · PE-GATED</t>
  </si>
  <si>
    <t>V2 character label</t>
  </si>
  <si>
    <t>FRANCHISOR SCORE</t>
  </si>
  <si>
    <t>39
⚪ BUILD</t>
  </si>
  <si>
    <t>76.5
🔴 PE-GATED — DO NOT APPROACH DIRECT</t>
  </si>
  <si>
    <t>V2 score (greenfield-weighted)</t>
  </si>
  <si>
    <t>AUTHORITY BRANDS</t>
  </si>
  <si>
    <t>8</t>
  </si>
  <si>
    <t>P1 #2 · DISPLACEMENT-READY</t>
  </si>
  <si>
    <t>61
🟡 ACTIVE</t>
  </si>
  <si>
    <t>68.5
🟡 ACTIVE</t>
  </si>
  <si>
    <t>EMPOWER BRANDS</t>
  </si>
  <si>
    <t>P1 #3 · GREENFIELD-LED</t>
  </si>
  <si>
    <t>60
🟡 ACTIVE</t>
  </si>
  <si>
    <t>66.2
🟡 ACTIVE</t>
  </si>
  <si>
    <t>RESIBRANDS</t>
  </si>
  <si>
    <t>P1 #4 · FAST-CYCLE</t>
  </si>
  <si>
    <t>58
🟡 ACTIVE</t>
  </si>
  <si>
    <t>60.2
🟢 ACTIVE</t>
  </si>
  <si>
    <t>FIVE STAR FRANCHISING</t>
  </si>
  <si>
    <t>P1 #5 · WEDGE-BRAND</t>
  </si>
  <si>
    <t>72
🔴 MOVE NOW</t>
  </si>
  <si>
    <t>59.2
🟡 ACTIVE</t>
  </si>
  <si>
    <t>PREMIUM SERVICE BRANDS</t>
  </si>
  <si>
    <t>P1 #6 · GREENFIELD-OPEN</t>
  </si>
  <si>
    <t>59.0
🟡 ACTIVE</t>
  </si>
  <si>
    <t>HOMEFRONT BRANDS</t>
  </si>
  <si>
    <t>7</t>
  </si>
  <si>
    <t>P1 #7 · MONITOR-MODE</t>
  </si>
  <si>
    <t>44.0
⚪ MONITOR</t>
  </si>
  <si>
    <t>BELFOR</t>
  </si>
  <si>
    <t>Track 1 position</t>
  </si>
  <si>
    <t>#1 P1</t>
  </si>
  <si>
    <t>P2-1</t>
  </si>
  <si>
    <t>Reclassified to P2 set (existing footprint, conversion not acquisition)</t>
  </si>
  <si>
    <t>P2 · DE-FACTO ANCHOR</t>
  </si>
  <si>
    <t>P2 character label</t>
  </si>
  <si>
    <t>73
🔴 MOVE NOW</t>
  </si>
  <si>
    <t>P2 SET</t>
  </si>
  <si>
    <t>P2 set qualitatively classified, not numerically ranked vs P1</t>
  </si>
  <si>
    <t>EVIVE BRANDS</t>
  </si>
  <si>
    <t>Added new row to Track 1</t>
  </si>
  <si>
    <t>(not in original)</t>
  </si>
  <si>
    <t>P2-2</t>
  </si>
  <si>
    <t>Evive was not in original Track 1 — added per V2 P2 set classification</t>
  </si>
  <si>
    <t>THRESHOLD</t>
  </si>
  <si>
    <t>#2 P1</t>
  </si>
  <si>
    <t>P2-3</t>
  </si>
  <si>
    <t>Reclassified to P2 set — defensive posture (USA Insulation transitioning off)</t>
  </si>
  <si>
    <t>P2 · AT-RISK ANCHOR</t>
  </si>
  <si>
    <t>P2 set qualitatively classified</t>
  </si>
  <si>
    <t>Other CRM Tabs V2 Realignment (April 29, 2026)</t>
  </si>
  <si>
    <t>💡 Engagement Ideas</t>
  </si>
  <si>
    <t>Priority cell</t>
  </si>
  <si>
    <t>🔴 #1</t>
  </si>
  <si>
    <t>🟡 P2
DE-FACTO ANCHOR — HOODZ + DUCTZ at 94% SB; convert to mandate</t>
  </si>
  <si>
    <t>V2 ranking realignment — was old framework priority, now V2 character label.</t>
  </si>
  <si>
    <t>THRESHOLD BRANDS</t>
  </si>
  <si>
    <t>🟡 #2</t>
  </si>
  <si>
    <t>🔴 P2
AT-RISK ANCHOR — USA Insulation transitioning off SB; defensive</t>
  </si>
  <si>
    <t>🟡 #3</t>
  </si>
  <si>
    <t>🟡 P1 #3
GREENFIELD-LED — strongest greenfield, Commercial mix</t>
  </si>
  <si>
    <t>🟢 P1 #4
FAST-CYCLE — founder-direct, fastest decision</t>
  </si>
  <si>
    <t>🟡 #4</t>
  </si>
  <si>
    <t>🟡 P1 #5
WEDGE-BRAND — Mosquito Shield wedge entry</t>
  </si>
  <si>
    <t>🟡 #5</t>
  </si>
  <si>
    <t>⚪ P1 #7
MONITOR-MODE — Q3/Q4 2026 reassessment posture</t>
  </si>
  <si>
    <t>🟡 #6</t>
  </si>
  <si>
    <t>🟡 P1 #2
DISPLACEMENT-READY — leadership transition window</t>
  </si>
  <si>
    <t>⚪ PE Only</t>
  </si>
  <si>
    <t>🔴 P1 #1
PE-GATED — DO NOT APPROACH DIRECT (KKR warm path required)</t>
  </si>
  <si>
    <t>🟡 #7</t>
  </si>
  <si>
    <t>🟡 P1 #6
GREENFIELD-OPEN — RooterMan dominant brand wedge</t>
  </si>
  <si>
    <t>📊 Scoring Model</t>
  </si>
  <si>
    <t>Subtitle</t>
  </si>
  <si>
    <t xml:space="preserve">  Velocity GTM Co LLC  ·  Two-level scoring: Franchisor score (Track 1) feeds a bonus into Franchisee score (Track 2). Combined score (max 125) determines pilot priority and outreach sequencing.</t>
  </si>
  <si>
    <t xml:space="preserve">  Velocity GTM Co LLC  ·  V2 Greenfield-Weighted Methodology  ·  Track 1 + Track 2 use same 7 dimensions, reweighted per stage  ·  Updated April 28, 2026</t>
  </si>
  <si>
    <t>V2 methodology — same 7 dimensions across Stage 1/Stage 2 with stage-specific weights.</t>
  </si>
  <si>
    <t>Level 1</t>
  </si>
  <si>
    <t>Range/Max</t>
  </si>
  <si>
    <t>7 dimensions · Max 100 points</t>
  </si>
  <si>
    <t>7 V2 dimensions · Max 100 points</t>
  </si>
  <si>
    <t>Updated to V2 framework</t>
  </si>
  <si>
    <t>Description</t>
  </si>
  <si>
    <t>Scores each of the 9 PE-backed franchisor targets. Determines where we focus GTM effort at the network level. Also feeds directly into the franchisee bonus calculation.</t>
  </si>
  <si>
    <t xml:space="preserve">Scores each of the 7 P1 franchisor targets using V2 dimensions: Greenfield (20%), Network (15%), PE (15%), DM Access (15%), Urgency (15%), Displacement (10%), C/B Mix (10%). Determines where to focus </t>
  </si>
  <si>
    <t>V2 description</t>
  </si>
  <si>
    <t>Level 2</t>
  </si>
  <si>
    <t>Scores individual franchise brands as pilot candidates. Driven by FSM status, tech count, GPS Insight relationship, and trade type. Pilot candidates are the path to reference selling.</t>
  </si>
  <si>
    <t>Scores brand-corp targets in Stage 2 using same 7 V2 dimensions, reweighted to favor brand-level velocity: Greenfield (30%), Network (15%), PE (10%), DM Access (15%), Urgency (15%), Displacement (5%),</t>
  </si>
  <si>
    <t>V2 description for brand-corp scoring</t>
  </si>
  <si>
    <t>Bonus</t>
  </si>
  <si>
    <t>The franchisor score adds a bonus to every franchisee under that parent. A franchisee inside a Tier 1 franchisor (score 70+) gets +25 bonus. This ensures pilot effort flows toward accounts where the f</t>
  </si>
  <si>
    <t>The franchisor V2 score adds a bonus to every brand-corp under that parent: 70+ score = +25, 45-69 = +15, 1-44 = +5. Reflects strategic context: a brand-corp inside a P1 #1 parent gets enterprise mand</t>
  </si>
  <si>
    <t>Dimension #1</t>
  </si>
  <si>
    <t>Dimension definition</t>
  </si>
  <si>
    <t>V1: FSM Status</t>
  </si>
  <si>
    <t>V2: Greenfield (20 pts)</t>
  </si>
  <si>
    <t>V2 dimension framework</t>
  </si>
  <si>
    <t>Dimension #2</t>
  </si>
  <si>
    <t>V1: Network Size
/ ARR Potential</t>
  </si>
  <si>
    <t>V2: Network (15 pts)</t>
  </si>
  <si>
    <t>Dimension #3</t>
  </si>
  <si>
    <t>V1: PE Exit Window
Urgency</t>
  </si>
  <si>
    <t>V2: PE (15 pts)</t>
  </si>
  <si>
    <t>Dimension #4</t>
  </si>
  <si>
    <t>V1: FDD Intel
Quality</t>
  </si>
  <si>
    <t>V2: DM Access (15 pts)</t>
  </si>
  <si>
    <t>Dimension #5</t>
  </si>
  <si>
    <t>V1: Contact
Accessibility</t>
  </si>
  <si>
    <t>V2: Urgency (15 pts)</t>
  </si>
  <si>
    <t>Dimension #6</t>
  </si>
  <si>
    <t>V1: GPS Insight
Warm Flag</t>
  </si>
  <si>
    <t>V2: Displacement (10 pts)</t>
  </si>
  <si>
    <t>Dimension #7</t>
  </si>
  <si>
    <t>V1: Pilot / Reference
Fit</t>
  </si>
  <si>
    <t>V2: C/B Mix (10 pts)</t>
  </si>
  <si>
    <t>Stage 2 Dim #1</t>
  </si>
  <si>
    <t>Stage 2 dimension definition</t>
  </si>
  <si>
    <t>V2: Greenfield (30 pts)</t>
  </si>
  <si>
    <t>V2 stage 2 reweighting</t>
  </si>
  <si>
    <t>Stage 2 Dim #2</t>
  </si>
  <si>
    <t>V1: Tech Count
Sweet Spot</t>
  </si>
  <si>
    <t>Stage 2 Dim #3</t>
  </si>
  <si>
    <t>V2: PE (10 pts)</t>
  </si>
  <si>
    <t>Stage 2 Dim #4</t>
  </si>
  <si>
    <t>V1: Trade / Pilot
Fit</t>
  </si>
  <si>
    <t>Stage 2 Dim #5</t>
  </si>
  <si>
    <t>V1: Parent Franchisor
Relationship</t>
  </si>
  <si>
    <t>Stage 2 Dim #6</t>
  </si>
  <si>
    <t>V1: Owner
Accessibility</t>
  </si>
  <si>
    <t>V2: Displacement (5 pts)</t>
  </si>
  <si>
    <t>Stage 2 Dim #7</t>
  </si>
  <si>
    <t>V1: Reference /
Story Potential</t>
  </si>
  <si>
    <t>Live V2 score row 39</t>
  </si>
  <si>
    <t>(1, 'BELFOR', 73, '🔴 MOVE NOW')</t>
  </si>
  <si>
    <t>V2 #1: 76.5 🔴 P1 #1</t>
  </si>
  <si>
    <t>Live V2 score row 40</t>
  </si>
  <si>
    <t>(2, 'THRESHOLD BRANDS', 73, '🔴 MOVE NOW')</t>
  </si>
  <si>
    <t>V2 #2: 68.5 🟡 P1 #2</t>
  </si>
  <si>
    <t>Live V2 score row 41</t>
  </si>
  <si>
    <t>(3, 'FIVE STAR FRANCHISING', 72, '🔴 MOVE NOW')</t>
  </si>
  <si>
    <t>V2 #3: 66.2 🟡 P1 #3</t>
  </si>
  <si>
    <t>Live V2 score row 42</t>
  </si>
  <si>
    <t>(4, 'PREMIUM SERVICE BRANDS', 61, '🟡 ACTIVE')</t>
  </si>
  <si>
    <t>V2 #4: 60.2 🟢 P1 #4</t>
  </si>
  <si>
    <t>Live V2 score row 43</t>
  </si>
  <si>
    <t>(5, 'AUTHORITY BRANDS', 61, '🟡 ACTIVE')</t>
  </si>
  <si>
    <t>V2 #5: 59.2 🟡 P1 #5</t>
  </si>
  <si>
    <t>Live V2 score row 44</t>
  </si>
  <si>
    <t>(6, 'EMPOWER BRANDS', 60, '🟡 ACTIVE')</t>
  </si>
  <si>
    <t>V2 #6: 59.0 🟡 P1 #6</t>
  </si>
  <si>
    <t>Live V2 score row 45</t>
  </si>
  <si>
    <t>(7, 'RESIBRANDS', 58, '🟡 ACTIVE')</t>
  </si>
  <si>
    <t>V2 #7: 44.0 ⚪ P1 #7</t>
  </si>
  <si>
    <t>BELFOR FRANCHISE GROUP</t>
  </si>
  <si>
    <t>P2 entry row 46</t>
  </si>
  <si>
    <t>(was old V1 entry)</t>
  </si>
  <si>
    <t>P2: BELFOR FRANCHISE GROUP</t>
  </si>
  <si>
    <t>P2 set classification</t>
  </si>
  <si>
    <t>P2 entry row 47</t>
  </si>
  <si>
    <t>P2: EVIVE BRANDS</t>
  </si>
  <si>
    <t>P2 entry row 48</t>
  </si>
  <si>
    <t>P2: THRESHOLD BRANDS</t>
  </si>
  <si>
    <t>Account Feedback</t>
  </si>
  <si>
    <t>Track classification</t>
  </si>
  <si>
    <t>Track 1</t>
  </si>
  <si>
    <t>P2 Set</t>
  </si>
  <si>
    <t>Reclassified from Track 1 P1 to P2 Set (existing footprint)</t>
  </si>
  <si>
    <t>Reclassified from Track 1 P1 to P2 Set (USA Insulation transitioning off — defensive posture)</t>
  </si>
  <si>
    <t>(empty)</t>
  </si>
  <si>
    <t xml:space="preserve">⚠️ AT-RISK: 75% SB penetration transitioning off over next year (Andrea Apr 2026). Retention play — defend if reversible. </t>
  </si>
  <si>
    <t>Added at-risk transition note per Andrea Apr 2026 update</t>
  </si>
  <si>
    <t>📅 Event Intelligence</t>
  </si>
  <si>
    <t>Franchisor label (col 1)</t>
  </si>
  <si>
    <t>BELFOR · P2 DE-FACTO ANCHOR</t>
  </si>
  <si>
    <t>Added V2 priority/character label for visibility</t>
  </si>
  <si>
    <t>THRESHOLD BRANDS · P2 AT-RISK ANCHOR</t>
  </si>
  <si>
    <t>EMPOWER BRANDS · P1 #3 GREENFIELD-LED</t>
  </si>
  <si>
    <t>PREMIUM SERVICE BRANDS · P1 #6 GREENFIELD-OPEN</t>
  </si>
  <si>
    <t>RESIBRANDS · P1 #4 FAST-CYCLE</t>
  </si>
  <si>
    <t>FIVE STAR FRANCHISING · P1 #5 WEDGE-BRAND</t>
  </si>
  <si>
    <t>HOMEFRONT BRANDS · P1 #7 MONITOR-MODE</t>
  </si>
  <si>
    <t>AUTHORITY BRANDS · P1 #2 DISPLACEMENT-READY</t>
  </si>
  <si>
    <t>NEIGHBORLY · P1 #1 PE-GATED</t>
  </si>
  <si>
    <t xml:space="preserve">  PE RELATIONSHIP MAP  ·  GPS Insight Warm Introduction Paths  ·  ServiceBridge GTM Engagement</t>
  </si>
  <si>
    <t xml:space="preserve">  Velocity GTM Co LLC  ·  These introductions require GPS Insight coordination  ·  Every row is a GPS Insight ask tracked to completion</t>
  </si>
  <si>
    <t xml:space="preserve">  🔑  Each row on this tab represents an introduction path that runs through GPS Insight's PE network  ·  Status updated as introductions progress</t>
  </si>
  <si>
    <t xml:space="preserve">  WHY THIS TAB EXISTS</t>
  </si>
  <si>
    <t>A warm PE-level introduction compresses a 6-month enterprise sales cycle to 6 weeks. Accel-KKR (GPS Insight's backer) has portfolio relationships, co-investment networks, and operating partner connections that give you an immediate credibility bridge to the PE firms backing your 9 priority franchisor accounts. None of these introductions happen without Charles Layne. This tab tracks every PE relationship, who at GPS Insight owns it, what the ask is, and where the introduction stands.</t>
  </si>
  <si>
    <t>PE FIRM</t>
  </si>
  <si>
    <t>FUND TYPE
&amp; AUM</t>
  </si>
  <si>
    <t>PORTFOLIO
COMPANY</t>
  </si>
  <si>
    <t>GPS INSIGHT
OWNER</t>
  </si>
  <si>
    <t>PE TARGET
CONTACT
(Named Individuals)</t>
  </si>
  <si>
    <t>INTRO
PATH</t>
  </si>
  <si>
    <t>INTRO
STATUS</t>
  </si>
  <si>
    <t>LAST GPS
ACTION</t>
  </si>
  <si>
    <t>NEXT GPS
ACTION NEEDED</t>
  </si>
  <si>
    <t>NEXT
DATE</t>
  </si>
  <si>
    <t>NOTES / INTELLIGENCE</t>
  </si>
  <si>
    <t>PE DEAL TEAM
FOCAL POINTS
← Researched contacts</t>
  </si>
  <si>
    <t xml:space="preserve">  SECTION 1  ·  ACCEL-KKR NETWORK  ·  GPS Insight's Own PE Backer  ·  Highest Leverage</t>
  </si>
  <si>
    <t xml:space="preserve">  Accel-KKR backed GPS Insight. This is your warmest possible intro path. Charles Layne has direct relationships with the AKKR deal team.</t>
  </si>
  <si>
    <t>Accel-KKR</t>
  </si>
  <si>
    <t>Tech-Focused PE
~$10B+ AUM</t>
  </si>
  <si>
    <t>GPS Insight / ServiceBridge
(Portfolio Company)</t>
  </si>
  <si>
    <t>Accel-KKR Internal
(GPS Insight board-level)</t>
  </si>
  <si>
    <t>Charles Layne → AKKR deal team → PE portfolio introductions</t>
  </si>
  <si>
    <t>🔴 Critical</t>
  </si>
  <si>
    <t>Not Started</t>
  </si>
  <si>
    <t>📞 On me — calling Charles. Asking GPS Insight to brief AKKR and open intro paths to the four PE firms.</t>
  </si>
  <si>
    <t>Week 1</t>
  </si>
  <si>
    <t>GPS Insight backer. Charles Layne has direct AKKR deal team relationships. This single conversation unlocks all downstream PE intros.</t>
  </si>
  <si>
    <t>TBD — Accel-KKR deal team partner for GPS Insight
← Charles Layne is the direct relationship
Accel-KKR = GPS Insight's own PE backer — highest leverage intro chain</t>
  </si>
  <si>
    <t>KKR</t>
  </si>
  <si>
    <t>Large-Cap PE
$349B+ AUM</t>
  </si>
  <si>
    <t>Neighborly
(16 brands, 13,259 techs)</t>
  </si>
  <si>
    <t>Felix Gernburd
Managing Director, KKR
Led Neighborly acquisition 2021
North American PE fund</t>
  </si>
  <si>
    <t>Charles → Accel-KKR deal team → KKR deal team → Felix Gernburd</t>
  </si>
  <si>
    <t>Flag to Charles that the Accel-KKR → KKR path is the play for Neighborly. Ask him to request a warm intro to Felix Gernburd — KKR Partner, Neighborly board seat.</t>
  </si>
  <si>
    <t>KKR acquired Neighborly (Jul 2021) from Harvest Partners. Felix Gernburd is on Neighborly board. ST renewal window 2025–2027. One KKR-level conversation positions us for that window.</t>
  </si>
  <si>
    <t>Felix Gernburd — Managing Director, KKR
Named in KKR/Neighborly acquisition press release as deal lead
Intro path: Charles Layne → Accel-KKR → KKR → Felix Gernburd
⚠️ DO NOT cold outreach — PE intro only</t>
  </si>
  <si>
    <t xml:space="preserve">  SECTION 2  ·  TIER 1 FRANCHISOR PE BACKERS  ·  Active Introduction Requests</t>
  </si>
  <si>
    <t xml:space="preserve">  These PE firms back your Tier 1 accounts. A single intro at the PE level is worth months of direct franchisor outreach.</t>
  </si>
  <si>
    <t>American Securities</t>
  </si>
  <si>
    <t>Mid-Market PE
~$10B AUM</t>
  </si>
  <si>
    <t>BELFOR Franchise Group
(14 brands, 9,250 techs)</t>
  </si>
  <si>
    <t>David Horing
Co-Chair Investment Committee
Director, BELFOR (since 1995)
Managing Member, active funds
Ryan Nolan
Director, BELFOR
Joined 2017, ex-JPMorgan
David Musicant
Director, BELFOR
Joined 2011, deal sourcing
Ex-BofA/Merrill Lynch MD
Loren Easton
Chairman, BELFOR board</t>
  </si>
  <si>
    <t>Charles → AKKR deal team → American Securities operating partners</t>
  </si>
  <si>
    <t>Week 1 — Charles Layne call. Ask him to surface any AKKR → American Securities relationship. American Securities has board representation at BELFOR — an operating partner intro skips directly to the mandate decision.</t>
  </si>
  <si>
    <t>American Securities board is active on ops improvement at BELFOR. Tech standardization directly supports their portfolio thesis. BELFOR sold 30 new franchise territories Dec 2024 — mandate now = every new franchisee is a guaranteed adoption.</t>
  </si>
  <si>
    <t>PRIMARY: David Horing (Co-Chair IC, Director BELFOR since 1995)
OPERATIONAL: Ryan Nolan (Director BELFOR, joined 2017, ex-JPMorgan)
RELATIONSHIPS: David Musicant (Director BELFOR, deal sourcing/capital markets)
CHAIRMAN: Loren Easton (BELFOR board chairman)
INTRO PATH: Charles Layne → Accel-KKR → American Securities
Source: american-securities.com team pages (confirmed)</t>
  </si>
  <si>
    <t>The Riverside Company</t>
  </si>
  <si>
    <t>Global Mid-Market PE
$13B+ AUM</t>
  </si>
  <si>
    <t>Threshold Brands
(10 brands, 6,250 techs)</t>
  </si>
  <si>
    <t>Loren Schlachet
Managing Partner, Riverside
Leads Threshold platform
Brian Sauer
Senior Partner, Riverside
Named on Threshold press releases
Steve Rice
Principal
Caroline Quoyeser
Assistant Vice President
Deniz Oran
Associate
Tom Silk
Operating Partner
Chrissie Yim
Finance Director</t>
  </si>
  <si>
    <t>Charles → AKKR deal team → Riverside Company LP or operating partner relationship</t>
  </si>
  <si>
    <t>🟡 High</t>
  </si>
  <si>
    <t>Once the AKKR brief is confirmed, ask Charles to surface any Riverside connection through the PE network. Riverside is approaching exit window — technology standardization improves the EBITDA multiple.</t>
  </si>
  <si>
    <t>Week 2</t>
  </si>
  <si>
    <t>Threshold is Riverside's home services platform (formed 2021). Glassdoor shows high turnover and EBITDA pressure from Riverside. LP-reportable tech standardization is the pitch to the PE firm, not to Hagan Kappler.</t>
  </si>
  <si>
    <t>PRIMARY: Loren Schlachet (Managing Partner — leads Threshold platform)
DEAL LEAD: Brian Sauer (Senior Partner — named on all Threshold add-on releases)
OPERATIONAL: Steve Rice (Principal) + Caroline Quoyeser (AVP) + Deniz Oran (Associate)
FINANCE: Chrissie Yim (Finance Director)
SOURCING: Jeremy Holland (Partner) + Connor McLaughlin (VP Origination)
Source: Riverside press release — Miracle Method add-on (Dec 2023)</t>
  </si>
  <si>
    <t>MidOcean Partners</t>
  </si>
  <si>
    <t>Mid-Market PE
$6B+ AUM</t>
  </si>
  <si>
    <t>Empower Brands
(10 brands, 5,150 techs)</t>
  </si>
  <si>
    <t>Eric Roth
Principal/Partner, MidOcean
Covers Empower Brands
Christopher M. Grandpre
Operating Partner, MidOcean
Chairman, Empower Brands
30+ yrs franchise M&amp;A
Founded Outdoor Living Brands 2008</t>
  </si>
  <si>
    <t>Charles → AKKR deal team → MidOcean operating partner</t>
  </si>
  <si>
    <t>Ask Charles about MidOcean connection through Charles / AKKR. MidOcean invested in Empower Dec 2020 — approaching exit window. EBITDA improvement before exit is the story.</t>
  </si>
  <si>
    <t>MidOcean invested in Empower Brands Dec 2020. Typical hold 5–7 years puts exit window at 2025–2027. First-mover FSM standardization documented before exit = multiple expansion story for MidOcean LPs.</t>
  </si>
  <si>
    <t>PRIMARY: Eric Roth (covers Empower Brands at MidOcean — confirmed on MidOcean website)
OPERATING: Christopher M. Grandpre (Operating Partner + Chairman of Empower Brands)
  → Founded Outdoor Living Brands 2008 (precursor to Empower)
  → 30+ years franchise M&amp;A / investment banking
INTRO PATH: Charles Layne → MidOcean → Eric Roth or Grandpre
Source: midoceanpartners.com + The Joint Corp. press release (May 2025)</t>
  </si>
  <si>
    <t xml:space="preserve">  SECTION 3  ·  TIER 2 FRANCHISOR PE BACKERS  ·  Build Relationships in Parallel</t>
  </si>
  <si>
    <t xml:space="preserve">  Smaller or founder-backed platforms. PE path may be lighter — but still surface any connections through Charles before going cold.</t>
  </si>
  <si>
    <t>Susquehanna Private Capital</t>
  </si>
  <si>
    <t>Growth Equity
(Susquehanna Int'l Group)</t>
  </si>
  <si>
    <t>Premium Service Brands
(8 brands, 4,950 techs)</t>
  </si>
  <si>
    <t>Kyle Squillario
Co-Head, Susquehanna Private Capital
Named in PSB deal announcement
SPC Team: 7 people total
2 Partners, 5 Principals
Bala Cynwyd PA</t>
  </si>
  <si>
    <t>Charles → AKKR → Susquehanna Private Capital connection (if any)</t>
  </si>
  <si>
    <t>🔵 Medium</t>
  </si>
  <si>
    <t>Check with Charles if AKKR has any Susquehanna / SGE connection. If not, direct approach to Paul Flick (CEO) is the primary path — SGE is growth equity, not traditional PE, so the founder is the decision-maker.</t>
  </si>
  <si>
    <t>Susquehanna Private Capital is the investment arm of Susquehanna International Group. PSB is founder-led with PE backing — Paul Flick still runs the business. Direct CEO outreach is the backup if PE path yields nothing.</t>
  </si>
  <si>
    <t>PRIMARY: Kyle Squillario (Co-Head, SPC — quoted in PSB press release 2021)
FIRM: Susquehanna Private Capital — funded by founders of Susquehanna Int'l Group
SPC SIZE: ~7 person team, 2 partners — small firm, direct access
INTRO: Charles Layne → SPC → Kyle Squillario
Source: BusinessWire PSB/SPC announcement (March 2021)</t>
  </si>
  <si>
    <t>Princeton Equity Group</t>
  </si>
  <si>
    <t>Franchise-Focused PE
Franchise-only investor</t>
  </si>
  <si>
    <t>Five Star Franchising
(5 brands, 2,350 techs)</t>
  </si>
  <si>
    <t>Derek DeBenedetto
Princeton Equity Group
Email: derek@princetonequity.com
IFA/conference meeting contact
Paul Kuppich
Partner (joined 2025)
Capital formation focus</t>
  </si>
  <si>
    <t>Charles → AKKR → Princeton Equity (franchise-focused PE — likely known in network)</t>
  </si>
  <si>
    <t>Week 2 — Princeton Equity exclusively invests in franchise companies — very tight network. Ask Charles if AKKR has any Princeton connection. Year 5 of investment means exit pressure building.</t>
  </si>
  <si>
    <t>Princeton Equity Group exclusively invests in franchisors and multi-unit companies. Five Star is in Year 5 (invested Jun 2021). EBITDA improvement documented now = higher exit multiple for Princeton. Scott Abbott (CEO) is founder — direct outreach is solid backup.</t>
  </si>
  <si>
    <t>MEETING CONTACT: Derek DeBenedetto (derek@princetonequity.com)
  → Listed as IFA 2026 meeting contact in Princeton Year in Review
PARTNER: Paul Kuppich (joined 2025 — capital formation + investor relations)
FIRM CONTEXT: Princeton invested 2021, Five Star in Year 5 — exit window approaching
  → ~$350M deployed 2025 across 3 new platforms
INTRO PATH: Charles Layne → Princeton Equity → Derek DeBenedetto
Source: Princeton 2025 Year in Review + LinkedIn announcement</t>
  </si>
  <si>
    <t>Dudan Group</t>
  </si>
  <si>
    <t>Family Office
(Founder Capital)</t>
  </si>
  <si>
    <t>HomeFront Brands
(5 brands, 2,550 techs)</t>
  </si>
  <si>
    <t>Jeff Dudan
Chairman &amp; CEO, HomeFront
Founder, Dudan Group
Forbes contributor, podcaster
Zack Dudan
CGO, HomeFront Brands
Family office — no external PE team</t>
  </si>
  <si>
    <t>Direct — Jeff Dudan is both the PE backer AND the CEO. No intermediary needed.</t>
  </si>
  <si>
    <t>⚪ Low</t>
  </si>
  <si>
    <t>NO GPS INTRO NEEDED: Jeff Dudan controls both the capital and the operating company. Approach directly. This is the one account where PE intro is not the accelerant — the CEO relationship is.</t>
  </si>
  <si>
    <t>Dudan Group is Jeff Dudan's family office. He is Chairman + CEO. Direct LinkedIn / podcast outreach to Jeff is faster than any PE path. Note for Charles: no intro needed here.</t>
  </si>
  <si>
    <t>FAMILY OFFICE: Dudan Group = Jeff Dudan's personal capital — no external PE team
DIRECT APPROACH: Jeff Dudan is both PE backer AND operating CEO
  → Forbes contributor, podcaster — content/thought leadership angle
OPERATIONAL: Zack Dudan (CGO) = franchise operations + Homecoming vendor path
NO PE INTRO NEEDED — direct approach is the right path
Source: HomeFront public filings + Forbes contributor profile</t>
  </si>
  <si>
    <t xml:space="preserve">  SECTION 4  ·  TIER 3 FRANCHISOR PE BACKERS  ·  Long Cycle · Relationship Play</t>
  </si>
  <si>
    <t xml:space="preserve">  Authority Brands and Neighborly have large PE backers. The cycle is long — but the deal size is enormous. Build the relationship now.</t>
  </si>
  <si>
    <t>Apax Partners
+ BCI</t>
  </si>
  <si>
    <t>Large-Cap PE
Apax $60B+ · BCI C$211B</t>
  </si>
  <si>
    <t>Authority Brands
(12 brands, 12,098 techs)</t>
  </si>
  <si>
    <t>Ashish Karandikar
Partner, Apax Partners
Led Authority Brands acquisition 2018
Quoted in deal press release
BCI (minority stake 2022)
British Columbia Investment Mgmt Corp</t>
  </si>
  <si>
    <t>Charles → AKKR deal team → Apax Partners relationship (LP or co-invest level)</t>
  </si>
  <si>
    <t>WEEK 1 (research): Ask Charles if AKKR has any LP overlap with Apax fund. Apax explicitly cited 'digitalization' as the AB investment thesis — that is ServiceBridge's positioning. BCI co-invested Sep 2022.</t>
  </si>
  <si>
    <t>Week 1 (research)</t>
  </si>
  <si>
    <t>Apax acquired Authority Brands Sep 2017. BCI co-invested Sep 2022 for 'technology transformation.' Apax partner Ashish Karandikar led the deal. Tij Bedi (CTO) was hired Aug 2024 — the tech agenda is active. A PE-level intro to Apax gets us to Tij Bedi much faster.</t>
  </si>
  <si>
    <t>APAX LEAD: Ashish Karandikar (Partner, Apax — quoted as deal lead in 2018 acquisition)
  → 'We have been attracted to the home services market for some time'
BCI: British Columbia Investment Management Corp (significant minority stake, Sep 2022)
  → Largest institutional investor in Canada
INTRO PATH: Charles Layne → Apax → Ashish Karandikar
NOTE: Apax-focused on digitisation/tech for Authority — CTO Tij Bedi (Aug 2024) is the signal
Source: Apax.com + PRNewswire acquisition announcement (Sep 2018)</t>
  </si>
  <si>
    <t>KKR
(Neighborly)</t>
  </si>
  <si>
    <t>Already covered in Section 1
$349B+ AUM</t>
  </si>
  <si>
    <t>Felix Gernburd
Managing Director, KKR
Led Neighborly acquisition 2021
⚠️ DO NOT approach direct</t>
  </si>
  <si>
    <t>See Section 1 — same KKR path. Do not duplicate effort.</t>
  </si>
  <si>
    <t>↑ Same KKR path as Section 1 — no separate ask needed. Tracking there.</t>
  </si>
  <si>
    <t>Neighborly is tracked in Section 1 under the KKR relationship. This row is a reminder that Neighborly PE path and Authority Brands PE path are separate KKR / Apax conversations.</t>
  </si>
  <si>
    <t>Same as Section 1 — Felix Gernburd is the KKR Neighborly contact
⚠️ DO NOT approach direct under any circumstances
INTRO PATH ONLY: Charles Layne → Accel-KKR → KKR → Felix Gernburd
Source: KKR/Neighborly acquisition press release BusinessWire (July 2021)</t>
  </si>
  <si>
    <t xml:space="preserve">  GPS INSIGHT ACTION SUMMARY  ·  The Specific Asks for Charles Layne by Week</t>
  </si>
  <si>
    <t>WEEK</t>
  </si>
  <si>
    <t>GPS CONTACT</t>
  </si>
  <si>
    <t>THE ASK</t>
  </si>
  <si>
    <t>FOR ACCOUNT</t>
  </si>
  <si>
    <t>URGENCY</t>
  </si>
  <si>
    <t>Brief the Accel-KKR deal team on the ServiceBridge GTM initiative. Need AKKR to facilitate PE-level introductions to American Securities (BELFOR), Riverside (Threshold), MidOcean (Empower), and KKR (Neighborly).</t>
  </si>
  <si>
    <t>ALL 9 FRANCHISORS</t>
  </si>
  <si>
    <t>Specific KKR ask: Ask for Accel-KKR → KKR deal team intro to Felix Gernburd (KKR Partner / Neighborly Board). One call at the KKR level positions ServiceBridge for the Neighborly ST contract renewal window 2025–2027.</t>
  </si>
  <si>
    <t>GPS Insight
(Garrett Else, CFO)</t>
  </si>
  <si>
    <t>Schedule 30-minute session to walk through the Insight Engine ROI model assumptions. Garrett's sign-off validates the financial narrative before we take it external to any PE operating partner or franchisor CFO.</t>
  </si>
  <si>
    <t>ALL ACCOUNTS
(ROI Model)</t>
  </si>
  <si>
    <t>Connect Mike Flynt with Angie (GPS Insight data strategist) to obtain the micro-franchise company list. This expands Track 2 pipeline beyond the current 85-brand database.</t>
  </si>
  <si>
    <t>TRACK 2
FRANCHISEE</t>
  </si>
  <si>
    <t>Get the GPS Insight existing telematics client list for cross-referencing against all 9 franchisor accounts. Required conflict check before any outreach begins.</t>
  </si>
  <si>
    <t>Follow-up on AKKR intro request. Confirm which PE firms have responded and whether any calls are scheduled. If American Securities intro is confirmed, brief Mike before the call.</t>
  </si>
  <si>
    <t>BELFOR
American Securities</t>
  </si>
  <si>
    <t>🔍 On me to check whether there's any Apax Partners (Authority Brands backer) connection through AKKR LP network or co-investment relationships. Apax cited 'digitalization' as their Authority Brands investment thesis — perfect alignment.</t>
  </si>
  <si>
    <t>AUTHORITY BRANDS
Apax Partners</t>
  </si>
  <si>
    <t>Week 3</t>
  </si>
  <si>
    <t>ROI model sign-off — confirm which assumptions are cleared for external use. Garrett's endorsement as GPS Insight CFO is the credibility layer when the model goes in front of a PE operating partner or franchisor CFO.</t>
  </si>
  <si>
    <t>Week 4</t>
  </si>
  <si>
    <t>30-Day check-in: Where do the PE intro paths stand? Which firms have responded? Is a KKR / Felix Gernburd call on the calendar? Any additional PE relationships to activate in Month 2?</t>
  </si>
  <si>
    <t>ALL PE PATHS</t>
  </si>
  <si>
    <t>Month 2</t>
  </si>
  <si>
    <t>If Accel-KKR intro has not yet produced a franchisor meeting: ask Charles to make a direct personal call to the PE operating partner. His personal relationship is the accelerant — not a formal intro request.</t>
  </si>
  <si>
    <t>STALLED ACCOUNTS</t>
  </si>
  <si>
    <t xml:space="preserve">  TOP FRANCHISOR ACCOUNTS  ·  Track 1 (P1 ×7) + P2 Set (×3)  ·  V2 Greenfield-Weighted Ranking</t>
  </si>
  <si>
    <t xml:space="preserve">  Velocity GTM Co LLC  ·  GPS Insight / ServiceBridge Engagement  ·  V2 Ranking April 28, 2026  ·  CRM v15.6 — validated April 29, 2026</t>
  </si>
  <si>
    <t>#</t>
  </si>
  <si>
    <t>FRANCHISOR</t>
  </si>
  <si>
    <t>PE BACKER</t>
  </si>
  <si>
    <t>BRANDS</t>
  </si>
  <si>
    <t>TECHS</t>
  </si>
  <si>
    <t>ARR EST.</t>
  </si>
  <si>
    <t>CEO</t>
  </si>
  <si>
    <t>CFO</t>
  </si>
  <si>
    <t>COO / PRESIDENT</t>
  </si>
  <si>
    <t>BD / FRANCHISE DEV</t>
  </si>
  <si>
    <t>ENGAGEMENT
STATUS</t>
  </si>
  <si>
    <t>LAST
CONTACT</t>
  </si>
  <si>
    <t>NEXT
STEP</t>
  </si>
  <si>
    <t>GPS INSIGHT
SUPPORT</t>
  </si>
  <si>
    <t>ANNUAL
CONVENTION</t>
  </si>
  <si>
    <t>VENDORS /
PARTNERS
INVITED?</t>
  </si>
  <si>
    <t>INSURANCE
PROGRAM /
CARRIER</t>
  </si>
  <si>
    <t>INSURANCE
GTM ANGLE</t>
  </si>
  <si>
    <t>FDD INTEL
(Items 8·11·19)</t>
  </si>
  <si>
    <t>INSIGHT ENGINE
INPUTS
← Pre-populate ROI Calc</t>
  </si>
  <si>
    <t>FRANCHISOR
SCORE
/ 100</t>
  </si>
  <si>
    <t>GPS INSIGHT
EXEC CONTACT
← Internal intro path</t>
  </si>
  <si>
    <t>GREENFIELD
SCORE
(V2 · 20%)</t>
  </si>
  <si>
    <t>NETWORK
SCORE
(V2 · 15%)</t>
  </si>
  <si>
    <t>PE
SCORE
(V2 · 15%)</t>
  </si>
  <si>
    <t>DM ACCESS
SCORE
(V2 · 15%)</t>
  </si>
  <si>
    <t>URGENCY
SCORE
(V2 · 15%)</t>
  </si>
  <si>
    <t>DISPLACEMENT
SCORE
(V2 · 10%)</t>
  </si>
  <si>
    <t>C/B MIX
SCORE
(V2 · 10%)</t>
  </si>
  <si>
    <t>KKR ($349B+ AUM)</t>
  </si>
  <si>
    <t>$198K</t>
  </si>
  <si>
    <t>Mike Davis
CEO (joined Jul 2024)</t>
  </si>
  <si>
    <t>Benjamin Lamb
CFO (joined May 2025)</t>
  </si>
  <si>
    <t>Jason Himber
Group President, Repair Brands</t>
  </si>
  <si>
    <t>Felix Gernburd
KKR Partner / Board  ← PE TARGET</t>
  </si>
  <si>
    <t>Flag to Charles — KKR intro is Week 1 GPS ask</t>
  </si>
  <si>
    <t>Week 1 (GPS only)</t>
  </si>
  <si>
    <t>GPS: THIS IS THE #1 GPS ACTION — Charles → Accel-KKR → KKR → Felix Gernburd. DO NOT approach Neighborly direct.</t>
  </si>
  <si>
    <t>Gagan Sinha = CIO (joined Sep 2025). ST renewal window 2025–2027. PE play only.</t>
  </si>
  <si>
    <t>Neighborly Reunion · Oct 2025 held Nashville — next ~Oct 2026 Nashville. DO NOT attend without PE intro.</t>
  </si>
  <si>
    <t>✅ Yes — vendor partners attend</t>
  </si>
  <si>
    <t>ProTradeNet preferred insurance broker (confirmed — ~170 vendors incl. insurance brokers). Validate specific broker via FDD.</t>
  </si>
  <si>
    <t>🟡 Medium — ProTradeNet broker is warm intro path to COO/CFO. PE intro only.</t>
  </si>
  <si>
    <t>SOURCE: Mr. Rooter FDD (franchiseba.com 2025) / Aire Serv FDD 2025 / ProTradeNet confirmed via neighborlybrands.com
ITEM 11 — Technology: ServiceTitan explicitly named as required software system across all core brands. On ST since 2012 (Mr. Handyman, Aire Serv, Mr. Rooter, Mr. Electric per ServiceTitan press release).
ITEM 8 — Vendors: ProTradeNet ~170 preferred vendors including insurance brokers. Specific broker named in brand-level FDDs. Broker = warm intro path to COO/CFO.
ITEM 19 — Aire Serv 2025: 158 reporting businesses, 1/1/24-12/31/24 per FDD. Full financials behind paywall.
⚠️ DO NOT APPROACH DIRECT. PE intro only via Charles → KKR → Felix Gernburd.
ST RENEWAL WINDOW: 2025-2027. Only leverage is PE relationship.</t>
  </si>
  <si>
    <t>📊 USE INSIGHT ENGINE → ROI Calculator tab
⚠️ DO NOT RUN INSIGHT ENGINE until PE intro confirmed.
IF/WHEN PE intro secured, pre-populate:
• Technicians: 13,259
• Avg Jobs/Tech/Day: 5 (mature ST-optimized system)
• Avg Revenue/Job: $400
• Focus: ST renewal window — Telematics angle via GPS Insight
Conversation is about GPS Insight telematics (Smart Fleet USA
contract renewal), not ServiceBridge FSM displacement.
3-Way Scenario: KKR exit at 10-12x multiple.</t>
  </si>
  <si>
    <t>Charles Layne → Accel-KKR → KKR → Felix Gernburd
⚠️ DO NOT approach direct under any circumstances
GPS Insight #1 priority action — Charles follow-up TODAY</t>
  </si>
  <si>
    <t>4/20
20 (limited; ST mandate caps)</t>
  </si>
  <si>
    <t>14/15
90 (13,259 techs — largest in P1)</t>
  </si>
  <si>
    <t>13/15
85 (KKR — active investor, exit-driven)</t>
  </si>
  <si>
    <t>13/15
85 (Charles Layne → Accel-KKR → KKR warm path)</t>
  </si>
  <si>
    <t>15/15
95 (highest — ST renewals 2025-2027 + KKR window)</t>
  </si>
  <si>
    <t>5/10
50 (ST partial mandate, displaceable on non-ST brands)</t>
  </si>
  <si>
    <t>8/10
80 (consumer-led mix)</t>
  </si>
  <si>
    <t>Apax Partners + BCI</t>
  </si>
  <si>
    <t>$181K</t>
  </si>
  <si>
    <t>Jay Caiafa
CEO (joined Aug 2025)
Prev: COO Americas, IHG Hotels
4,600 hotels, 26 countries
Data/AI focus — new leadership
Rob Weddle — OUT (was CEO)</t>
  </si>
  <si>
    <t>Josh (last name TBD)
CFO (joined Sep 2025)
Prev: CFO Primrose Schools
Prev: VP Strategy, Cracker Barrel
Prev: Home Depot finance</t>
  </si>
  <si>
    <t>Steve Clemente
President &amp; COO, Trades</t>
  </si>
  <si>
    <t>Tij Bedi
CTO (joined Aug 2024)
← PRIMARY entry point
Tech/FSM mandate angle
9 non-ST brands greenfield
Note: Jay Caiafa (CEO) has
data + AI background —
lead with operational efficiency</t>
  </si>
  <si>
    <t>Map 9 non-ST brands + Tij Bedi research</t>
  </si>
  <si>
    <t>GPS: Apax Partners → Charles Layne for PE intro. Tij Bedi is primary tech champion.</t>
  </si>
  <si>
    <t>9 of 12 brands have no ServiceTitan. No displacement. Ryan Bowes = Chief Dev Officer.</t>
  </si>
  <si>
    <t>Annual Convention — research needed</t>
  </si>
  <si>
    <t>Unknown</t>
  </si>
  <si>
    <t>National program likely via Apax Partners — validate FDD Item 8/11</t>
  </si>
  <si>
    <t>🟡 Medium — $2B+ revenue, institutional program almost certain. Tij Bedi (CTO) not the right contact here.</t>
  </si>
  <si>
    <t>SOURCE: ServiceTitan press release Sep 2024 / public FDD summaries
ITEM 11 — Technology: ServiceTitan named as required platform for 3 brands (Benjamin Franklin, Mister Sparky, One Hour) — announced Sep 2024, transition in 2025. 9 remaining brands have NO FSM mandate.
PRIOR PLATFORM: Successware (acquired by Authority Brands 2019) — being replaced by ServiceTitan.
✅ GREENFIELD: ASP, Cleaning Authority, DRYmedic, Junkluggers, Lawn Squad, Monster Tree, Mosquito Squad, Screenmobile, STOP Restoration — 9 brands, no mandate.
PRIMARY CONTACT: Tij Bedi (CTO, joined Aug 2024) building tech infrastructure.</t>
  </si>
  <si>
    <t>📊 USE INSIGHT ENGINE → ROI Calculator tab
PRE-POPULATE WITH (9 non-ST greenfield brands only):
• Technicians: ~5,000 (9 non-ST brands est.)
• Avg Jobs/Tech/Day: 4
• Avg Revenue/Job: $350
• Working Days: 260
PRIMARY AUDIENCE: Tij Bedi (CTO) — use Competitive Matrix tab
to show ServiceBridge vs ServiceTitan side by side.
Key message: ServiceBridge for the 9 brands ST doesn't serve.
No displacement of existing ST mandate.</t>
  </si>
  <si>
    <t>Charles Layne → Apax Partners PE intro path
Tij Bedi (CTO Authority Brands) — new hire Aug 2024, direct LinkedIn
Andrea Rowan for brand-level account data</t>
  </si>
  <si>
    <t>12/20
60 (mixed — 3 brands ST mandated, 12 brands open)</t>
  </si>
  <si>
    <t>13/15
85 (12,098 techs)</t>
  </si>
  <si>
    <t>12/15
80 (Apax — active investor + co-investor BCI)</t>
  </si>
  <si>
    <t>11/15
70 (Tij Bedi CTO direct, plus parent path)</t>
  </si>
  <si>
    <t>13/15
85 (Jay Caiafa CEO Aug 2025, Josh Greear CFO Sept 2025 — fresh tech direction)</t>
  </si>
  <si>
    <t>7/10
70 (ServiceTitan partial — 12 non-ST brands displaceable)</t>
  </si>
  <si>
    <t>7/10
70 (mix B2B + consumer)</t>
  </si>
  <si>
    <t>$77K</t>
  </si>
  <si>
    <t>Scott Zide
CEO</t>
  </si>
  <si>
    <t>Michael Borreca
SVP &amp; CFO</t>
  </si>
  <si>
    <t>Tom (last name TBD)
COO  ⚠️ Verify</t>
  </si>
  <si>
    <t>R. Scott Sutton
Chief Dev Officer</t>
  </si>
  <si>
    <t>JAN-PRO brand wedge + CEO outreach</t>
  </si>
  <si>
    <t>GPS: MidOcean → Charles Layne for PE intro before approaching Scott Zide</t>
  </si>
  <si>
    <t>Gary Bauer (JAN-PRO Brand President) is brand-level wedge. EBITDA before exit window.</t>
  </si>
  <si>
    <t>Ignite · Feb 10–12 (just held — next ~Feb 2027, Orlando)</t>
  </si>
  <si>
    <t>✅ Yes — 85 vendors attended</t>
  </si>
  <si>
    <t>Preferred broker via MidOcean PE (likely) — validate FDD Item 8/11</t>
  </si>
  <si>
    <t>🟡 Medium — CFO Michael Borreca owns this. MidOcean institutional.</t>
  </si>
  <si>
    <t>SOURCE: FDD Exchange 2025 / franchiseba.com / assettfranchise.com
JAN-PRO ITEM 8 — Technology: Proprietary software mandated. Technology fee: up to $60/month per franchisee.
JAN-PRO ITEM 19: 11,265 unit franchises. Regional developer investment $130K-$421.5K.
⚠️ CONFLICT FLAG: JAN-PRO has proprietary FSM with fee already built in. Confirm gap vs ServiceBridge before outreach on JAN-PRO specifically.
✅ GREENFIELD: 9 non-JAN-PRO brands (Archadeck, Bumble, Canopy, Conserva, FRSTeam, Koala, OLP, Superior Fence, Wallaby) — no FSM named in FDD. These are the entry point with Scott Zide.</t>
  </si>
  <si>
    <t>📊 USE INSIGHT ENGINE → ROI Calculator tab
PRE-POPULATE WITH (9 non-JAN-PRO greenfield brands):
• Technicians: ~3,500 (excl. JAN-PRO)
• Avg Jobs/Tech/Day: 3.5
• Avg Revenue/Job: $350
• Working Days: 260
⚠️ EXCLUDE JAN-PRO from model — proprietary FSM conflict.
Run separate scenario for the 9 greenfield brands only.
MidOcean exit window framing: EBITDA uplift × 8x multiple
= enterprise value story for Scott Zide + Michael Borreca.</t>
  </si>
  <si>
    <t>Charles Layne (CEO) — MidOcean Partners PE intro path
Andrea Rowan (GM) — account detail
⚠️ JAN-PRO conflict — approach via 9 greenfield brands only</t>
  </si>
  <si>
    <t>18/20
90 (highest — ServiceMinder partial, most brands open)</t>
  </si>
  <si>
    <t>8/15
55 (5,150 techs — mid-tier)</t>
  </si>
  <si>
    <t>12/15
80 (MidOcean Year 3-4, building toward exit)</t>
  </si>
  <si>
    <t>12/15
80 (Scott Zide CEO + Gary Bauer JAN-PRO brand wedge)</t>
  </si>
  <si>
    <t>9/15
60 (mid-term, not immediate)</t>
  </si>
  <si>
    <t>3/10
30 (ServiceMinder 2-4x partial)</t>
  </si>
  <si>
    <t>4/10
40 (Commercial 70%+ — weaker consumer fit)</t>
  </si>
  <si>
    <t>Angel / Codie Sanchez</t>
  </si>
  <si>
    <t>$38K</t>
  </si>
  <si>
    <t>Steven Montgomery
Founder &amp; CEO</t>
  </si>
  <si>
    <t>(None confirmed)
Lean team</t>
  </si>
  <si>
    <t>Allan (last name TBD)
Co-Founder  ⚠️ Verify</t>
  </si>
  <si>
    <t>Steven Montgomery
(handles directly)</t>
  </si>
  <si>
    <t>Direct LinkedIn to Steven Montgomery</t>
  </si>
  <si>
    <t>Founder-backed. No PE committee. One conversation closes this. $1.67/tech/day message.</t>
  </si>
  <si>
    <t>No confirmed annual event (emerging brand)</t>
  </si>
  <si>
    <t>Franchisees self-direct — lean founder operation, no group program likely</t>
  </si>
  <si>
    <t>🟢 Low</t>
  </si>
  <si>
    <t>SOURCE: Public company info / IFA 2026
ITEM 11 — Technology: ResiConnect handles inbound scheduling only. No full FSM disclosed in any publicly available FDD summary.
ITEM 19 — Unit Economics: FDD not publicly analyzed. Angel/founder-backed — lean disclosure likely.
APPROACH: Steven Montgomery directly accessible. No FDD deep-dive needed before first conversation.</t>
  </si>
  <si>
    <t>📊 USE INSIGHT ENGINE → ROI Calculator tab
PRE-POPULATE WITH:
• Technicians: 2,550
• Avg Jobs/Tech/Day: 5 (painting model — volume-based)
• Avg Revenue/Job: $200
• Working Days: 260
FOUNDER PITCH: $1.67/tech/day message.
Run Insight Engine conservative scenario only — 
Steven Montgomery responds to simplicity, not PE math.
Total: 2,550 techs × $1.67/day × 260 days = ~$1.1M annual value</t>
  </si>
  <si>
    <t>No current GPS Insight relationship
Steven Montgomery accessible directly — call scheduled Apr 15
Direct founder path — no GPS intro needed</t>
  </si>
  <si>
    <t>17/20
85 (ResiConnect = scheduling only, paper for ops)</t>
  </si>
  <si>
    <t>7/15
45 (2,550 techs — smallest)</t>
  </si>
  <si>
    <t>6/15
40 (Angel/founder, no PE pressure)</t>
  </si>
  <si>
    <t>14/15
90 (Kevin Luu direct, fast decision velocity)</t>
  </si>
  <si>
    <t>11/15
75 (entrepreneurial — moves fast)</t>
  </si>
  <si>
    <t>7/10
70 (mostly greenfield)</t>
  </si>
  <si>
    <t>8/10
75 (consumer-led)</t>
  </si>
  <si>
    <t>$35K</t>
  </si>
  <si>
    <t>Scott Abbott
CEO &amp; Co-Founder</t>
  </si>
  <si>
    <t>Steve White
CFO</t>
  </si>
  <si>
    <t>Chad Jones
COO &amp; Co-Founder</t>
  </si>
  <si>
    <t>Michael Moorhouse
Brand President, Mosquito Shield</t>
  </si>
  <si>
    <t>Mosquito Shield brand wedge + CEO outreach</t>
  </si>
  <si>
    <t>Princeton Equity Year 5. EBITDA story lands immediately. Greenfield — no incumbent.</t>
  </si>
  <si>
    <t>Home Services Summit (HSS) · Jan 14–17 (just held — next ~Jan 2027, Las Vegas)</t>
  </si>
  <si>
    <t>Preferred broker likely via Princeton Equity — validate FDD</t>
  </si>
  <si>
    <t>🟡 Medium — Year 5 PE. CFO Steve White owns.</t>
  </si>
  <si>
    <t>SOURCE: Public FDD summaries — full FDD not yet pulled
ITEM 11 — Technology: ProNexis named as 24/7 sales support system. No FSM platform mandated in publicly available analysis.
ACTION: Pull California or Wisconsin FDD for Items 8 and 11 before scripting.
KNOWN: Princeton Equity Year 5. CFO Steve White owns the numbers conversation.</t>
  </si>
  <si>
    <t>📊 USE INSIGHT ENGINE → ROI Calculator tab
PRE-POPULATE WITH:
• Technicians: 2,350
• Avg Jobs/Tech/Day: 4
• Avg Revenue/Job: $300
• Working Days: 260
Princeton Equity Year 5 → exit window framing.
Run 3-Way Scenario with 8x multiple for Steve White (CFO).
Mosquito Shield wedge: seasonal route model, strong FSM fit.
FieldRoutes conflict risk — verify Mosquito Shield before model.</t>
  </si>
  <si>
    <t>No current GPS Insight relationship
Princeton Equity → Charles Layne path for PE intro
Scott Abbott direct on LinkedIn — Five Star CEO accessible</t>
  </si>
  <si>
    <t>14/20
70 (mixed — FieldRoutes possible at Mosquito Shield)</t>
  </si>
  <si>
    <t>7/15
45 (2,350 techs)</t>
  </si>
  <si>
    <t>9/15
60 (Princeton Equity)</t>
  </si>
  <si>
    <t>11/15
75 (Mosquito Shield wedge to Five Star CEO Scott Abbott)</t>
  </si>
  <si>
    <t>9/15
60 (mid-term)</t>
  </si>
  <si>
    <t>5/10
50 (FieldRoutes possible)</t>
  </si>
  <si>
    <t>7/10
70 (consumer-led)</t>
  </si>
  <si>
    <t>$74K</t>
  </si>
  <si>
    <t>Paul Flick
Founder &amp; CEO</t>
  </si>
  <si>
    <t>(TBD)
VP Finance  ⚠️ Research</t>
  </si>
  <si>
    <t>Roxanne Conrad
COO</t>
  </si>
  <si>
    <t>Gabe Colon
EVP Performance</t>
  </si>
  <si>
    <t>RooterMan brand president outreach</t>
  </si>
  <si>
    <t>RooterMan brand president (name TBD) is 300-loc plumbing wedge into PSB portfolio.</t>
  </si>
  <si>
    <t>Validate via FDD Item 8/11 — Susquehanna PE backed</t>
  </si>
  <si>
    <t>🟡 Medium — validate before outreach</t>
  </si>
  <si>
    <t>SOURCE: State registries — FDD not yet pulled
ACTION: Pull Wisconsin or California FDD for Items 8, 11, 19 before outreach.
KNOWN: RooterMan = 300 plumbing locations. PSB backed by Susquehanna Private Capital.</t>
  </si>
  <si>
    <t>📊 USE INSIGHT ENGINE → ROI Calculator tab
PRE-POPULATE WITH:
• Technicians: 4,950
• Avg Jobs/Tech/Day: 4
• Avg Revenue/Job: $300 (painting/cleaning/plumbing mix)
• Working Days: 260
RooterMan wedge: 300 locations, plumbing dispatch.
Run Insight Engine at brand level first (RooterMan) → 
then scale to full PSB network for CFO conversation.</t>
  </si>
  <si>
    <t>Andrea Rowan (GM, ServiceBridge) — day-to-day contact
Verify GPS Insight telematics customers in PSB network via Andrea
Paul Flick direct path — no PE intro needed</t>
  </si>
  <si>
    <t>17/20
85 (RooterMan dominates — paper-based)</t>
  </si>
  <si>
    <t>8/15
50 (4,950 techs)</t>
  </si>
  <si>
    <t>6/15
40 (Susquehanna — less active)</t>
  </si>
  <si>
    <t>9/15
60 (Paul Flick CEO — verify warm path)</t>
  </si>
  <si>
    <t>8/15
50 (mid-term)</t>
  </si>
  <si>
    <t>Dudan Group (Family Office)</t>
  </si>
  <si>
    <t>Jeff Dudan
Chairman &amp; CEO</t>
  </si>
  <si>
    <t>Mike Dudan
CFO</t>
  </si>
  <si>
    <t>Michael O'Driscoll
COO &amp; President of Franchising</t>
  </si>
  <si>
    <t>Zack Dudan
Chief Growth Officer</t>
  </si>
  <si>
    <t>CEO direct outreach + Window Hero brand wedge</t>
  </si>
  <si>
    <t>Jeff Dudan is a podcaster + Forbes contributor — accessible. Tyler Kirk (Window Hero) is wedge.</t>
  </si>
  <si>
    <t>Homecoming (4th annual) · ~Nov 2026, Orlando — STILL TIME TO GET IN</t>
  </si>
  <si>
    <t>Likely individual franchisee insurance — young company, no group program confirmed</t>
  </si>
  <si>
    <t>🟢 Low — Jeff Dudan family office, not institutional PE</t>
  </si>
  <si>
    <t>SOURCE: Public company info / franchisewire.com
ITEM 11 — Technology: No FSM platform disclosed in any public FDD analysis. Homecoming 3 (Nov 2025) featured digital marketing speaker — no FSM announced.
NOTE: Franchisee satisfaction issues flagged Dec 2025 (Unhappy Franchisee post). Verify system health before vendor commitment.
APPROACH: Jeff Dudan directly via podcast/Forbes channel first.</t>
  </si>
  <si>
    <t>📊 USE INSIGHT ENGINE → ROI Calculator tab
PRE-POPULATE WITH:
• Technicians: 2,550
• Avg Jobs/Tech/Day: 3
• Avg Revenue/Job: $400 (fence/exterior)
• Working Days: 260
Jeff Dudan is founder-operated — run conservative scenario only.
Focus on per-franchisee story, not PE exit math.
⚠️ Note franchisee satisfaction issues — position ServiceBridge
as proof point for system health, not just efficiency.</t>
  </si>
  <si>
    <t>No current GPS Insight relationship
Jeff Dudan — founder, podcaster, Forbes contributor — direct approach
Homecoming 4 vendor path = Zack Dudan (CGO)</t>
  </si>
  <si>
    <t>16/20
80 (newer brands — paper-based)</t>
  </si>
  <si>
    <t>5/15
35 (2,550 techs — smaller)</t>
  </si>
  <si>
    <t>3/15
20 (Family office, no exit pressure)</t>
  </si>
  <si>
    <t>8/15
50 (Tyler Kirk Window Hero, Jeff/Zack Dudan corp)</t>
  </si>
  <si>
    <t>5/15
30 (Q3/Q4 2026 reassessment)</t>
  </si>
  <si>
    <t>6/10
60 (mostly greenfield)</t>
  </si>
  <si>
    <t>7/10
70 (consumer)</t>
  </si>
  <si>
    <t>═══ P2 FRANCHISORS · EXISTING FOOTPRINT ═══</t>
  </si>
  <si>
    <t>$260K+</t>
  </si>
  <si>
    <t>Rusty Amarante, CR
President, BFG</t>
  </si>
  <si>
    <t>Sheldon Yellen
CEO, Holdings</t>
  </si>
  <si>
    <t>Dan Tarantin
COO, BFG</t>
  </si>
  <si>
    <t>Doug Smith
SVP Franchise Dev
Beth Toenies
VP Franchise Dev</t>
  </si>
  <si>
    <t>Deep profile + contact map</t>
  </si>
  <si>
    <t>GPS: American Securities → Charles Layne → PE warm intro before outreach to Sheldon Yellen</t>
  </si>
  <si>
    <t>═ P2 · DE-FACTO ANCHOR ═ Year 6 hold — American Securities exit window 2026-2027. HOODZ + DUCTZ at 94% SB de facto. Convert de facto into mandate before exit. | Zero FSM mandate. 30 new territories Dec 2024. Start here.</t>
  </si>
  <si>
    <t>BELFOR Annual Conference · March (just held — next ~Mar 2027)</t>
  </si>
  <si>
    <t>Insurance carriers ARE the revenue channel for restoration brands. Claims Partnership Program launched Oct 2024. Carriers: Travelers, Allstate, State Farm, USAA.</t>
  </si>
  <si>
    <t>🔴 HIGH — Carriers dispatch restoration brands. ServiceBridge job documentation = defensible claims record. Reframe pitch to Rusty as carrier relationship tool, not FSM.</t>
  </si>
  <si>
    <t>SOURCE: Publicly available FDD analysis (2024 FDD) + franchiseba.com
ITEM 11 — Technology: 'Proprietary business management and job tracking tools' named. No third-party FSM disclosed. GREENFIELD confirmed.
ITEM 19 — Unit Economics (2023 data, 94 franchisees, 157 locations):
• Avg gross sales per location: ~$480K
• Top 25% avg: $1,654,321
• Est. EBITDA at 15% margin: ~$72K/location
• Avg invoice per job: ~$4,500
• Insurance carriers refer ~40% of jobs
ROYALTY: 10% on first $499K → 7% above $2M + 2% Marketing Fund
SERVICEBRIDGE EBITDA CASE: 5-pt margin improvement = $24K addl EBITDA/location. Across 178 locations = $4.3M system-wide EBITDA creation.</t>
  </si>
  <si>
    <t>📊 USE INSIGHT ENGINE → ROI Calculator tab
PRE-POPULATE WITH:
• Technicians: 9,250 (network) | Per brand: see below
• Avg Jobs/Tech/Day: 3 (restoration = emergency dispatch, lower frequency)
• Avg Revenue/Job: $4,500 (FDD-sourced: avg 1-800 WD invoice 2024)
• Working Days: 260
• Avg Tech Wage: $28/hr
FSM UPLIFT (conservative for greenfield):
• Additional Jobs: 0.3/tech/day
• Admin Saved: 1.0 hr/tech/day
• Invoice Cycle Reduction: 5 days (critical for insurance payment lag)
TELEMATICS (GPS Insight warm flag):
• Fuel Savings: $1,800/vehicle/yr
• Insurance Reduction: 8%
3-WAY SCENARIO OUTPUTS (base case, 1-800 WD 178 locations):
• FDD Item 19: $480K avg/location
• 5-pt margin improvement = $24K EBITDA/location
• 178 locations × $24K = $4.3M system EBITDA creation
• At 8x exit multiple = $34.4M enterprise value uplift
⚠️ USE THE TOP-25% NUMBER ($1.65M) for STRETCH scenario with Rusty</t>
  </si>
  <si>
    <t>P2 SET
🟡 EXISTING FOOTPRINT</t>
  </si>
  <si>
    <t>Charles Layne (CEO, GPS Insight) — Personal friend + primary exec relationship
American Securities → Accel-KKR → KKR intro chain
Charles owns the PE intro. Mike owns the direct franchisee path.</t>
  </si>
  <si>
    <t>25/25
Greenfield — no FSM mandate found</t>
  </si>
  <si>
    <t>15/20
9,250 techs — large network</t>
  </si>
  <si>
    <t>15/20
American Securities — active PE, EBITDA expansion thesis</t>
  </si>
  <si>
    <t>15/15
Full FDD analysis loaded — unit economics confirmed</t>
  </si>
  <si>
    <t>10/10
Charles Layne direct — highest access level</t>
  </si>
  <si>
    <t>5/5
GPS Insight relationship confirmed</t>
  </si>
  <si>
    <t>5/5
14 brands — multiple pilot targets within network</t>
  </si>
  <si>
    <t>The Riverside Company ($13B+ AUM)</t>
  </si>
  <si>
    <t>P2 · GROWING ANCHOR</t>
  </si>
  <si>
    <t>$30K-50K (estimated)</t>
  </si>
  <si>
    <t>Ryan Parsons
CEO, Evive Brands
Known-friendly to Mike — warm path</t>
  </si>
  <si>
    <t>TBD — research</t>
  </si>
  <si>
    <t>P2 — RESEARCH</t>
  </si>
  <si>
    <t>Profile + Brothers Gutters anchor leverage</t>
  </si>
  <si>
    <t>GPS: Riverside PE → Charles Layne. Andrea direct on Brothers Gutters.</t>
  </si>
  <si>
    <t>═ P2 · GROWING ANCHOR ═ Year 3 hold — Riverside-owned (formed 2023). Brothers Gutters at 43% SB under new contract. Maid Brigade (2024 acquisition) greenfield within Evive. Ryan Parsons = warmest P2 relationship. Same parent as Threshold (Riverside) — coordinate engagement.</t>
  </si>
  <si>
    <t>P2 SET
🟢 EXISTING FOOTPRINT — GROWING</t>
  </si>
  <si>
    <t>Riverside Company</t>
  </si>
  <si>
    <t>$94K</t>
  </si>
  <si>
    <t>Hagan Kappler
CEO ⚠️ VERIFY</t>
  </si>
  <si>
    <t>Scott Fink / Brandon Brown
CFO ⚠️ VERIFY</t>
  </si>
  <si>
    <t>Andrea Hohermuth
COO</t>
  </si>
  <si>
    <t>Scott Sutton
Chief Growth Officer</t>
  </si>
  <si>
    <t>Profile + contacts map</t>
  </si>
  <si>
    <t>GPS: Riverside PE → Charles Layne. ⚠️ Verify Hagan Kappler still CEO (Daisy link 2025)</t>
  </si>
  <si>
    <t>═ P2 · AT-RISK ANCHOR ═ Year 6+ hold — Riverside-owned. USA Insulation transitioning OFF SB (75% → 0% over next year). Ted DeMarino CEO + Billy Newby CFO new. Defensive posture: defend if reversible, reset relationship at brand-corp level. Same parent as Evive. | Promised franchisees proprietary software — undelivered. ServiceBridge closes that gap.</t>
  </si>
  <si>
    <t>Annual Convention · Date/location TBD — research needed</t>
  </si>
  <si>
    <t>Preferred broker via Riverside PE (likely) — validate FDD Item 8/11</t>
  </si>
  <si>
    <t>🟡 Medium — PE-backed with structured program. CFO contact.</t>
  </si>
  <si>
    <t>SOURCE: Public FDD summaries / state registries
ITEM 11 — Technology: Promised 'proprietary technology' to franchisees — undelivered per franchisee feedback (Glassdoor, FDD analysis).
ITEM 19 — Unit Economics: Not publicly detailed in FDD analysis. Validate via Wisconsin/California FDD registry.
KEY ANGLE: Unfulfilled tech promise = ServiceBridge delivers what Threshold told franchisees they'd get.</t>
  </si>
  <si>
    <t>📊 USE INSIGHT ENGINE → ROI Calculator tab
PRE-POPULATE WITH:
• Technicians: 6,250 (network total)
• Avg Jobs/Tech/Day: 4
• Avg Revenue/Job: $250 (cleaning/pest model)
• Working Days: 260
KEY ANGLE FOR THRESHOLD:
Unfulfilled tech promise = franchisees already expect this.
Position ServiceBridge as delivering what Threshold promised.
Run 3-Way Scenario showing EBITDA uplift before Riverside PE exit.</t>
  </si>
  <si>
    <t>P2 SET
🔴 EXISTING FOOTPRINT — AT-RISK</t>
  </si>
  <si>
    <t>Charles Layne (CEO) — Riverside Company PE intro path
Andrea Rowan (GM) — account detail + telematics customer list
Verify Hagan Kappler CEO status before outreach</t>
  </si>
  <si>
    <t>10/25
FSM status unconfirmed — action needed</t>
  </si>
  <si>
    <t>15/20
6,250 techs — large network</t>
  </si>
  <si>
    <t>18/20
Riverside Company — Year 4, approaching exit window</t>
  </si>
  <si>
    <t>5/5
10 brands — multiple pilot targets within network</t>
  </si>
  <si>
    <t xml:space="preserve">  85 PRIORITY FRANCHISEE BRANDS  ·  Track 2  ·  Greenfield Volume Pipeline</t>
  </si>
  <si>
    <t>BRAND / FRANCHISEE</t>
  </si>
  <si>
    <t>PARENT FRANCHISOR</t>
  </si>
  <si>
    <t>TRADE</t>
  </si>
  <si>
    <t>LOCATIONS</t>
  </si>
  <si>
    <t>TECHS
(EST.)</t>
  </si>
  <si>
    <t>FSM STATUS</t>
  </si>
  <si>
    <t>GPS WARM?</t>
  </si>
  <si>
    <t>PILOT
POTENTIAL</t>
  </si>
  <si>
    <t>CURRENT FSM
PLATFORM</t>
  </si>
  <si>
    <t>CONFLICT
RISK</t>
  </si>
  <si>
    <t>TELEMATICS
PROVIDER</t>
  </si>
  <si>
    <t>GPS INSIGHT
CUSTOMER?
← Andrea to Verify</t>
  </si>
  <si>
    <t>INSURANCE
PROGRAM / CARRIER</t>
  </si>
  <si>
    <t>PRIMARY CONTACT</t>
  </si>
  <si>
    <t>CONTACT TITLE</t>
  </si>
  <si>
    <t>OWNER /
DECISION MAKER</t>
  </si>
  <si>
    <t>OPS MGR /
OFFICE MANAGER</t>
  </si>
  <si>
    <t>GPS INSIGHT
ACCOUNT REP
← Warm intro path</t>
  </si>
  <si>
    <t>OUTREACH
STATUS</t>
  </si>
  <si>
    <t>NEXT STEP</t>
  </si>
  <si>
    <t>NEXT DATE</t>
  </si>
  <si>
    <t>FDD INTEL
(Source + Key Facts)</t>
  </si>
  <si>
    <t>INSIGHT ENGINE
NOTES
← ROI angle for outreach</t>
  </si>
  <si>
    <t>FRANCHISEE
SCORE
/ 100</t>
  </si>
  <si>
    <t>FRANCHISOR
BONUS
+ 0/5/15/25</t>
  </si>
  <si>
    <t>COMBINED
SCORE
/ 125</t>
  </si>
  <si>
    <t>Aire Serv</t>
  </si>
  <si>
    <t>Neighborly</t>
  </si>
  <si>
    <t>HVAC</t>
  </si>
  <si>
    <t>Partial/ST</t>
  </si>
  <si>
    <t>MED</t>
  </si>
  <si>
    <t>ServiceTitan</t>
  </si>
  <si>
    <t>🔴 High</t>
  </si>
  <si>
    <t>Smart Fleet USA</t>
  </si>
  <si>
    <t>No — Smart Fleet USA</t>
  </si>
  <si>
    <t>ProTradeNet preferred broker — validate FDD</t>
  </si>
  <si>
    <t>🟡 Medium</t>
  </si>
  <si>
    <t>(Franchisee Owner)</t>
  </si>
  <si>
    <t>Owner/Operator</t>
  </si>
  <si>
    <t>TBD — franchisee owner
⚠️ DO NOT approach — Neighborly PE intro required first
KKR → Charles Layne → Felix Gernburd — PE intro only</t>
  </si>
  <si>
    <t>TBD — office manager
Smart Fleet USA telematics (NOT GPS Insight)</t>
  </si>
  <si>
    <t>Smart Fleet USA (NOT GPS Insight)
⚠️ No warm GPS Insight intro path
Do not approach without PE intro confirmed</t>
  </si>
  <si>
    <t>Profile + conflict check</t>
  </si>
  <si>
    <t>ServiceTitan incumbent — check mandate status before outreach</t>
  </si>
  <si>
    <t>SOURCE: Aire Serv FDD 2025 / franchise.neighborly.com
ITEM 11: ServiceTitan REQUIRED — 'our Software System' referenced in Item 19.
ITEM 19 (2024 data): 158 reporting businesses, 1/1/24-12/31/24 full year.
Avg gross sales: not disclosed in public summary — pull FDD.
Telematics: Smart Fleet USA confirmed.
CONFLICT: High on FSM.</t>
  </si>
  <si>
    <t>⚠️ ST mandated — no FSM pitch.
Telematics only if GPS Insight customer confirmed.
Do not run Insight Engine until PE intro secured.</t>
  </si>
  <si>
    <t>+5</t>
  </si>
  <si>
    <t>41
⚪ HOLD</t>
  </si>
  <si>
    <t>Glass Doctor</t>
  </si>
  <si>
    <t>Auto/Home Glass</t>
  </si>
  <si>
    <t>LOW</t>
  </si>
  <si>
    <t>ST mandate — check renewal window</t>
  </si>
  <si>
    <t>Pull from Wisconsin/California FDD registry. Neighborly brand — verify ST mandate status first.</t>
  </si>
  <si>
    <t>24
⚪ HOLD</t>
  </si>
  <si>
    <t>Lawn Pride</t>
  </si>
  <si>
    <t>Lawn Care</t>
  </si>
  <si>
    <t>FieldRoutes (ST)</t>
  </si>
  <si>
    <t>Validate via FDD</t>
  </si>
  <si>
    <t>❓ Unknown</t>
  </si>
  <si>
    <t>Route model — check ST mandate status</t>
  </si>
  <si>
    <t>29
⚪ HOLD</t>
  </si>
  <si>
    <t>Molly Maid</t>
  </si>
  <si>
    <t>Cleaning</t>
  </si>
  <si>
    <t>Recurring cleaning crews</t>
  </si>
  <si>
    <t>26
⚪ HOLD</t>
  </si>
  <si>
    <t>Mosquito Joe</t>
  </si>
  <si>
    <t>Pest Control</t>
  </si>
  <si>
    <t>HIGH — ServiceTitan mandated via Neighborly group contract — do not pitch FSM</t>
  </si>
  <si>
    <t>Route recurring — strong FSM fit if not ST</t>
  </si>
  <si>
    <t>Mr. Appliance</t>
  </si>
  <si>
    <t>Appliance Repair</t>
  </si>
  <si>
    <t>Solo tech model</t>
  </si>
  <si>
    <t>31
⚪ HOLD</t>
  </si>
  <si>
    <t>Mr. Electric</t>
  </si>
  <si>
    <t>Electrical</t>
  </si>
  <si>
    <t>HIGH — ServiceTitan MANDATED — on ST since 2012, confirmed in FDD Item 11</t>
  </si>
  <si>
    <t>Licensed electricians — dispatch + compliance fit</t>
  </si>
  <si>
    <t>SOURCE: ServiceTitan acquisition of Servant Systems 2020
ITEM 11: ServiceTitan REQUIRED — on ST since 2012 per ST press release.
Telematics: Smart Fleet USA confirmed.
CONFLICT: High on FSM.</t>
  </si>
  <si>
    <t>Mr. Handyman</t>
  </si>
  <si>
    <t>Handyman</t>
  </si>
  <si>
    <t>Multi-trade skilled service</t>
  </si>
  <si>
    <t>SOURCE: ServiceTitan acquisition of Servant Systems 2020
ITEM 11: ServiceTitan REQUIRED — on ST since 2012.
Telematics: Smart Fleet USA confirmed.
CONFLICT: High on FSM.</t>
  </si>
  <si>
    <t>Mr. Rooter</t>
  </si>
  <si>
    <t>Plumbing</t>
  </si>
  <si>
    <t>237 locations FDD 2025. Emergency + scheduled dispatch</t>
  </si>
  <si>
    <t>SOURCE: Mr. Rooter FDD 2025 / franchiseba.com 2026
ITEM 11: ServiceTitan REQUIRED — named explicitly. On ST since 2012.
Also required: Qvinci, QuickBooks Online.
ITEM 19: 188 franchised businesses reporting. Avg not disclosed in public summaries.
Telematics: Smart Fleet USA (Neighborly preferred provider, confirmed).
CONFLICT: High on FSM. No GPS Insight path.</t>
  </si>
  <si>
    <t>Precision Door Service</t>
  </si>
  <si>
    <t>Garage Doors</t>
  </si>
  <si>
    <t>High dispatch fit</t>
  </si>
  <si>
    <t>Rainbow Restoration</t>
  </si>
  <si>
    <t>Restoration</t>
  </si>
  <si>
    <t>Insurance dispatch + ProTradeNet broker</t>
  </si>
  <si>
    <t>Event-driven restoration crews</t>
  </si>
  <si>
    <t>44
⚪ HOLD</t>
  </si>
  <si>
    <t>Window Genie</t>
  </si>
  <si>
    <t>Window/Exterior</t>
  </si>
  <si>
    <t>Seasonal recurring route</t>
  </si>
  <si>
    <t>Mr. Electric (non-ST locations)</t>
  </si>
  <si>
    <t>VERIFY — Most Mr. Electric on ST; non-ST locations exist but verify individually before outreach</t>
  </si>
  <si>
    <t>🟢 None</t>
  </si>
  <si>
    <t>Profile + outreach</t>
  </si>
  <si>
    <t>Any non-ST Mr. Electric locations = immediate target</t>
  </si>
  <si>
    <t>61
🟡 QUEUE</t>
  </si>
  <si>
    <t>Mosquito Joe (non-ST)</t>
  </si>
  <si>
    <t>VERIFY — Most Mosquito Joe on ST mandate; non-ST locations exist but verify individually</t>
  </si>
  <si>
    <t>Non-mandate pest control locations</t>
  </si>
  <si>
    <t>49
⚪ HOLD</t>
  </si>
  <si>
    <t>Aire Serv (non-ST)</t>
  </si>
  <si>
    <t>Non-ST HVAC locations within Neighborly</t>
  </si>
  <si>
    <t>Neighborly (other brands)</t>
  </si>
  <si>
    <t>Mixed</t>
  </si>
  <si>
    <t>Conflict check first</t>
  </si>
  <si>
    <t>Remaining Neighborly brands — verify ST mandate before contact</t>
  </si>
  <si>
    <t>ASP Swimming Pool</t>
  </si>
  <si>
    <t>Authority Brands</t>
  </si>
  <si>
    <t>Pool Service</t>
  </si>
  <si>
    <t>VERIFY — PoolOps proprietary CRM — do not pitch FSM replacement; GPS telematics only</t>
  </si>
  <si>
    <t>Validate with Andrea</t>
  </si>
  <si>
    <t>TBD — ASP brand president
← Approach via Tij Bedi (CTO Authority Brands)
Greenfield FSM — pool service route model</t>
  </si>
  <si>
    <t>Route pool service — weekly recurring</t>
  </si>
  <si>
    <t>SOURCE: 2025 FDD (2023 data) — franchisechatter.com + leadtruffle.co
ITEM 19 — Unit Economics:
• 113 franchisees / 133 territories as of Dec 31, 2023
• Avg gross revenue per territory: ~$590,000 (sharpsheets)
• Top 25%: avg $1.78M/year (leadtruffle)
• 257-375 locations depending on source/year
• Investment range: $84,395-$210,121
• Royalty: 7-5% sliding scale + 1% brand fund
• Technology fee: $250/mo for PoolOps CRM + tools
• Local marketing: 3% or $30K/yr
• Route-based recurring pool service + renovation
ITEM 11 — Technology:
PROPRIETARY PoolOps CRM CONFIRMED — $250/month tech fee
Pool service management, scheduling, client reporting built in
CONFLICT RISK: High — proprietary CRM + mandatory fee
NOTE: Authority Brands portfolio (Apax). Jay Caiafa new CEO.
Entry point: Tij Bedi (CTO) or via Jay Caiafa data/AI angle</t>
  </si>
  <si>
    <t>CONFLICT: PoolOps proprietary CRM — do not pitch FSM replacement
IF ENGAGED:
• GPS Insight telematics standalone — route-based fleet
• Frame as complement to PoolOps, not replacement
• 8-12 pools/truck/day = route optimization ROI story
• Jay Caiafa AI/data background = frame as operational intelligence layer
• Authority Brands mandate conversation — top-down PE play</t>
  </si>
  <si>
    <t>+15</t>
  </si>
  <si>
    <t>Benjamin Franklin Plumbing</t>
  </si>
  <si>
    <t>HIGH — ServiceTitan MANDATED — transition announced Sep 2024, completing 2025</t>
  </si>
  <si>
    <t>TBD — BFP brand president
⚠️ ST MANDATED Sep 2024 — NO FSM pitch
GPS Insight telematics only if confirmed customer</t>
  </si>
  <si>
    <t>TBD — GPS Insight telematics angle only</t>
  </si>
  <si>
    <t>363 units FDD 2025. Emergency dispatch fit</t>
  </si>
  <si>
    <t>SOURCE: ServiceTitan press release Sep 2024
ServiceTitan MANDATED — transition announced Sep 2024, completing 2025.
CONFLICT: High. Do not approach with ServiceBridge as FSM replacement.
GPS Insight angle only if confirmed telematics customer via Andrea.</t>
  </si>
  <si>
    <t>Check FSM mandate first. If ST-mandated: no FSM pitch, GPS Insight only.
If greenfield: run Insight Engine ROI Calculator.</t>
  </si>
  <si>
    <t>78
🟡 QUEUE</t>
  </si>
  <si>
    <t>DRYmedic Restoration</t>
  </si>
  <si>
    <t>TBD — DRYmedic brand president
← Approach via Tij Bedi (CTO Authority Brands)
Greenfield FSM — restoration trade = strong pilot fit</t>
  </si>
  <si>
    <t>TBD — local franchisee ops contact</t>
  </si>
  <si>
    <t>TBD — verify GPS Insight customer via Andrea</t>
  </si>
  <si>
    <t>Water/fire restoration crews</t>
  </si>
  <si>
    <t>SOURCE: Authority Brands website + franchise directories 2025
ITEM 19 — Unit Economics:
• Water/fire/mold restoration franchise
• Part of Authority Brands portfolio
• Insurance-paid restoration model
• Investment range: est. $150K-$350K
ITEM 11 — Technology:
Authority Brands centrally managed technology
Verify FSM mandate — restoration brands often use ServiceTitan or Xactimate
INSURANCE ANGLE: High — restoration = carrier documentation critical
NOTE: Authority Brands portfolio. Jay Caiafa new CEO (Aug 2025).</t>
  </si>
  <si>
    <t>VERIFY: Authority Brands FSM mandate status with Tij Bedi (CTO)
KEY ANGLES:
• Job photo documentation = insurance carrier compliance
• Xactimate integration potential
• Jay Caiafa data/AI angle
• Authority mandate = top-down play</t>
  </si>
  <si>
    <t>81
🟡 QUEUE</t>
  </si>
  <si>
    <t>The Cleaning Authority</t>
  </si>
  <si>
    <t>VERIFY — Authority Brands centrally managed tech — verify FSM mandate with Tij Bedi before outreach</t>
  </si>
  <si>
    <t>TBD — TCA brand president
← Approach via Tij Bedi (CTO Authority Brands)
Greenfield FSM — recurring cleaning route</t>
  </si>
  <si>
    <t>Residential cleaning teams</t>
  </si>
  <si>
    <t>SOURCE: Authority Brands website + FDD directories 2025
ITEM 19 — Unit Economics:
• Residential cleaning — recurring subscription model
• 250+ locations across US and Canada
• Avg revenue: est. $800K-$1.5M/location (established cleaning brand)
• Part of Authority Brands portfolio
ITEM 11 — Technology:
Authority Brands centrally managed technology
Cleaning brand = route scheduling, recurring appointments
Verify FSM mandate within Authority Brands stack
NOTE: Authority Brands. Tij Bedi (CTO) = entry point for tech conversation</t>
  </si>
  <si>
    <t>VERIFY: Authority Brands tech mandate with Tij Bedi
KEY ANGLES:
• Route scheduling optimization
• 2-way SMS job confirmations
• Authority mandate = top-down play</t>
  </si>
  <si>
    <t>63
🟡 QUEUE</t>
  </si>
  <si>
    <t>The Junkluggers</t>
  </si>
  <si>
    <t>Junk Removal</t>
  </si>
  <si>
    <t>TBD — Junkluggers brand president
← Approach via Tij Bedi (CTO Authority Brands)
Greenfield FSM — junk removal, dispatch model</t>
  </si>
  <si>
    <t>2-person truck model</t>
  </si>
  <si>
    <t>SOURCE: Authority Brands website + franchise directories 2025
ITEM 19 — Unit Economics:
• Eco-friendly junk removal franchise
• Part of Authority Brands
• On-demand dispatch model
• Investment range: est. $100K-$175K
ITEM 11 — Technology:
Authority Brands tech stack — verify FSM mandate
Dispatch model — ServiceBridge Smart Scheduler fit
NOTE: Authority Brands portfolio.</t>
  </si>
  <si>
    <t>VERIFY: Authority Brands tech mandate
KEY ANGLES:
• On-demand dispatch optimization
• Authority mandate = top-down play</t>
  </si>
  <si>
    <t>Mister Sparky</t>
  </si>
  <si>
    <t>HIGH — ServiceTitan MANDATED — transition announced Sep 2024</t>
  </si>
  <si>
    <t>TBD — Mister Sparky brand president
⚠️ ST MANDATED Sep 2024 — NO FSM pitch</t>
  </si>
  <si>
    <t>TBD — GPS Insight telematics only</t>
  </si>
  <si>
    <t>Licensed electricians — compliance + dispatch fit</t>
  </si>
  <si>
    <t>SOURCE: ServiceTitan press release Sep 2024
ServiceTitan MANDATED — transition announced Sep 2024.
CONFLICT: High.
GPS Insight angle only.</t>
  </si>
  <si>
    <t>Monster Tree Service</t>
  </si>
  <si>
    <t>Tree Service</t>
  </si>
  <si>
    <t>TBD — Monster Tree brand president
← Approach via Tij Bedi (CTO Authority Brands)
Greenfield FSM — project/tree service model</t>
  </si>
  <si>
    <t>Crew-based tree work</t>
  </si>
  <si>
    <t>SOURCE: Authority Brands website + franchise directories 2025
ITEM 19 — Unit Economics:
• Tree care + arborist services
• Part of Authority Brands
• Project + emergency dispatch model
• Investment range: est. $150K-$300K
ITEM 11 — Technology:
Authority Brands tech stack — verify FSM mandate
Project estimate + emergency dispatch
NOTE: Authority Brands portfolio.</t>
  </si>
  <si>
    <t>VERIFY: Authority Brands tech mandate
KEY ANGLES:
• Emergency dispatch + project scheduling
• Authority mandate = top-down play</t>
  </si>
  <si>
    <t>Mosquito Squad</t>
  </si>
  <si>
    <t>VERIFY — Authority Brands tech mandate status unknown — verify with Tij Bedi (CTO) before outreach</t>
  </si>
  <si>
    <t>FieldRoutes possible</t>
  </si>
  <si>
    <t>TBD — Mosquito Squad brand president
← Approach via Tij Bedi (CTO Authority Brands)
Greenfield FSM — route/pest model</t>
  </si>
  <si>
    <t>TBD — verify GPS Insight customer</t>
  </si>
  <si>
    <t>Route recurring pest control</t>
  </si>
  <si>
    <t>SOURCE: Authority Brands / franchise directories 2025
ITEM 19 — Unit Economics:
• 410+ franchised territories as of Dec 31, 2024 (Mosquito Joe FDD comparison)
• Largest mosquito control franchise network in US
• Recurring seasonal route model
• Investment range: est. $95K-$140K
ITEM 11 — Technology:
Authority Brands tech stack — verify FSM mandate
Route-based seasonal model = FieldRoutes likely in use
VERIFY with Tij Bedi (CTO) before outreach
NOTE: Authority Brands portfolio.</t>
  </si>
  <si>
    <t>VERIFY: Authority Brands / FieldRoutes mandate
KEY ANGLES:
• Route optimization = more stops per season
• If FieldRoutes confirmed — GPS telematics only
• Authority mandate = top-down play</t>
  </si>
  <si>
    <t>66
🟡 QUEUE</t>
  </si>
  <si>
    <t>One Hour Heating &amp; Air</t>
  </si>
  <si>
    <t>TBD — One Hour brand president
⚠️ ST MANDATED Sep 2024 — NO FSM pitch</t>
  </si>
  <si>
    <t>Verify ST mandate status</t>
  </si>
  <si>
    <t>58
🟡 QUEUE</t>
  </si>
  <si>
    <t>Screenmobile</t>
  </si>
  <si>
    <t>TBD — Screenmobile brand president
← Approach via Tij Bedi (CTO Authority Brands)
Greenfield FSM</t>
  </si>
  <si>
    <t>Mobile screen repair — route-based</t>
  </si>
  <si>
    <t>SOURCE: Authority Brands + franchise directories 2025
ITEM 19 — Unit Economics:
• Screen installation + repair — mobile model
• Part of Authority Brands
• Investment range: est. $75K-$120K
ITEM 11 — Technology:
Authority Brands tech stack
Mobile service model — scheduling + routing
NOTE: Authority Brands portfolio.</t>
  </si>
  <si>
    <t>VERIFY: Authority Brands tech mandate
KEY ANGLES:
• Mobile scheduling + route optimization
• Authority mandate = top-down play</t>
  </si>
  <si>
    <t>STOP Restoration</t>
  </si>
  <si>
    <t>TBD — franchisee owner/operator</t>
  </si>
  <si>
    <t>TBD — office manager / dispatcher</t>
  </si>
  <si>
    <t>TBD — verify GPS Insight customer status via Andrea</t>
  </si>
  <si>
    <t>Restoration crews — project-based</t>
  </si>
  <si>
    <t>SOURCE: Authority Brands + FDD directories 2025
ITEM 19 — Unit Economics:
• Fire/water/mold restoration
• Part of Authority Brands
• Insurance-paid restoration model
• Investment range: est. $150K-$350K
ITEM 11 — Technology:
Authority Brands tech stack — verify FSM mandate
INSURANCE ANGLE: High — carrier documentation critical
NOTE: Authority Brands portfolio.</t>
  </si>
  <si>
    <t>VERIFY: Authority Brands tech mandate
KEY ANGLES:
• Job photo documentation = carrier compliance
• Authority mandate = top-down play</t>
  </si>
  <si>
    <t>Lawn Squad</t>
  </si>
  <si>
    <t>VERIFY — Authority Brands tech mandate — FieldRoutes likely for route-based lawn care; verify before outreach</t>
  </si>
  <si>
    <t>Newer Authority brand — clean greenfield</t>
  </si>
  <si>
    <t>SOURCE: Authority Brands + franchise directories 2025
ITEM 19 — Unit Economics:
• Lawn care + landscaping services
• Part of Authority Brands
• Recurring route model
• Investment range: est. $75K-$150K
ITEM 11 — Technology:
Authority Brands tech stack — verify FSM mandate
Route-based recurring = FieldRoutes likely
NOTE: Authority Brands portfolio.</t>
  </si>
  <si>
    <t>VERIFY: Authority Brands tech mandate
KEY ANGLES:
• Route optimization
• Authority mandate = top-down play</t>
  </si>
  <si>
    <t>1-800 Water Damage</t>
  </si>
  <si>
    <t>Water Damage</t>
  </si>
  <si>
    <t>YES</t>
  </si>
  <si>
    <t>NONE — Greenfield confirmed — no FSM mandate found in BELFOR FDD; insurance carrier model benefits directly from ServiceBridge documentation</t>
  </si>
  <si>
    <t>Insurance carriers dispatch (Travelers, Allstate, State Farm)</t>
  </si>
  <si>
    <t>Tim Fagan
President, 1-800 Water Damage
(also President, Blue Kangaroo Packoutz)
25+ yrs restoration industry. Joined BELFOR 2010. BELFOR Boot Camp instructor.</t>
  </si>
  <si>
    <t>TBD — office manager / dispatcher at target location
← Identify via GPS Insight telematics warm intro</t>
  </si>
  <si>
    <t>← Ask Andrea: GPS Insight account rep for target franchisee
Warm intro = owner answers the call</t>
  </si>
  <si>
    <t>Profile via GPS Insight list</t>
  </si>
  <si>
    <t>GPS warm — cross-reference telematics list first</t>
  </si>
  <si>
    <t>SOURCE: Franchise Chatter / SharpSheets analysis of 2024 FDD
ITEM 19 (2023 data): 94 franchisees, 157 locations
• All-franchisee avg: ~$480K gross/location
• Top 25% avg: $1,654,321
• Est. EBITDA @15% margin: ~$72K/location
• Avg job invoice: ~$4,500
• Insurance carriers refer ~40% of jobs
ITEM 11: 'Proprietary business management and job tracking tools' — no 3rd party named.
ROYALTY: 10% → 7% (tiered on revenue) + 2% marketing</t>
  </si>
  <si>
    <t>USE: ROI Calculator + 3-Way Scenario
INPUTS (FDD-sourced):
• 1 location, 3 techs (avg)
• Revenue/job: $4,500
• Jobs/day: 3 (emergency dispatch)
KEY OUTPUT TO SHOW:
5-pt margin lift = $24K EBITDA/location
Insurance carrier ref: 40% of jobs
Invoice cycle reduction = faster carrier payment</t>
  </si>
  <si>
    <t>+25</t>
  </si>
  <si>
    <t>106
🔴 LEAD PILOT</t>
  </si>
  <si>
    <t>1-800 BOARDUP</t>
  </si>
  <si>
    <t>Board-Up</t>
  </si>
  <si>
    <t>NONE — Greenfield confirmed — BELFOR FDD shows no third-party FSM mandate; proprietary BELFOR tools only</t>
  </si>
  <si>
    <t>Beth Toenies
COO, 1-800-BOARDUP / VP Franchise Development, BELFOR FG
2025 Stevie Award, Top 50 Women in Construction 2025.
20+ yrs franchise leadership, Six Sigma Black Belt.</t>
  </si>
  <si>
    <t>TBD — ops contact at target location
← Beth Toenies is also the FD contact for vendor conversations</t>
  </si>
  <si>
    <t>← Ask Andrea: GPS Insight account rep for BOARDUP franchisee
Beth Toenies also accessible via franchise dev channel</t>
  </si>
  <si>
    <t>GPS warm — disaster response, strong dispatch fit</t>
  </si>
  <si>
    <t>SOURCE: BELFOR FDD family — same structure as 1-800 Water Damage
ITEM 11: Proprietary tools per BELFOR FDD. No third-party FSM.
Insurance dispatch model — emergency board-up called by carrier after claim.
Pull brand-specific FDD from state registry for Item 19 unit economics.</t>
  </si>
  <si>
    <t>USE: ROI Calculator
Emergency dispatch model — same as 1-800 WD.
Avg job value lower (~$1,500-2,500).
Key metric: response time + doc quality = more carrier referrals.</t>
  </si>
  <si>
    <t>96
🔴 LEAD PILOT</t>
  </si>
  <si>
    <t>Blue Kangaroo Packoutz</t>
  </si>
  <si>
    <t>Contents/Packout</t>
  </si>
  <si>
    <t>NONE — Greenfield confirmed — contents restoration, no FSM mandate found in BELFOR FDD family</t>
  </si>
  <si>
    <t>Insurance carriers dispatch — packout/contents</t>
  </si>
  <si>
    <t>Tim Fagan
President, Blue Kangaroo Packoutz
(also President, 1-800 Water Damage)
Contents cleaning + restoration. Insurance dispatch model.</t>
  </si>
  <si>
    <t>← Ask Andrea: GPS Insight account rep for target location</t>
  </si>
  <si>
    <t>Packout crews — job documentation critical fit</t>
  </si>
  <si>
    <t>SOURCE: BELFOR FDD family
Contents packout — dispatched by insurance carriers for pack-out after water/fire damage.
ITEM 11: Proprietary tools. No FSM named.
Pull brand-specific FDD for Item 19.</t>
  </si>
  <si>
    <t>USE: ROI Calculator
Packout/contents model — project-based.
Key metric: Job documentation completeness
= faster insurance settlement = faster payment.</t>
  </si>
  <si>
    <t>DUCTZ</t>
  </si>
  <si>
    <t>HVAC/Air Duct</t>
  </si>
  <si>
    <t>NONE — Greenfield confirmed — BELFOR FDD family, no third-party FSM mandate; HVAC restoration model</t>
  </si>
  <si>
    <t>N/A — commercial route</t>
  </si>
  <si>
    <t>Jessica Wicks
Brand President, DUCTZ International
First female DUCTZ president (appointed July 2022)
10+ yrs at brand — marketing coord → franchise coach → president
← Approach via Rusty Amarante (BFG President) or Beth Toenies (VP FD)</t>
  </si>
  <si>
    <t>← Ask Andrea: GPS Insight account rep for DUCTZ franchisee
DUCTZ FoY 2025 — warm brand</t>
  </si>
  <si>
    <t>Duct cleaning route — scheduling + route</t>
  </si>
  <si>
    <t>BELFOR family FDD — pull brand-specific FDD for Items 8, 11, 19. GPS Insight warm flag confirmed.</t>
  </si>
  <si>
    <t>USE: ROI Calculator
Inputs: $4,500/job avg (FDD), 3 jobs/day, 3 techs.
Key output: invoice cycle reduction + carrier doc quality.
GPS Insight warm — integrate telematics ROI in same model.</t>
  </si>
  <si>
    <t>103
🔴 LEAD PILOT</t>
  </si>
  <si>
    <t>Z Plumberz</t>
  </si>
  <si>
    <t>NONE — Greenfield confirmed — BELFOR FDD family, no third-party FSM mandate; plumbing dispatch model</t>
  </si>
  <si>
    <t>Matt O'Rourke
Founder &amp; Brand President, Z PLUMBERZ
Licensed plumber. Founded brand 2007.
22 new units added 2025 — fastest growing BELFOR plumbing brand
← Approach via Rusty Amarante or Beth Toenies (VP FD, BFG)</t>
  </si>
  <si>
    <t>TBD — local franchisee ops contact
Plumbing = emergency dispatch — strong FSM fit</t>
  </si>
  <si>
    <t>← Ask Andrea: GPS Insight account rep for Z PLUMBERZ franchisee</t>
  </si>
  <si>
    <t>Plumbing franchise — emergency dispatch fit</t>
  </si>
  <si>
    <t>113
🔴 LEAD PILOT</t>
  </si>
  <si>
    <t>NONE — Greenfield confirmed — parent company operates ServiceBridge-compatible model</t>
  </si>
  <si>
    <t>Insurance carriers dispatch — all major carriers</t>
  </si>
  <si>
    <t>TBD — GPS Insight customer
← Andrea: identify owner at target location
Rusty Amarante (BFG President) is top-of-house contact</t>
  </si>
  <si>
    <t>TBD — office manager / dispatcher
← Key internal champion for ServiceBridge pilot</t>
  </si>
  <si>
    <t>← Ask Andrea: GPS Insight account rep for this BELFOR franchisee
Warm intro = pilot conversation vs cold call</t>
  </si>
  <si>
    <t>⛔ EXCLUDED — different software ecosystem (restoration management). Engage at parent franchisor level (BELFOR FG) only, not as Stage 2 brand-corp target. | Large restoration crews — documentation + compliance</t>
  </si>
  <si>
    <t>BELFOR (other brands)</t>
  </si>
  <si>
    <t>Brand presidents by brand (via Rusty Amarante or Beth Toenies):
• HOODZ: Keith Turner, Brand President
• N-Hance: Chris Seman, President (Jan 2026)
• JUNKCO+: TBD — brand president
• The Patch Boys: TBD — brand president
• redbox+ Dumpsters: TBD — brand president
• WINMAR: TBD — brand president
• Helpful Heroes: TBD — brand president
• Clear Pest Pros: TBD — brand president
← All approach via Rusty Amarante (BFG President) or Beth Toenies (VP FD)</t>
  </si>
  <si>
    <t>Remaining BELFOR brands — mandate unlocks all</t>
  </si>
  <si>
    <t>MaidPro</t>
  </si>
  <si>
    <t>Threshold Brands</t>
  </si>
  <si>
    <t>HIGH — Proprietary MaidPro software MANDATED — $500/month tech fee, confirmed in FDD Item 11</t>
  </si>
  <si>
    <t>Proprietary / Paper</t>
  </si>
  <si>
    <t>Largest Threshold brand. Recurring cleaning model</t>
  </si>
  <si>
    <t>SOURCE: 2025 FDD (2024 data) — sharpsheets.io + franchisechatter.com
ITEM 19 — Unit Economics:
• 231 franchisees open 12 months ending Dec 31, 2024
• Avg gross revenue: ~$461,941/location (franzy.com) / $375,000 AUV (sharpsheets)
• Top quartile avg: $958K | Bottom quartile avg: $134K (7:1 ratio)
• 265+ locations across US and Canada
• Royalty: 6% gross sales + 2% brand fund = 8% total
• Investment range: $109,860–$158,650
ITEM 11 — Technology:
⚠️ PROPRIETARY SOFTWARE CONFIRMED: Technology fee of $500/month ($6,000/year)
MaidPro uses proprietary business software for scheduling, CRM, and operations
FSM CONFLICT RISK: High — proprietary system with mandatory monthly fee
MANDATE SOURCE: MaidPro (Threshold Brands brand-level, not PE mandate)</t>
  </si>
  <si>
    <t>⚠️ CONFLICT: Proprietary FSM with $500/mo tech fee
DO NOT pitch ServiceBridge FSM replacement
ANGLE IF ENGAGED:
• GPS Insight telematics standalone — if confirmed customer
• Frame as complement, not replacement
• OR wait for Threshold mandate conversation at PE level
Threshold PE exit window (Riverside Year 4) = brand-level override possible</t>
  </si>
  <si>
    <t>76
🟡 QUEUE</t>
  </si>
  <si>
    <t>Insulation</t>
  </si>
  <si>
    <t>NONE — Greenfield confirmed — 2025 FDD Item 11 shows no FSM mandate; project-based install model</t>
  </si>
  <si>
    <t>⚠️ AT-RISK / RETENTION PLAY — Andrea confirmed Apr 2026: USA Insulation transitioning off ServiceBridge over next year. Posture: dual-track — defend if reversible, reset relationship at brand-corp level (Ted DeMarino CEO + Billy Newby CFO new in role). | Seasonal scheduling — strong dispatch fit</t>
  </si>
  <si>
    <t>SOURCE: 2025 FDD (2024 data) — franchisechatter.com + frandb.com analysis
ITEM 19 — Unit Economics:
• 41 franchises, 79 territories, full year Dec 31 2024
• Avg gross revenue per territory: $2,437,318
• Top quartile avg: $3M+
• Gross margin system-wide: 50-55% (top performers 57%)
• 101.6% unit increase over 3 years — fastest growing Threshold brand
• Royalty: greater of 5% gross sales or $1,000/mo
• Investment range: $299,500–$470,000
ITEM 11 — Technology:
No FSM mandate found in public sources — GREENFIELD confirmed
Project-based model — estimate to invoice flow = ServiceBridge sweet spot
ITEM 8 — Vendors:
Proprietary foam products (cost = 37-112% of gross sales per territory)
Vendor supply chain is key cost driver</t>
  </si>
  <si>
    <t>USE: ROI Calculator — PROJECT MODEL
PRE-POPULATE WITH:
• Avg revenue/job: $8,000-$15,000 (insulation install)
• Jobs/tech/day: 1-2 (project-based, not route)
• Territories: 79 active
• Avg gross revenue/territory: $2.4M
KEY ANGLES:
• GreenSky® financing — high-ticket jobs ($5K-$15K) = direct conversion lift
• Estimate-to-invoice flow — digital estimates reduce no-shows
• Job documentation — photo capture = carrier/warranty compliance
• 5-pt margin lift on $2.4M territory = $120K EBITDA/territory
• 79 territories × $120K = $9.5M system EBITDA impact at 5% margin lift
Riverside PE exit window — EBITDA story lands well</t>
  </si>
  <si>
    <t>Men In Kilts</t>
  </si>
  <si>
    <t>Window Cleaning</t>
  </si>
  <si>
    <t>Route-heavy exterior cleaning</t>
  </si>
  <si>
    <t>SOURCE: 2025 FDD — sharpsheets.io + franzy.com + franchisepayback.com
ITEM 19 — Unit Economics:
• Avg gross revenue: ~$147,164/location (below sector avg of $881K)
• 36 locations North America as of Dec 2024
• Investment range: $127,000–$223,000
• Royalty: 6% + 2% national marketing
• Territory: 40,000+ qualified households per territory
ITEM 11 — Technology:
Cloud-based scheduling mentioned. No specific FSM mandate found.
GREENFIELD likely — small brand, exterior cleaning model
Acquired by Threshold Brands 2020 — tech stack under review
NOTE: Low AUV ($147K) — small brand, pilot value is limited unless targeting
multi-territory operators</t>
  </si>
  <si>
    <t>USE: Conservative ROI model only
PRE-POPULATE:
• Revenue/job: $200-$400 (window/gutter cleaning)
• Jobs/tech/day: 3-4
• Avg location: $147K revenue
KEY ANGLE:
• Route optimization = same-day scheduling efficiency
• Job Confirmations 2-way SMS = no-shows
• Small brand — wait for Threshold mandate conversation
• Better ROI story after Threshold PE intro</t>
  </si>
  <si>
    <t>Pestmaster Services</t>
  </si>
  <si>
    <t>NONE — Greenfield likely — no FSM mandate found; government contract route model benefits from job documentation</t>
  </si>
  <si>
    <t>Seasonal pest route — recurring</t>
  </si>
  <si>
    <t>SOURCE: 2025 FDD — franzy.com + sharpsheets.io
ITEM 19 — Unit Economics:
• Avg gross revenue: $542,842/location
• 57 franchised locations, 23 states (as of 2025 FDD)
• Investment range: $85,000–$189,000
• Royalty: 7% gross sales + 2% advertising
• Government contract model — pre-qualified for federal agencies
• Multiple revenue streams: pest, vector, vegetation management
ITEM 11 — Technology:
No specific FSM mandate found — GREENFIELD likely
Pestmaster mentions 'software and newest treatment technology'
Route-based model with recurring government contracts
NOTE: Government + commercial contracts = recurring route model
Strong ServiceBridge fit for route scheduling + job documentation</t>
  </si>
  <si>
    <t>USE: ROI Calculator — ROUTE MODEL
PRE-POPULATE:
• Avg revenue/location: $542K
• Route-based recurring contracts
• Government contract model = compliance documentation critical
KEY ANGLES:
• Route optimization = more stops per day
• Job completion documentation = government contract compliance
• 2-way SMS job confirmations = no-shows reduction
• $542K × 5% margin lift = $27K/location
• 57 locations × $27K = $1.5M system case
• Riverside PE exit math</t>
  </si>
  <si>
    <t>79
🟡 QUEUE</t>
  </si>
  <si>
    <t>FlyFoe</t>
  </si>
  <si>
    <t>Mosquito + pest control</t>
  </si>
  <si>
    <t>SOURCE: FranNet + Franchise Gator + Franchising.com (2025)
ITEM 19 — Unit Economics:
• Very small brand — only 7 locations as of 2019 data (limited public FDD data)
• Investment range: $72,940–$178,490
• Royalty: sliding scale 9-6% gross sales
• Mosquito + tick control — seasonal recurring model
• Proprietary software for scheduling + route management mentioned
ITEM 11 — Technology:
⚠️ PROPRIETARY SOFTWARE MENTIONED: scheduling + route management
FlyFoe mentions 'one-of-a-kind software for scheduling and route management'
CONFLICT RISK: Medium — verify if ServiceBridge would conflict
NOTE: Micro-brand within Threshold (acquired by MaidPro/BG). Very small.
Wait for Threshold mandate conversation — do not approach direct</t>
  </si>
  <si>
    <t>⚠️ VERIFY: Proprietary scheduling software — possible conflict
NOTE: Micro-brand, very small (7 locations). Low priority.
Wait for Threshold mandate conversation.
IF ENGAGED:
• GPS Insight telematics route optimization angle
• Seasonal route model = strong route optimization case
• Upgrade path if current software is basic</t>
  </si>
  <si>
    <t>Granite Garage Floors</t>
  </si>
  <si>
    <t>Flooring</t>
  </si>
  <si>
    <t>Project-based flooring</t>
  </si>
  <si>
    <t>SOURCE: LinkedIn + Threshold Brands + FDD Exchange 2025
ITEM 19 — Unit Economics:
• Brand President: Kayla Cina (named Top 50 Women in Franchising 2023)
• Garage floor coating installation — project-based model
• Investment range: est. $100K-$200K (no specific public AUV found)
• Part of Threshold Brands portfolio (Riverside Company)
• Franchise count: est. 40-60 locations
ITEM 11 — Technology:
No specific FSM mandate found — GREENFIELD likely
Project-based install model — estimate to invoice flow
NOTE: Smaller brand within Threshold. Kayla Cina is approachable.
Wait for Threshold mandate conversation before direct outreach</t>
  </si>
  <si>
    <t>USE: ROI Calculator — PROJECT INSTALL MODEL
PRE-POPULATE:
• Project-based: avg job $2,000-$5,000 (garage floor coating)
• High-ticket, low volume
KEY ANGLES:
• Digital estimates + photo before/after capture
• GreenSky financing for $2K-$5K jobs
• Same-day payment
• Wait for Threshold mandate conversation</t>
  </si>
  <si>
    <t>74
🟡 QUEUE</t>
  </si>
  <si>
    <t>Heating + Air Paramedics</t>
  </si>
  <si>
    <t>NONE — Greenfield confirmed — very new brand (2021), no mandate found; HVAC dispatch model</t>
  </si>
  <si>
    <t>HVAC emergency + scheduled dispatch</t>
  </si>
  <si>
    <t>SOURCE: Franchise Payback + Heating Air Paramedics website (2025 FDD)
ITEM 19 — Unit Economics:
• 14 franchised units as of 2025 FDD
• Investment range: $124,000–$309,000
• HVAC installation + service (residential + light commercial)
• Founded Indianapolis — part of Threshold Brands
• Small but fast-growing brand
ITEM 11 — Technology:
No specific FSM mandate found — GREENFIELD likely
HVAC = high avg ticket ($500-$5,000+), emergency dispatch model
NOTE: Very small brand (14 units). High avg ticket size.
Wait for Threshold mandate conversation before direct outreach</t>
  </si>
  <si>
    <t>USE: ROI Calculator — HVAC/EMERGENCY DISPATCH MODEL
PRE-POPULATE:
• HVAC avg job: $500-$5,000 (repair/install)
• Emergency dispatch model
• 14 units — small brand
KEY ANGLES:
• Emergency dispatch = Smart Scheduler AI critical
• Same-day service + payment
• Job documentation for warranty compliance
• High ticket = strong ROI per tech
• Wait for Threshold mandate first</t>
  </si>
  <si>
    <t>91
🔴 LEAD PILOT</t>
  </si>
  <si>
    <t>Plumbing Paramedics</t>
  </si>
  <si>
    <t>NONE — Greenfield confirmed — brand new franchise (2021), no mandate; plumbing emergency dispatch</t>
  </si>
  <si>
    <t>Plumbing — emergency dispatch critical fit</t>
  </si>
  <si>
    <t>SOURCE: FDD Exchange (2024 + 2025 FDD data)
ITEM 19 — Unit Economics:
• PHP Franchise LLC — formed Oct 2021, began franchising Nov 2021
• Investment range: $128,575–$271,125 (2024 FDD)
• Plumbing installation + service
• Founded Cleveland, OH — part of Threshold Brands
• Very new brand — limited Item 19 data publicly available
ITEM 11 — Technology:
No specific FSM mandate found — GREENFIELD likely
Plumbing = emergency dispatch + recurring maintenance model
NOTE: Brand new franchise (2021). Very small.
Wait for Threshold mandate conversation before direct outreach</t>
  </si>
  <si>
    <t>USE: ROI Calculator — PLUMBING/EMERGENCY DISPATCH MODEL
PRE-POPULATE:
• Avg plumbing job: $300-$2,500
• Emergency dispatch + recurring maintenance
KEY ANGLES:
• Emergency dispatch = Smart Scheduler critical
• Same-day payment
• Job photo documentation
• Very new brand — wait for Threshold mandate first</t>
  </si>
  <si>
    <t>Sir Grout</t>
  </si>
  <si>
    <t>Tile/Grout</t>
  </si>
  <si>
    <t>Small crew tile/grout restoration</t>
  </si>
  <si>
    <t>SOURCE: 2025 FDD — sharpsheets.io + franzimp.com
ITEM 19 — Unit Economics:
• Avg gross revenue: $482,000/location (sharpsheets)
• Est. $366,058 (franchimp analysis)
• 61 franchised locations, 20 states (2024 FDD)
• Investment range: $120,930–$183,110
• Royalty: 7% + 2% marketing
• Hard surface restoration — tile, grout, stone, caulking
ITEM 11 — Technology:
No specific FSM mandate found — GREENFIELD likely
Project-based model (residential + commercial)
National call center provided by Threshold Brands
NOTE: Part of Threshold Brands (Riverside). Small brand — wait for
franchisor mandate conversation before direct outreach</t>
  </si>
  <si>
    <t>USE: ROI Calculator — PROJECT MODEL
PRE-POPULATE:
• Avg revenue/location: $482K
• Project-based: avg job $500-$1,500 (hard surface restoration)
• Estimate-to-invoice flow
KEY ANGLES:
• Digital estimates + photo capture
• Same-day payment
• $482K × 5% lift = $24K/location
• Wait for Threshold mandate conversation first</t>
  </si>
  <si>
    <t>TruBlue</t>
  </si>
  <si>
    <t>Handyman/Senior</t>
  </si>
  <si>
    <t>100</t>
  </si>
  <si>
    <t>Home maintenance for seniors — recurring</t>
  </si>
  <si>
    <t>SOURCE: 2025 FDD (2024 data) — franchisechatter.com + franchisepayback.com
ITEM 19 — Unit Economics:
• 104 franchises as of Dec 31, 2024
• 44 initial units reporting full year 2024 (continuous ownership)
• Avg gross revenue: ~$319,000/location
• Investment range: $70,000–$96,400
• Royalty: 6% gross revenues ($500/mo min yr 1; $1,000/mo thereafter)
• National Branding Fee: 2% or $500/mo
• Senior home care + handyman = recurring subscription model
ITEM 11 — Technology:
No specific FSM mandate found — GREENFIELD likely
Home-based model — limited tech stack visible in public sources
Senior care focus = appointment scheduling, 2-way SMS critical
MODEL: Subscription/recurring services for seniors aging in place</t>
  </si>
  <si>
    <t>USE: ROI Calculator — SUBSCRIPTION/RECURRING MODEL
PRE-POPULATE:
• Avg revenue/location: $319K
• Recurring subscription model (weekly/monthly care visits)
• Senior/handyman = avg job $150-$400
KEY ANGLES:
• 2-way SMS job confirmations = critical for senior clients
• Recurring scheduling automation
• Job completion docs = family peace of mind
• $319K × 5% lift = $16K/location
• 104 locations × $16K = $1.7M system case
• Riverside PE exit math — Threshold Year 4</t>
  </si>
  <si>
    <t>JAN-PRO</t>
  </si>
  <si>
    <t>Empower Brands</t>
  </si>
  <si>
    <t>Commercial Cleaning</t>
  </si>
  <si>
    <t>HIGH — Proprietary FSM mandated — $60/month tech fee, confirmed in FDD Item 8/11</t>
  </si>
  <si>
    <t>Aspire (ST) possible</t>
  </si>
  <si>
    <t>Gary Bauer</t>
  </si>
  <si>
    <t>Brand President, JAN-PRO</t>
  </si>
  <si>
    <t>Gary Bauer
Brand President, JAN-PRO Systems International
30+ yr ServiceMaster background. Knows Aspire inside out.
⚠️ Approach via Scott Zide (CEO Empower) — not direct</t>
  </si>
  <si>
    <t>TBD — regional developer contact</t>
  </si>
  <si>
    <t>No confirmed GPS Insight relationship
⚠️ JAN-PRO has proprietary FSM with $60/mo fee — conflict risk</t>
  </si>
  <si>
    <t>Gary Bauer direct outreach</t>
  </si>
  <si>
    <t>30+ yrs ServiceMaster background. PRIMARY brand wedge into Empower</t>
  </si>
  <si>
    <t>SOURCE: assettfranchise.com analysis of 2024/2025 FDD
ITEM 8/11: Proprietary software MANDATED with $60/month technology fee.
Three-level structure: Empower → Regional Developer → Unit Franchisee.
Mandate must come from Scott Zide (CEO) level.
⚠️ CONFLICT FLAG: Proprietary FSM already in place and fee built into cost structure.
Confirm gap vs ServiceBridge functionality before outreach.</t>
  </si>
  <si>
    <t>⚠️ CONFLICT — proprietary FSM with $60/mo fee in FDD.
DO NOT run standard Insight Engine pitch.
If ServiceBridge can replace/augment at lower cost:
Model the $60/mo saving × 11,265 units = $8.1M/yr cost elimination.</t>
  </si>
  <si>
    <t>Archadeck Outdoor Living</t>
  </si>
  <si>
    <t>Outdoor Living</t>
  </si>
  <si>
    <t>Project-based outdoor construction</t>
  </si>
  <si>
    <t>SOURCE: Empower Brands + franchise directories 2025
ITEM 19 — Unit Economics:
• Outdoor living + deck construction
• Part of Empower Brands (MidOcean Partners)
• High avg ticket — $30K-$100K+ per project
• Investment range: est. $80K-$180K
ITEM 11 — Technology:
Empower Brands tech stack — verify FSM mandate
Project-based construction model
NOTE: 9 non-JAN-PRO Empower brands are GREENFIELD entry point.
Scott Zide (CEO) + Michael Borreca (CFO) = top contacts</t>
  </si>
  <si>
    <t>USE: ROI Calculator — HIGH TICKET PROJECT MODEL
KEY ANGLES:
• Digital estimates for large projects
• GreenSky financing for $30K-$100K projects
• Job photo documentation
• Empower mandate = top-down play via Scott Zide</t>
  </si>
  <si>
    <t>Bumble Roofing</t>
  </si>
  <si>
    <t>Roofing</t>
  </si>
  <si>
    <t>NONE — Greenfield confirmed — Empower Brands, no FSM mandate found; roofing project model</t>
  </si>
  <si>
    <t>TBD — Bumble Roofing brand president
← Approach via Scott Zide (CEO Empower Brands)
Fastest growing Empower brand in 2025</t>
  </si>
  <si>
    <t>No confirmed GPS Insight relationship</t>
  </si>
  <si>
    <t>Project-based roofing — estimate to invoice flow</t>
  </si>
  <si>
    <t>SOURCE: Empower Brands + franchise directories 2025
ITEM 19 — Unit Economics:
• Residential roofing franchise
• Part of Empower Brands
• High ticket: avg roof job $8K-$25K
• Insurance + cash pay model
ITEM 11 — Technology:
Empower Brands tech stack — verify FSM mandate
Insurance roofing = job documentation critical
NOTE: Empower Brands. GREENFIELD entry point.</t>
  </si>
  <si>
    <t>KEY ANGLES:
• GreenSky financing for $8K-$25K jobs
• Insurance job documentation
• Empower mandate = top-down play</t>
  </si>
  <si>
    <t>71
🟡 QUEUE</t>
  </si>
  <si>
    <t>Canopy Lawn Care</t>
  </si>
  <si>
    <t>NONE — Greenfield likely — Empower Brands, no mandate found; lawn care route model</t>
  </si>
  <si>
    <t>TBD — Canopy Lawn Care brand president
← Approach via Scott Zide (CEO Empower Brands)
⚠️ FieldRoutes conflict possible — verify first</t>
  </si>
  <si>
    <t>Route-intensive lawn care — recurring</t>
  </si>
  <si>
    <t>SOURCE: Empower Brands + franchise directories 2025
ITEM 19 — Unit Economics:
• Lawn care + landscaping
• Part of Empower Brands
• Recurring route model
ITEM 11 — Technology:
Empower Brands tech stack — verify FSM mandate
Route-based recurring model
NOTE: Empower Brands. GREENFIELD entry point.</t>
  </si>
  <si>
    <t>KEY ANGLES:
• Route optimization
• Empower mandate = top-down play</t>
  </si>
  <si>
    <t>Conserva Irrigation</t>
  </si>
  <si>
    <t>Irrigation</t>
  </si>
  <si>
    <t>Seasonal irrigation service</t>
  </si>
  <si>
    <t>SOURCE: Empower Brands + franchise directories 2025
ITEM 19 — Unit Economics:
• Irrigation system service + repair
• Part of Empower Brands
• Recurring maintenance + seasonal model
ITEM 11 — Technology:
Empower Brands tech stack
Seasonal recurring model
NOTE: Empower Brands. GREENFIELD entry point.</t>
  </si>
  <si>
    <t>KEY ANGLES:
• Seasonal scheduling + recurring
• Empower mandate = top-down play</t>
  </si>
  <si>
    <t>FRSTeam</t>
  </si>
  <si>
    <t>Contents/Restoration</t>
  </si>
  <si>
    <t>Contents restoration crews</t>
  </si>
  <si>
    <t>SOURCE: Empower Brands + franchise directories 2025
ITEM 19 — Unit Economics:
• Fabric + textile restoration — insurance model
• Part of Empower Brands
• Insurance-paid contents restoration
ITEM 11 — Technology:
Empower Brands tech stack
Insurance restoration = job documentation critical
NOTE: Empower Brands. GREENFIELD entry point.</t>
  </si>
  <si>
    <t>KEY ANGLES:
• Insurance job documentation
• Empower mandate = top-down play</t>
  </si>
  <si>
    <t>Koala Insulation</t>
  </si>
  <si>
    <t>Growing brand — newer in Empower portfolio</t>
  </si>
  <si>
    <t>SOURCE: Empower Brands + franchise directories 2025
ITEM 19 — Unit Economics:
• Insulation installation
• Part of Empower Brands
• High avg ticket: $2K-$10K per job
• Fast-growing brand — energy efficiency market
ITEM 11 — Technology:
Empower Brands tech stack
Project-based model
NOTE: Empower Brands. GREENFIELD entry point.</t>
  </si>
  <si>
    <t>KEY ANGLES:
• GreenSky financing for insulation jobs
• Energy efficiency angle (GreenSky green financing)
• Empower mandate = top-down play</t>
  </si>
  <si>
    <t>Outdoor Lighting Perspectives</t>
  </si>
  <si>
    <t>Lighting</t>
  </si>
  <si>
    <t>Seasonal lighting — route + project mix</t>
  </si>
  <si>
    <t>SOURCE: Empower Brands + franchise directories 2025
ITEM 19 — Unit Economics:
• Outdoor lighting design + installation
• Part of Empower Brands
• High avg ticket: $3K-$15K per installation
ITEM 11 — Technology:
Empower Brands tech stack
Project + seasonal model
NOTE: Empower Brands. GREENFIELD entry point.</t>
  </si>
  <si>
    <t>KEY ANGLES:
• GreenSky for $3K-$15K installations
• Empower mandate = top-down play</t>
  </si>
  <si>
    <t>Superior Fence &amp; Rail</t>
  </si>
  <si>
    <t>Fence</t>
  </si>
  <si>
    <t>Project-based fencing</t>
  </si>
  <si>
    <t>SOURCE: Empower Brands + franchise directories 2025
ITEM 19 — Unit Economics:
• Fence installation franchise
• Part of Empower Brands
• High avg ticket: $3K-$10K+ per project
• Fast-growing national brand
ITEM 11 — Technology:
Empower Brands tech stack
Project-based install model
NOTE: Empower Brands. GREENFIELD entry point.</t>
  </si>
  <si>
    <t>KEY ANGLES:
• Digital estimates + photo documentation
• GreenSky for fence projects
• Empower mandate = top-down play</t>
  </si>
  <si>
    <t>Wallaby Windows</t>
  </si>
  <si>
    <t>Exterior window cleaning — route model</t>
  </si>
  <si>
    <t>SOURCE: Empower Brands + franchise directories 2025
ITEM 19 — Unit Economics:
• Window installation + replacement
• Part of Empower Brands
• High avg ticket: $5K-$20K per job
ITEM 11 — Technology:
Empower Brands tech stack
Project-based install model
NOTE: Empower Brands. GREENFIELD entry point.</t>
  </si>
  <si>
    <t>KEY ANGLES:
• GreenSky for $5K-$20K window projects
• Empower mandate = top-down play</t>
  </si>
  <si>
    <t>RooterMan</t>
  </si>
  <si>
    <t>NONE — Greenfield likely — PSB brand, no specific FSM mandate found; plumbing dispatch</t>
  </si>
  <si>
    <t>(TBD — Research)</t>
  </si>
  <si>
    <t>Brand President</t>
  </si>
  <si>
    <t>TBD — RooterMan brand president
← Approach via Paul Flick (Founder &amp; CEO, PSB)
or Roxanne Conrad (COO, PSB)
PSB acquired RooterMan. 776+ locations. Franchise 500 #298 in 2025.</t>
  </si>
  <si>
    <t>TBD — RooterMan ops contact at PSB level
Gabe Colon — EVP of Performance, PSB (franchisee training)</t>
  </si>
  <si>
    <t>No confirmed GPS Insight relationship
Verify via Andrea before outreach</t>
  </si>
  <si>
    <t>Research brand president then outreach</t>
  </si>
  <si>
    <t>300 locations — BRAND WEDGE into PSB. Find brand president first</t>
  </si>
  <si>
    <t>SOURCE: PSB + franchise directories 2025
ITEM 19 — Unit Economics:
• Plumbing + drain services franchise
• Part of PSB portfolio
• Emergency dispatch + recurring maintenance
• Investment range: est. $70K-$130K
ITEM 11 — Technology:
PSB CRM-based — verify FSM overlap
Emergency dispatch model
NOTE: PSB portfolio. One PSB win = access to all 8 brands</t>
  </si>
  <si>
    <t>KEY ANGLES:
• Emergency dispatch optimization
• Same-day service + payment
• PSB portfolio play</t>
  </si>
  <si>
    <t>360 Painting</t>
  </si>
  <si>
    <t>Painting</t>
  </si>
  <si>
    <t>VERIFY — PSB uses proprietary CRM for job tracking — confirm overlap with ServiceBridge FSM before outreach</t>
  </si>
  <si>
    <t>TBD — 360 Painting brand president
← Approach via Paul Flick (CEO PSB)
Roxanne Conrad was a 360 Painting franchisee before joining as COO PSB</t>
  </si>
  <si>
    <t>Roxanne Conrad
COO, Premium Service Brands
(former 360 Painting franchisee — knows the brand inside out)</t>
  </si>
  <si>
    <t>Large painting network</t>
  </si>
  <si>
    <t>SOURCE: 2025 FDD (2024 data) — franchisechatter.com + franchimp.com
ITEM 19 — Unit Economics:
• 86 franchisees / 102 franchised businesses reporting full year 2024
• 2024 gross sales total: $48,598,055 (86 franchisees)
• Avg gross sales/franchised business: ~$476,451
• Avg est per unit: $433,123-$516,000 depending on source
• 102 total units, 191 total (including non-reporting)
• Investment range: $101,350-$145,000
• Royalty: 6% gross sales + national marketing fee
• Residential + light commercial painting
ITEM 11 — Technology:
360 Painting uses PROPRIETARY CRM — franchisees required to submit jobs
FDD notes 25.63% of jobs NOT submitted through CRM
CONFLICT RISK: Medium — CRM may overlap with ServiceBridge FSM functions
PSB parent manages technology centrally across all brands</t>
  </si>
  <si>
    <t>VERIFY: PSB CRM overlap with ServiceBridge — confirm with Roxanne Conrad
PRE-POPULATE:
• Avg revenue/unit: $476K
• Project-based: avg paint job $2,000-$8,000
• 102 units
KEY ANGLES:
• Digital estimates + photo before/after
• GreenSky for larger interior/exterior projects
• Job completion documentation
• $476K x 5% lift = $24K/unit
• PSB portfolio play — if one brand signs, others follow
• Susquehanna PE exit math</t>
  </si>
  <si>
    <t>ProLift Garage Doors</t>
  </si>
  <si>
    <t>NONE — Greenfield confirmed — PSB brand, no FSM mandate; garage door install/repair model</t>
  </si>
  <si>
    <t>TBD — ProLift brand president
← Approach via Paul Flick (CEO PSB)
Kyle Christie — VP Franchise Development, ProLift</t>
  </si>
  <si>
    <t>Route-based dispatch fit</t>
  </si>
  <si>
    <t>SOURCE: 2025 FDD — sharpsheets.io + franchisepayback.com
ITEM 19 — Unit Economics:
• Avg gross sales: $440,000/location (sharpsheets)
• 94 total franchised units as of 2024 (franchisepayback)
• Investment range: $113,600-$156,500
• Royalty: 7% + 2% marketing
• Garage door installation, repair, replacement — residential + commercial
• M-F 8-5 hours, no emergency calls (differentiator)
ITEM 11 — Technology:
PSB parent manages technology centrally
No specific FSM mandate found — GREENFIELD likely within PSB stack
Emergency dispatch not applicable (business hours only)
NOTE: Part of PSB portfolio. One PSB brand win = access to all 8 brands</t>
  </si>
  <si>
    <t>USE: ROI Calculator — INSTALL/REPAIR MODEL
PRE-POPULATE:
• Avg revenue/unit: $440K
• Avg job: $500-$2,500 (repair/install)
• 94 units
KEY ANGLES:
• Digital estimates + photo documentation
• Same-day payment
• Scheduling optimization (business hours only)
• PSB portfolio play — one win = eight brands
• Susquehanna PE exit math</t>
  </si>
  <si>
    <t>59
🟡 QUEUE</t>
  </si>
  <si>
    <t>Maid Right</t>
  </si>
  <si>
    <t>Housecall Pro / Jobber</t>
  </si>
  <si>
    <t>TBD — Maid Right brand president
← Approach via Paul Flick (CEO PSB)
Brad Knieriem — VP Franchise Development, Maid Right</t>
  </si>
  <si>
    <t>DSO + invoicing story</t>
  </si>
  <si>
    <t>SOURCE: sharpsheets.io + FDD Exchange 2025
ITEM 19 — Unit Economics:
• Residential + commercial cleaning franchise
• Part of PSB portfolio
• Investment range: est. $80K-$140K (PSB residential cleaning)
• Recurring subscription cleaning model
ITEM 11 — Technology:
PSB manages CRM centrally — check for FSM mandate
Cleaning = route-based, recurring appointments
VERIFY: MaidPro (Threshold) has proprietary FSM — does PSB Maid Right?
NOTE: Cleaning franchise. Route-based recurring = ServiceBridge fit</t>
  </si>
  <si>
    <t>VERIFY: PSB cleaning CRM — conflict risk?
KEY ANGLES:
• Route scheduling optimization
• 2-way SMS job confirmations = no-shows
• Recurring appointment management
• PSB portfolio play</t>
  </si>
  <si>
    <t>Window Gang</t>
  </si>
  <si>
    <t>TBD — Window Gang brand president
← Approach via Paul Flick (CEO PSB)
Brad Knieriem — VP Franchise Development, Window Gang</t>
  </si>
  <si>
    <t>Exterior window + gutter cleaning</t>
  </si>
  <si>
    <t>SOURCE: FDD Exchange + sharpsheets.io 2025
ITEM 19 — Unit Economics:
• Window + gutter cleaning franchise
• Part of PSB portfolio
• Recurring residential + commercial model
• Investment range: est. $75K-$130K
ITEM 11 — Technology:
PSB CRM-based — check for conflict
Route-based seasonal cleaning
NOTE: PSB portfolio brand. Greenfield likely within PSB tech stack</t>
  </si>
  <si>
    <t>KEY ANGLES:
• Route optimization = more stops per day
• 2-way SMS job confirmations
• PSB portfolio play</t>
  </si>
  <si>
    <t>Rubbish Works</t>
  </si>
  <si>
    <t>Junk removal — truck route model</t>
  </si>
  <si>
    <t>SOURCE: FDD Exchange + franzimp 2025
ITEM 19 — Unit Economics:
• Junk removal + dumpster services
• Part of PSB portfolio
• Dispatch model with large item removal
• Investment range: est. $80K-$150K
ITEM 11 — Technology:
PSB CRM-based — check for conflict
On-demand dispatch + scheduling
NOTE: PSB portfolio brand. ServiceBridge fit for job dispatch</t>
  </si>
  <si>
    <t>KEY ANGLES:
• On-demand dispatch optimization
• Job documentation for commercial accounts
• PSB portfolio play</t>
  </si>
  <si>
    <t>The Grout Medic</t>
  </si>
  <si>
    <t>Small crew specialty service</t>
  </si>
  <si>
    <t>SOURCE: FDD Exchange + franchise directories 2025
ITEM 19 — Unit Economics:
• Grout + tile restoration — similar model to Sir Grout
• Part of PSB portfolio
• Project-based model
• Investment range: est. $75K-$120K
ITEM 11 — Technology:
PSB CRM-based
Project-based model, estimate to invoice
NOTE: PSB portfolio brand. Greenfield likely</t>
  </si>
  <si>
    <t>KEY ANGLES:
• Digital estimate + photo capture
• PSB portfolio play</t>
  </si>
  <si>
    <t>House Doctors</t>
  </si>
  <si>
    <t>TBD — House Doctors brand president
← Approach via Paul Flick (CEO PSB)</t>
  </si>
  <si>
    <t>Handyman multi-trade service</t>
  </si>
  <si>
    <t>SOURCE: FDD Exchange + franchise directories 2025
ITEM 19 — Unit Economics:
• Handyman + home repair services
• Part of PSB portfolio
• Multi-service residential model
• Investment range: est. $75K-$120K
ITEM 11 — Technology:
PSB CRM-based
Multi-service scheduling = ServiceBridge fit
NOTE: PSB portfolio brand. ServiceBridge natural fit</t>
  </si>
  <si>
    <t>KEY ANGLES:
• Multi-service scheduling + dispatch
• 2-way SMS job confirmations
• PSB portfolio play</t>
  </si>
  <si>
    <t>Mosquito Shield</t>
  </si>
  <si>
    <t>VERIFY — FieldRoutes likely — multiple software approved per FDD; verify with Michael Moorhouse before outreach</t>
  </si>
  <si>
    <t>Michael Moorhouse</t>
  </si>
  <si>
    <t>Brand President, Mosquito Shield</t>
  </si>
  <si>
    <t>Michael Moorhouse
Brand President, Mosquito Shield &amp; Decorate With Lights
Nearly 2 decades at brand. Led franchise launch 2013.
Email: michael@moshield.com  |  LinkedIn: active
⚠️ Verify FieldRoutes conflict FIRST before outreach</t>
  </si>
  <si>
    <t>Brad Maher
Vice President, Mosquito Shield
Long-time team member, elevated at Five Star acquisition 2022</t>
  </si>
  <si>
    <t>No confirmed GPS Insight relationship
Verify telematics provider before outreach</t>
  </si>
  <si>
    <t>Brand president outreach</t>
  </si>
  <si>
    <t>BRAND WEDGE into Five Star. Michael Moorhouse is primary contact</t>
  </si>
  <si>
    <t>SOURCE: 2025 FDD (2024 data) — franchisechatter.com + franchisesidekick.com
ITEM 19 — Unit Economics:
• 81 franchise operators with 2+ seasons as of Dec 31, 2024
• 125 total franchised outlets in 441 territories
• 2024 avg revenue per customer: $715.26
• 2024 total customers: 35,902
• 2024 customer retention YOY: 85% (industry-leading)
• 2024 system-wide pre-pay $: $7.1M
• Investment range: $98,800-$139,000
• Royalty: 7% gross sales (min $283,500 gross by yr 5)
• #1 Pest Control Franchise Entrepreneur 2023, 2024, 2025
• Acquired by Five Star Franchising March 2022
ITEM 11 — Technology:
FIELDROUTES CONFLICT LIKELY: Multiple software platforms approved
FDD states approx 57% of customers had available data from approved software
Suggests FieldRoutes or similar is in use
Michael Moorhouse (Brand President) = KEY CONTACT to verify
TELEMATICS: Seasonal route model — GPS vehicle tracking likely in use
Check with Andrea: GPS Insight customer?</t>
  </si>
  <si>
    <t>VERIFY FIELDROUTES FIRST — with Michael Moorhouse or Brad Maher
IF NO CONFLICT:
USE: ROI Calculator — RECURRING ROUTE MODEL
PRE-POPULATE:
• Avg revenue/customer: $715
• 85% customer retention
• 441 territories, seasonal route model
KEY ANGLES:
• Route optimization = more stops per day per season
• 2-way SMS job confirmations = no-shows
• Pre-pay conversion automation
• $715 x 35,902 customers = $25.7M system revenue
• 5% margin lift across system = $1.3M EBITDA case
• Princeton PE exit — Five Star Year 5
IF FIELDROUTES CONFIRMED:
• GPS Insight telematics standalone only
• Fleet tracking + driver safety angle</t>
  </si>
  <si>
    <t>Bio-One</t>
  </si>
  <si>
    <t>Biohazard</t>
  </si>
  <si>
    <t>NONE — Greenfield confirmed — Five Star Franchising, no FSM mandate; biohazard cleanup insurance model</t>
  </si>
  <si>
    <t>TBD — Bio-One brand president
← Approach via Scott Abbott (CEO Five Star)</t>
  </si>
  <si>
    <t>Compliance + documentation critical fit</t>
  </si>
  <si>
    <t>SOURCE: 2025 FDD (2024 data) — franchisechatter.com + sharpsheets.io
ITEM 19 — Unit Economics:
• 113 franchisees reporting 12+ months revenue (2024)
• Avg gross revenue: $423,000/location (sharpsheets)
• Top performer disclosed: $762,596 (franchisesidekick)
• 146 franchised locations across 38 states
• Investment range: $116,000–$170,000
• Royalty: 7.5% gross sales or min $2,250/mo (year 3+)
• 90% of revenue paid by homeowners insurance
• Avg invoice: $2,000–$10,000+ (biohazard/crime scene)
ITEM 11 — Technology:
No FSM mandate found — GREENFIELD likely
Bio-One uses Five Star Franchising's ProNexis for lead gen/call center
FSM for job management appears to be franchisee choice
INSURANCE ANGLE: 🔴 HIGH — 90% insurance-paid = carrier documentation critical</t>
  </si>
  <si>
    <t>USE: ROI Calculator — INSURANCE/RESTORATION MODEL
PRE-POPULATE:
• Avg revenue/location: $423K
• Avg invoice: $5,000 (insurance-paid remediation)
• Insurance pays 90% — job documentation = more approvals
KEY ANGLES:
• Job photo documentation = insurance carrier compliance
• Same-day payment (insurance carrier ACH)
• ServiceBridge = carrier dispatch documentation
• $423K × 5% margin lift = $21K/location
• Princeton PE exit math — Five Star Year 5
⚠️ Verify FieldRoutes conflict — Five Star tech stack</t>
  </si>
  <si>
    <t>69
🟡 QUEUE</t>
  </si>
  <si>
    <t>Five Star Bath Solutions</t>
  </si>
  <si>
    <t>Bath Remodel</t>
  </si>
  <si>
    <t>VERIFY — Five Star uses ProNexis (24/7 call center + job mgmt) — confirm if FSM overlap before outreach</t>
  </si>
  <si>
    <t>TBD — brand president
← Approach via Scott Abbott (CEO Five Star)</t>
  </si>
  <si>
    <t>Project-based remodel</t>
  </si>
  <si>
    <t>SOURCE: 2025 FDD (2024 data) — franchisechatter.com + franchisereports.com
ITEM 19 — Unit Economics:
• 47 reporting franchisees (2024), up from 28 in 2023
• 37+ months open avg annual sales: data available (sub-gated)
• 12-24 months open avg revenue: $2,384,268 (2024 FDD)
• Avg annual sales overall: ~$1,250,564 (vettedbiz)
• Largest franchisee on pace for $12M gross sales
• 256 locations as of 2024 (franchisesidekick) — rapid growth
• Investment range: $126,000–$266,000
• Royalty: 6% (5% over $1M) + 2.5% national marketing
• Bath remodel — acrylic tub liners, walk-in showers, one-day install
• Ranked Entrepreneur Franchise 500 seven consecutive years
ITEM 11 — Technology:
Five Star uses ProNexis (24/7 call center + job management platform)
⚠️ VERIFY: ProNexis may include FSM — confirm scope before outreach
Training covers 'job management, software usage' per franchise reports
INSURANCE ANGLE: GreenSky financing — high-ticket bath remodel ($8K-$20K)</t>
  </si>
  <si>
    <t>USE: ROI Calculator — BATH REMODEL / HIGH TICKET PROJECT MODEL
PRE-POPULATE:
• Avg revenue/location: $1.25M (conservative) / $2.4M (12-24 mo)
• Avg job: $8,000-$20,000 (one-day bath remodel)
• High close ratio model (appointment → install same/next day)
KEY ANGLES:
• GreenSky financing = direct conversion lift on $8K-$20K jobs
• Digital estimate-to-install flow
• Job completion photo capture = warranty/quality documentation
• $1.25M × 5% lift = $62K/location
• 256 locations × $62K = $16M system case
• Princeton PE exit — Five Star Year 5
⚠️ Verify ProNexis FSM conflict scope first</t>
  </si>
  <si>
    <t>Gotcha Covered</t>
  </si>
  <si>
    <t>Window Treatments</t>
  </si>
  <si>
    <t>VERIFY — Proprietary software built 30 years ago for window treatment sales — confirm FSM scope with Annabelle Worth before outreach</t>
  </si>
  <si>
    <t>In-home design/sales — lighter FSM fit</t>
  </si>
  <si>
    <t>SOURCE: 2025 FDD (2024 data) — franchisechatter.com + sharpsheets.io
ITEM 19 — Unit Economics:
• 111 reporting franchisees, full year 2024
• Avg gross revenue: $593,000/location (sharpsheets)
• 154 total units as of 2024, 165 as of 2025 FDD
• Investment range: $103,000–$136,000
• Royalty: flat monthly fee escalating to $2,000/mo by month 37
• Marketing fee: escalating to $1,000/mo by month 24
• Custom window treatments — residential + commercial
• Home-based, no storefront required
ITEM 11 — Technology:
Gotcha Covered developed proprietary software 30 years ago for window
treatment sales process. Advanced tech tools mentioned (Item 11).
⚠️ VERIFY: May have proprietary FSM — confirm before outreach
NOTE: Five Star Franchising (Princeton PE Year 5 exit window)</t>
  </si>
  <si>
    <t>USE: ROI Calculator — PROJECT/DESIGN MODEL
PRE-POPULATE:
• Avg revenue/location: $593K
• Design + install model: avg project $2,000-$8,000
• High-ticket, low volume
KEY ANGLES:
• Digital estimate-to-invoice (design consultations)
• GreenSky financing for larger installs
• Job photo documentation
• $593K × 5% lift = $30K/location
• ⚠️ Verify proprietary software conflict first
• Princeton PE exit = timing window now</t>
  </si>
  <si>
    <t>1-800-Packouts</t>
  </si>
  <si>
    <t>VERIFY — Five Star uses ProNexis — confirm if job management scope overlaps with ServiceBridge before outreach</t>
  </si>
  <si>
    <t>Contents packout — documentation fit</t>
  </si>
  <si>
    <t>SOURCE: 2025 FDD (2024 data) — franchisechatter.com + franzy.com
ITEM 19 — Unit Economics:
• 16 franchisees reporting 12+ months data (2024)
• Avg revenue per franchisee: $1.98M (2024, franzy.com)
• Each franchisee operates avg 2.06 locations
• 45-48 total units as of 2024
• Investment range: $269,300–$514,000
• Royalty: 7% + 3% marketing (NROP fee: $500-$2,000/mo)
• Contents restoration — packing, cleaning, climate storage
• B2B model — insurance carriers, adjusters, restoration firms
• Brand President: Stefan Figley
ITEM 11 — Technology:
Five Star uses ProNexis — proprietary 24/7 sales/call center platform
⚠️ VERIFY: ProNexis may include job management — confirm FSM status
Dedicated national call center for real-time claim distribution
INSURANCE ANGLE: 🔴 HIGH — 90%+ insurance-paid contents restoration</t>
  </si>
  <si>
    <t>USE: ROI Calculator — CONTENTS RESTORATION/INSURANCE MODEL
PRE-POPULATE:
• Avg revenue/franchisee: $1.98M
• Avg job: $5,000-$50,000 (insurance contents restoration)
• Insurance-paid model — documentation critical
KEY ANGLES:
• Job photo documentation = insurance carrier compliance
• Inventory management integration
• Chain of custody documentation
• $1.98M × 5% lift = $99K/franchisee
• Princeton PE exit — Five Star Year 5
⚠️ Verify ProNexis FSM conflict first</t>
  </si>
  <si>
    <t>89
🔴 LEAD PILOT</t>
  </si>
  <si>
    <t>Window Hero</t>
  </si>
  <si>
    <t>NONE — Greenfield likely — HomeFront brand, no FSM mandate found; exterior cleaning route model</t>
  </si>
  <si>
    <t>Jobber / Paper</t>
  </si>
  <si>
    <t>Tyler Kirk</t>
  </si>
  <si>
    <t>Founder &amp; President, Window Hero</t>
  </si>
  <si>
    <t>Tyler Kirk
Founder &amp; CEO, Window Hero
← Jeff Dudan (HomeFront CEO) connection
Homecoming 4 vendor path via Zack Dudan (CGO)</t>
  </si>
  <si>
    <t>TBD — local ops contact</t>
  </si>
  <si>
    <t>Tyler Kirk direct — Jeff Dudan connection</t>
  </si>
  <si>
    <t>BRAND WEDGE. Tyler Kirk has direct relationship with Jeff Dudan</t>
  </si>
  <si>
    <t>SOURCE: HomeFront Brands + franchise directories 2025
ITEM 19 — Unit Economics:
• Window + exterior cleaning franchise
• Part of HomeFront Brands (Dudan Group)
• Tyler Kirk — Brand President
• Recurring residential + commercial model
ITEM 11 — Technology:
HomeFront Brands tech stack — verify FSM mandate
Route-based cleaning model
NOTE: HomeFront Brands. Jeff Dudan (CEO) + Zack Dudan (CGO) = contacts.
Homecoming 4 event Nov 2026 Orlando = vendor opportunity</t>
  </si>
  <si>
    <t>KEY ANGLES:
• Route optimization
• 2-way SMS job confirmations
• HomeFront mandate conversation via Jeff Dudan</t>
  </si>
  <si>
    <t>Top Rail Fence</t>
  </si>
  <si>
    <t>Fencing</t>
  </si>
  <si>
    <t>NONE — Greenfield likely — HomeFront brand, no FSM mandate; fence install project model</t>
  </si>
  <si>
    <t>Zack Dudan
Chief Growth Officer, HomeFront Brands
← Homecoming 4 FoY winner. Key vendor relationship contact.
Jeff Dudan = top-of-house. Zack Dudan = operational entry point.</t>
  </si>
  <si>
    <t>Project-based fencing — estimate to completion tracking</t>
  </si>
  <si>
    <t>SOURCE: HomeFront Brands + franchise directories 2025
ITEM 19 — Unit Economics:
• Fence installation franchise
• Part of HomeFront Brands
• Zack Dudan (CGO) = contact for this brand
• High avg ticket: $3K-$10K per project
ITEM 11 — Technology:
HomeFront Brands tech stack
Project-based install model
NOTE: HomeFront Brands.</t>
  </si>
  <si>
    <t>KEY ANGLES:
• Digital estimates + photo documentation
• GreenSky for fence projects
• HomeFront mandate via Jeff Dudan</t>
  </si>
  <si>
    <t>Temporary Wall Systems</t>
  </si>
  <si>
    <t>Construction</t>
  </si>
  <si>
    <t>Construction rental — specialized model</t>
  </si>
  <si>
    <t>SOURCE: HomeFront Brands + franchise directories 2025
ITEM 19 — Unit Economics:
• Temporary wall rental for construction/renovation
• Part of HomeFront Brands
• B2B model — construction contractors, renovation
ITEM 11 — Technology:
HomeFront Brands tech stack
Rental + logistics dispatch model
NOTE: HomeFront Brands.</t>
  </si>
  <si>
    <t>KEY ANGLES:
• B2B scheduling + logistics
• HomeFront mandate via Jeff Dudan</t>
  </si>
  <si>
    <t>56
🟡 QUEUE</t>
  </si>
  <si>
    <t>The Designery</t>
  </si>
  <si>
    <t>Kitchen/Bath</t>
  </si>
  <si>
    <t>Design-focused remodel — lighter FSM fit</t>
  </si>
  <si>
    <t>SOURCE: Franchise directories 2025
ITEM 19 — Unit Economics:
• Interior design franchise
• Project-based consultative model
ITEM 11 — Technology:
Unknown — verify FSM status
NOTE: Independent brand. Lower priority for ServiceBridge FSM.</t>
  </si>
  <si>
    <t>NOTE: Lower ServiceBridge fit — consultative/design model
GPS Insight telematics limited applicability</t>
  </si>
  <si>
    <t>Roof Scientist</t>
  </si>
  <si>
    <t>Newer brand — project roofing</t>
  </si>
  <si>
    <t>SOURCE: HomeFront Brands + franchise directories 2025
ITEM 19 — Unit Economics:
• Roofing services franchise
• Part of HomeFront Brands
• Insurance + cash pay model
ITEM 11 — Technology:
HomeFront Brands tech stack
Insurance roofing = documentation critical
NOTE: HomeFront Brands.</t>
  </si>
  <si>
    <t>KEY ANGLES:
• Insurance job documentation
• HomeFront mandate via Jeff Dudan</t>
  </si>
  <si>
    <t>That 1 Painter</t>
  </si>
  <si>
    <t>ResiBrands</t>
  </si>
  <si>
    <t>NONE — Greenfield likely — independent brand, no FSM mandate found; painting project model</t>
  </si>
  <si>
    <t>ResiConnect (scheduling only)</t>
  </si>
  <si>
    <t>Steven Montgomery
Founder &amp; CEO, ResiBrands / That 1 Painter
Founded 2011. Austin TX. Call scheduled Apr 15.
Allan Alarcon — Chief Growth Officer (cousin, minority stakeholder)</t>
  </si>
  <si>
    <t>Annabelle Worth
Brand Partnerships Manager, ResiBrands
(operations + franchisee support contact)</t>
  </si>
  <si>
    <t>No current GPS Insight relationship
Direct path via Steven Montgomery — no intro needed</t>
  </si>
  <si>
    <t>Fastest-growing painting franchise. 800+ territories</t>
  </si>
  <si>
    <t>SOURCE: Franchise directories 2025
ITEM 19 — Unit Economics:
• Residential + commercial painting
• Independent brand — not confirmed PE-backed
• Project-based model
ITEM 11 — Technology:
Unknown — verify FSM status before outreach
NOTE: Smaller independent painting brand. Lower priority vs PSB/360 Painting</t>
  </si>
  <si>
    <t>KEY ANGLES:
• Digital estimates + photo documentation
• GreenSky for larger painting projects</t>
  </si>
  <si>
    <t>GarageUp</t>
  </si>
  <si>
    <t>Garage Services</t>
  </si>
  <si>
    <t>NONE — Greenfield likely — independent brand, no FSM mandate; garage organization project</t>
  </si>
  <si>
    <t>Steven Montgomery
Founder &amp; CEO, ResiBrands (decides all brands)
Allan Alarcon — CGO. Garage Up launched 2021 alongside That 1 Painter.</t>
  </si>
  <si>
    <t>TBD — local franchisee ops contact
Garage Up = emergency dispatch + scheduled maintenance mix</t>
  </si>
  <si>
    <t>No current GPS Insight relationship
Steven Montgomery decides — one conversation covers all ResiBrands</t>
  </si>
  <si>
    <t>Garage optimization — route + project mix</t>
  </si>
  <si>
    <t>SOURCE: Franchise directories 2025
ITEM 19 — Unit Economics:
• Garage organization + storage
• Independent brand
• Project-based model
ITEM 11 — Technology:
Unknown — verify FSM status
NOTE: Independent brand.</t>
  </si>
  <si>
    <t>KEY ANGLES:
• Digital estimates
• GreenSky for garage projects</t>
  </si>
  <si>
    <t>64
🟡 QUEUE</t>
  </si>
  <si>
    <t>Pink's Window Services</t>
  </si>
  <si>
    <t>Steven Montgomery
Founder &amp; CEO, ResiBrands (decides all brands)
Pink's = exterior window cleaning, acquired by ResiBrands</t>
  </si>
  <si>
    <t>No current GPS Insight relationship</t>
  </si>
  <si>
    <t>Scheduling already centralized at ResiBrands</t>
  </si>
  <si>
    <t>SOURCE: Franchise directories 2025
ITEM 19 — Unit Economics:
• Window + exterior cleaning
• Independent brand
• Recurring residential + commercial
ITEM 11 — Technology:
Unknown — verify FSM status
NOTE: Independent brand. Lower priority.</t>
  </si>
  <si>
    <t>KEY ANGLES:
• Route optimization
• 2-way SMS</t>
  </si>
  <si>
    <t>Action Exteriors</t>
  </si>
  <si>
    <t>Exteriors</t>
  </si>
  <si>
    <t>Steven Montgomery
Founder &amp; CEO, ResiBrands
Formerly Action Roofing — family business, 3 generations. Launched franchise 2025.</t>
  </si>
  <si>
    <t>Smola Family — founding operators</t>
  </si>
  <si>
    <t>Newer brand — exterior services</t>
  </si>
  <si>
    <t>SOURCE: Franchise directories 2025
ITEM 19 — Unit Economics:
• Exterior services (siding, windows, roofing)
• Independent brand
• High ticket project-based
ITEM 11 — Technology:
Unknown — verify FSM status
NOTE: Independent brand.</t>
  </si>
  <si>
    <t>KEY ANGLES:
• GreenSky for exterior projects
• Digital estimates</t>
  </si>
  <si>
    <t>Monty's Handyman</t>
  </si>
  <si>
    <t>Newest ResiBrands launch 2025</t>
  </si>
  <si>
    <t>SOURCE: Franchise directories 2025
ITEM 19 — Unit Economics:
• Handyman services
• Independent brand
• Multi-service dispatch model
ITEM 11 — Technology:
Unknown — verify FSM status
NOTE: Independent brand. Lower priority.</t>
  </si>
  <si>
    <t>KEY ANGLES:
• Multi-service scheduling
• 2-way SMS</t>
  </si>
  <si>
    <t xml:space="preserve">  CRM  ·  ENGAGEMENT LOG  ·  Every Touchpoint  ·  Every Response  ·  ServiceBridge GTM</t>
  </si>
  <si>
    <t xml:space="preserve">  Velocity GTM Co LLC  ·  One row per interaction  ·  Log calls, emails, LinkedIn, meetings  ·  Verbatim feedback captured per contact</t>
  </si>
  <si>
    <t xml:space="preserve">  Track 1 = Franchisor accounts (green rows)    Track 2 = Franchisee accounts (blue rows)</t>
  </si>
  <si>
    <t xml:space="preserve">  GPS Insight ▸ items (blue) require Charles, Garrett, Andrea, or Angie involvement  ·  New event types added: Conference/Industry Event · Franchisor Annual Convention · Trade Show · Event Follow-Up · Referral from Event</t>
  </si>
  <si>
    <t>LOG #</t>
  </si>
  <si>
    <t>TRACK</t>
  </si>
  <si>
    <t>ACCOUNT / BRAND</t>
  </si>
  <si>
    <t>CONTACT NAME</t>
  </si>
  <si>
    <t>OUTCOME</t>
  </si>
  <si>
    <t>THEIR FEEDBACK
(Verbatim)</t>
  </si>
  <si>
    <t>OBJECTIONS
RAISED</t>
  </si>
  <si>
    <t>GPS INSIGHT
ACTION NEEDED</t>
  </si>
  <si>
    <t>YOUR
NEXT STEP</t>
  </si>
  <si>
    <t>INTERNAL NOTES</t>
  </si>
  <si>
    <t>2026-04-07</t>
  </si>
  <si>
    <t>Rusty Amarante, CR</t>
  </si>
  <si>
    <t>President, BELFOR FG</t>
  </si>
  <si>
    <t>LinkedIn</t>
  </si>
  <si>
    <t>First Touch</t>
  </si>
  <si>
    <t>No Response</t>
  </si>
  <si>
    <t>📞 On me — asking Charles. GPS Insight to surface the American Securities connection through AKKR.</t>
  </si>
  <si>
    <t>Follow up LinkedIn Day 5 — send connection + note referencing HOODZ Triangle award winner (local NC connection)</t>
  </si>
  <si>
    <t>2026-04-14</t>
  </si>
  <si>
    <t>Contacted</t>
  </si>
  <si>
    <t>Connection request sent. Personalized msg referencing 14-brand network + Dec 2024 territory growth.</t>
  </si>
  <si>
    <t>Charles Layne</t>
  </si>
  <si>
    <t>CEO, GPS Insight</t>
  </si>
  <si>
    <t>Phone Call</t>
  </si>
  <si>
    <t>Discovery Call</t>
  </si>
  <si>
    <t>Call Complete</t>
  </si>
  <si>
    <t>Charles confirmed he'll reach out to Accel-KKR deal team re: KKR/Neighborly intro this week.</t>
  </si>
  <si>
    <t>GPS: Charles initiating Accel-KKR → KKR → Felix Gernburd intro</t>
  </si>
  <si>
    <t>Follow up Charles today (Apr 14) on KKR intro status</t>
  </si>
  <si>
    <t>Pending GPS Action</t>
  </si>
  <si>
    <t>Critical call. Charles confirmed. KKR intro is the #1 GPS action Week 1.</t>
  </si>
  <si>
    <t>2026-04-08</t>
  </si>
  <si>
    <t>Scott Zide</t>
  </si>
  <si>
    <t>CEO, Empower Brands</t>
  </si>
  <si>
    <t>Follow-up email with Empower ROI model attached</t>
  </si>
  <si>
    <t>2026-04-13</t>
  </si>
  <si>
    <t>Connection request sent. EBITDA before exit window — MidOcean narrative.</t>
  </si>
  <si>
    <t>2026-04-09</t>
  </si>
  <si>
    <t>Track 2</t>
  </si>
  <si>
    <t>(TBD)</t>
  </si>
  <si>
    <t>Brand President, RooterMan</t>
  </si>
  <si>
    <t>Research brand president name first</t>
  </si>
  <si>
    <t>2026-04-11</t>
  </si>
  <si>
    <t>Researching</t>
  </si>
  <si>
    <t>find RooterMan brand president name before outreach. Check PSB website.</t>
  </si>
  <si>
    <t>Steven Montgomery</t>
  </si>
  <si>
    <t>Founder &amp; CEO, ResiBrands</t>
  </si>
  <si>
    <t>Replied – Positive</t>
  </si>
  <si>
    <t>Steven replied within 2 hours. Said he is interested in seeing the ops stack comparison. Asked to set up a call.</t>
  </si>
  <si>
    <t>Prep ResiBrands Insight Engine ROI model. Load: 2,550 techs, $200/job, 5 jobs/day. Run conservative + base scenarios only.</t>
  </si>
  <si>
    <t>2026-04-15</t>
  </si>
  <si>
    <t>Call Scheduled — 🔥 HOT</t>
  </si>
  <si>
    <t>🔥 HOT LEAD. Fastest response. Founder-backed — decision comes fast. Prep ResiBrands ROI model before call.</t>
  </si>
  <si>
    <t>Follow-Up Touch</t>
  </si>
  <si>
    <t>Pending</t>
  </si>
  <si>
    <t>📞 On me — Charles to surface American Securities / Accel-KKR path</t>
  </si>
  <si>
    <t>Send follow-up note referencing HOODZ Triangle Franchise of Year + 30 new territories Dec 2024</t>
  </si>
  <si>
    <t>Queued</t>
  </si>
  <si>
    <t>Use local NC angle: HOODZ of the Triangle just won BELFOR FoY. Personal connection point.</t>
  </si>
  <si>
    <t>Text/Call</t>
  </si>
  <si>
    <t>GPS Action Follow-Up</t>
  </si>
  <si>
    <t>GPS: Charles → Accel-KKR → KKR → Felix Gernburd. TODAY is follow-up day.</t>
  </si>
  <si>
    <t>Confirm KKR intro status from Charles. This is #1 GPS action.</t>
  </si>
  <si>
    <t>GPS Action Due</t>
  </si>
  <si>
    <t>Charles confirmed Apr 7. Two-week follow window. Do not let this slip.</t>
  </si>
  <si>
    <t>Phone/Video</t>
  </si>
  <si>
    <t>Scheduled</t>
  </si>
  <si>
    <t>Replied positive Apr 9. Wants ops stack comparison.</t>
  </si>
  <si>
    <t>Prep Insight Engine: 2,550 techs, $200/job. Run conservative + base. Print 3-Way Scenario.</t>
  </si>
  <si>
    <t>Call Scheduled — 🔥</t>
  </si>
  <si>
    <t>First Tier 1 call. Founder-backed — decision comes fast. Lead with $1.67/tech/day message. Have Insight Engine open.</t>
  </si>
  <si>
    <t>Follow-Up Email</t>
  </si>
  <si>
    <t>Send follow-up email. Attach Insight Engine 3-Way Scenario pre-populated for 9 non-JAN-PRO brands. MidOcean exit window angle.</t>
  </si>
  <si>
    <t>Connection sent Apr 8. No response. Follow up via email referencing Ignite conference 'Accelerate Growth' theme.</t>
  </si>
  <si>
    <t>2026-04-16</t>
  </si>
  <si>
    <t>Jeff Dudan</t>
  </si>
  <si>
    <t>Chairman &amp; CEO, HomeFront Brands</t>
  </si>
  <si>
    <t>Connection request + note referencing Forbes contributor work + Homecoming 4 vendor opportunity</t>
  </si>
  <si>
    <t>Podcaster/Forbes angle — lead with content, not pitch. Reference Homecoming 4 vendor path. Window Hero brand wedge.</t>
  </si>
  <si>
    <t>2026-04-17</t>
  </si>
  <si>
    <t>Scott Abbott</t>
  </si>
  <si>
    <t>CEO &amp; Co-Founder</t>
  </si>
  <si>
    <t>Connection + note referencing HSS 2026 'Home Services Summit' + Princeton Equity Year 5 framing</t>
  </si>
  <si>
    <t>Lead with HSS energy + Mosquito Shield as brand wedge. Princeton Equity Year 5 = exit window. CFO Steve White is the numbers conversation.</t>
  </si>
  <si>
    <t>2026-04-18</t>
  </si>
  <si>
    <t>Andrea Hohermuth</t>
  </si>
  <si>
    <t>COO, Threshold Brands</t>
  </si>
  <si>
    <t>GPS: Riverside PE → Charles Layne intro path</t>
  </si>
  <si>
    <t>Verify Hagan Kappler CEO status first. If confirmed: approach CEO. If not: COO Andrea Hohermuth is primary.</t>
  </si>
  <si>
    <t>⚠️ Verify Hagan Kappler still CEO before outreach. Use unfulfilled tech promise angle. ServiceBridge = what Threshold promised franchisees.</t>
  </si>
  <si>
    <t>2026-04-19</t>
  </si>
  <si>
    <t>Local franchisee (TBD)</t>
  </si>
  <si>
    <t>Warm Outreach</t>
  </si>
  <si>
    <t>📋 Getting GPS Insight telematics customer list from Andrea — cross-reference BELFOR first</t>
  </si>
  <si>
    <t>Identify 2-3 GPS Insight telematics customers within BELFOR network. These are warmest Track 2 calls.</t>
  </si>
  <si>
    <t>Waiting on Andrea</t>
  </si>
  <si>
    <t>GPS warm flag confirmed for BELFOR network. Andrea's telematics list unlocks the warm Track 2 path.</t>
  </si>
  <si>
    <t>2026-04-21</t>
  </si>
  <si>
    <t>Tij Bedi</t>
  </si>
  <si>
    <t>CTO, Authority Brands</t>
  </si>
  <si>
    <t>GPS: Apax Partners → Charles Layne for PE intro before direct outreach</t>
  </si>
  <si>
    <t>Research Tij Bedi LinkedIn profile. Connect referencing 9 non-ST brands + tech infrastructure build mandate.</t>
  </si>
  <si>
    <t>Joined Aug 2024. Building tech infrastructure from scratch for 9 greenfield brands. CTO = tech champion, not gatekeeper. Direct outreach appropriate.</t>
  </si>
  <si>
    <t>Brand Discussion</t>
  </si>
  <si>
    <t>If ResiBrands call goes well Apr 15 — expand to That 1 Painter specifically. 800+ territories.</t>
  </si>
  <si>
    <t>Post-Call Action</t>
  </si>
  <si>
    <t>800+ territories. ResiConnect handles scheduling. ServiceBridge handles field. Position as complement.</t>
  </si>
  <si>
    <t>2026-04-22</t>
  </si>
  <si>
    <t>Paul Flick</t>
  </si>
  <si>
    <t>Founder &amp; CEO, PSB</t>
  </si>
  <si>
    <t>Connection + note referencing RooterMan 300-location plumbing network as entry point</t>
  </si>
  <si>
    <t>RooterMan = 300 locations = largest PSB brand by location count. PSB is greenfield across all 8 brands.</t>
  </si>
  <si>
    <t>2026-04-25</t>
  </si>
  <si>
    <t>Sheldon Yellen</t>
  </si>
  <si>
    <t>CEO, BELFOR Holdings</t>
  </si>
  <si>
    <t>PE Path</t>
  </si>
  <si>
    <t>PE Intro Research</t>
  </si>
  <si>
    <t>GPS: American Securities → Charles Layne → PE warm intro. Do NOT approach Sheldon direct.</t>
  </si>
  <si>
    <t>Charles to map American Securities connection. Sheldon approached only via PE intro, not cold.</t>
  </si>
  <si>
    <t>Waiting on GPS</t>
  </si>
  <si>
    <t>Sheldon Yellen is the top-of-house decision maker. American Securities backed. Charles Layne must own this intro path.</t>
  </si>
  <si>
    <t>2026-04-28</t>
  </si>
  <si>
    <t>Track 2 Warm Outreach</t>
  </si>
  <si>
    <t>📋 Cross-reference GPS Insight telematics list — DUCTZ route model = strong dispatch fit</t>
  </si>
  <si>
    <t>Target GPS Insight telematics customers in DUCTZ network. Route-based duct cleaning = repeatable dispatch pattern.</t>
  </si>
  <si>
    <t>DUCTZ is recurring route model — annual duct cleanings. Strong ServiceBridge fit. GPS warm flag may unlock direct intro.</t>
  </si>
  <si>
    <t>Brand Wedge Touch</t>
  </si>
  <si>
    <t>Connect referencing Ignite conference + JAN-PRO's 30+ year ServiceMaster background. Discuss Aspire conflict carefully.</t>
  </si>
  <si>
    <t>⚠️ JAN-PRO has proprietary FSM. Gary Bauer comes from ServiceMaster — knows Aspire. Approach as conversation, not pitch. Focus on gap between what JAN-PRO has vs ServiceBridge capability.</t>
  </si>
  <si>
    <t>2026-05-01</t>
  </si>
  <si>
    <t>Zack Dudan</t>
  </si>
  <si>
    <t>CGO, HomeFront Brands</t>
  </si>
  <si>
    <t>Event</t>
  </si>
  <si>
    <t>Homecoming 4 Vendor Research</t>
  </si>
  <si>
    <t>Research HomeFront Homecoming 4 vendor registration process. Target Nov 2026 Orlando.</t>
  </si>
  <si>
    <t>Research</t>
  </si>
  <si>
    <t>Top Rail Fence was Homecoming 3 Franchisee of the Year. Zack Dudan (CGO) runs vendor relationships. Homecoming 4 = still time to get in as vendor.</t>
  </si>
  <si>
    <t>Internal</t>
  </si>
  <si>
    <t>GPS Insight / ServiceBridge</t>
  </si>
  <si>
    <t>Andrea Rowan</t>
  </si>
  <si>
    <t>GM, ServiceBridge</t>
  </si>
  <si>
    <t>Reference Validation</t>
  </si>
  <si>
    <t>Action Required</t>
  </si>
  <si>
    <t>📋 On me — GPS Insight to review ALL current ServiceBridge testimonials and case studies.
SB ADVANTAGE DOC ALREADY CONTAINS:
1. Robertson Pools (Dallas-Fort Worth TX) — Kelli Griffin, Service Manager
   Results: 64% revenue growth · 2pt net profit increase · Week 1 platform ROI
2. Critter Control (National Franchise Network) — Joe Felegi, President
   Results: Headcount-neutral growth · Improved lead-to-sale ratio · Eliminated daily office visits
3. Master Mastic (Regional Operator) — Brian Stilwell, Owner
   Results: 2x sales growth · Reduced admin overhead · Eliminated QB double-entry
ACTION: Andrea to confirm:
  a) Are these three clients still active and referenceable?
  b) Can their names/results be used in franchise prospect meetings?
  c) Are there any additional ServiceBridge clients (especially restoration, plumbing, pest control) that could serve as references for BELFOR/PSB/Empower outreach?
  d) Does GPS Insight have any existing BELFOR network telematics customers who could serve as a warm pilot candidate?</t>
  </si>
  <si>
    <t>Once references confirmed — populate Trade Reference tab in Insight_Engine_Excel_v3.xlsx with real client data to validate Insight Engine benchmarks before Rusty Amarante meeting.</t>
  </si>
  <si>
    <t>Robertson Pools: 64% revenue growth. Critter Control: headcount-neutral growth. Master Mastic: 2x sales. All three in SB Advantage doc already. These are the pilot reference conversation starters. Validate referenceable status before using in any prospect conversation.</t>
  </si>
  <si>
    <t>LinkedIn / Internal</t>
  </si>
  <si>
    <t>Product Update</t>
  </si>
  <si>
    <t>Received</t>
  </si>
  <si>
    <t>Charles shared Spring Release: 3 new features — Smart Scheduler (AI dispatch), Job Confirmations (2-way SMS), GreenSky® Consumer Financing.</t>
  </si>
  <si>
    <t>📋 GPS ACTION — three things:
1. Brief Mike on how Smart Scheduler works in franchise context
2. Confirm GreenSky® eligibility for franchise mandate pricing
3. Confirm third-party telematics API status (Samsara/VC/Geotab) — does ServiceBridge accept third-party telematics data via API?</t>
  </si>
  <si>
    <t>Incorporate Spring Release features into Insight Engine pitch and Engagement Ideas scripting. Smart Scheduler is the biggest GTM story — AI-driven dispatch is exactly what the 'orchestration' positioning needs.</t>
  </si>
  <si>
    <t>Spring Into Smarter Service 🌸 release. Charles shared via LinkedIn Apr 11. Three features: Smart Scheduler (AI), Job Confirmations (2-way SMS), GreenSky® financing. All relevant to franchise pitch.</t>
  </si>
  <si>
    <t>Product Verification</t>
  </si>
  <si>
    <t>📋 GPS ACTION — Critical product question before scripting:
Does ServiceBridge support third-party telematics providers via API?
Confirmed native integrations: GPS Insight + ClearPathGPS ONLY.
Specific question: Can ServiceBridge ingest location/vehicle data from:
• Samsara (Neighborly Smart Fleet network uses Samsara-adjacent tech)
• Verizon Connect
• Geotab
• Motive
Answer materially changes pitch for any account NOT on GPS Insight telematics.
Two-pitch framework until answered:
PITCH A (GPS Insight customers): Full Ownership + Orchestration story
PITCH B (Other telematics): ServiceBridge FSM standalone → GPS Insight at telematics renewal</t>
  </si>
  <si>
    <t>Confirm with Andrea/product team before scripting any account on Samsara/VC/Geotab.</t>
  </si>
  <si>
    <t>This answer changes the pitch for Authority Brands, Five Star, HomeFront, and any other account with existing non-GPS Insight telematics.</t>
  </si>
  <si>
    <t xml:space="preserve">  ACCOUNT FEEDBACK CARDS  ·  Pipeline Status by Account  ·  Updated Weekly</t>
  </si>
  <si>
    <t xml:space="preserve">  Velocity GTM Co LLC  ·  One row per account  ·  Status, touch count, verbatim feedback, objections, temperature  ·  Friday report to GPS Insight</t>
  </si>
  <si>
    <t># TOUCHES</t>
  </si>
  <si>
    <t>LAST CONTACT</t>
  </si>
  <si>
    <t>LAST OUTCOME</t>
  </si>
  <si>
    <t>KEY FEEDBACK
(Their Words)</t>
  </si>
  <si>
    <t>OBJECTIONS RAISED</t>
  </si>
  <si>
    <t>TEMPERATURE</t>
  </si>
  <si>
    <t>NEXT MILESTONE</t>
  </si>
  <si>
    <t>LinkedIn — no response yet</t>
  </si>
  <si>
    <t>No response to LinkedIn yet</t>
  </si>
  <si>
    <t>🌡 Warming</t>
  </si>
  <si>
    <t>GPS PE intro via American Securities → Charles Layne. Meanwhile: HOODZ Triangle FoY local angle. Insight Engine pre-loaded: $4,500/job, 40% carrier-referred, $4.3M system EBITDA case.</t>
  </si>
  <si>
    <t>Not contacted yet</t>
  </si>
  <si>
    <t>⚠️ Must verify Hagan Kappler CEO status before outreach</t>
  </si>
  <si>
    <t>❄ Cold</t>
  </si>
  <si>
    <t>Unfulfilled tech promise = ServiceBridge delivers what they promised. Andrea Hohermuth (COO) is backup primary if Kappler unconfirmed. Riverside PE intro path via Charles.</t>
  </si>
  <si>
    <t>LinkedIn — no response</t>
  </si>
  <si>
    <t>⚠️ JAN-PRO proprietary FSM conflict. Lead with 9 greenfield brands only.</t>
  </si>
  <si>
    <t>Follow-up email Apr 15 with Insight Engine 3-Way Scenario for 9 non-JAN-PRO brands. MidOcean exit window angle for Scott Zide. Gary Bauer (JAN-PRO) is separate conversation.</t>
  </si>
  <si>
    <t>RooterMan brand president name TBD — research needed</t>
  </si>
  <si>
    <t>RooterMan = 300 locations = best entry point. Paul Flick is founder — accessible. Full greenfield across all 8 PSB brands.</t>
  </si>
  <si>
    <t>Call Scheduled</t>
  </si>
  <si>
    <t>LinkedIn — Replied Positive within 2 hours</t>
  </si>
  <si>
    <t>Steven replied: interested in ops stack comparison. Call Apr 15.</t>
  </si>
  <si>
    <t>None raised</t>
  </si>
  <si>
    <t>🔥 Hot</t>
  </si>
  <si>
    <t>BEST LEAD IN PIPELINE. Founder-backed = fast decision. Prep Insight Engine conservative scenario: $1.67/tech/day message. Target: close pilot agreement on first or second call.</t>
  </si>
  <si>
    <t>Check FieldRoutes conflict on Mosquito Shield before outreach</t>
  </si>
  <si>
    <t>Princeton Equity Year 5 = exit window opening. Scott Abbott (CEO) + Steve White (CFO) dual-track. Mosquito Shield brand wedge — verify FieldRoutes first.</t>
  </si>
  <si>
    <t>⚠️ Franchisee satisfaction issues flagged Dec 2025. Verify system health first.</t>
  </si>
  <si>
    <t>Jeff Dudan is podcaster + Forbes contributor — use content angle first. Homecoming 4 vendor path = highest leverage. Window Hero (Tyler Kirk) is brand-level wedge.</t>
  </si>
  <si>
    <t>9 non-ST brands = greenfield. Tij Bedi (CTO) is primary contact.</t>
  </si>
  <si>
    <t>ST mandated for 3 brands only. 9 brands fully greenfield. Tij Bedi hired Aug 2024 to build tech infrastructure — ServiceBridge is exactly what he needs. GPS Apax Partners intro path via Charles.</t>
  </si>
  <si>
    <t>GPS Action Pending</t>
  </si>
  <si>
    <t>Charles Layne confirmed KKR intro path</t>
  </si>
  <si>
    <t>Charles confirmed Accel-KKR → KKR → Felix Gernburd intro</t>
  </si>
  <si>
    <t>ST mandate locked</t>
  </si>
  <si>
    <t>DO NOT approach direct. PE intro only. Charles follow-up today (Apr 14) on KKR intro status. ST renewal window 2025-2027 is the leverage point.</t>
  </si>
  <si>
    <t>BELFOR (franchise network)</t>
  </si>
  <si>
    <t>Waiting on Andrea telematics list</t>
  </si>
  <si>
    <t>Need GPS Insight telematics customer list from Andrea</t>
  </si>
  <si>
    <t>Full greenfield across all 14 brands. GPS Insight warm flag confirmed. Andrea's telematics list = warmest Track 2 calls. 1-800 WD Insight Engine pre-loaded with FDD data.</t>
  </si>
  <si>
    <t>That 1 Painter (ResiBrands)</t>
  </si>
  <si>
    <t>Waiting on ResiBrands call (Apr 15)</t>
  </si>
  <si>
    <t>Steven Montgomery is the decision-maker for all ResiBrands</t>
  </si>
  <si>
    <t>800+ territories. ResiConnect = scheduling only. ServiceBridge = field ops layer. Position as complement not replacement. Follow ResiBrands call Apr 15 with specific That 1 Painter pilot proposal.</t>
  </si>
  <si>
    <t>JAN-PRO (Empower)</t>
  </si>
  <si>
    <t>⚠️ $60/month proprietary tech fee in FDD. Conflict flag.</t>
  </si>
  <si>
    <t>Proprietary FSM conflict</t>
  </si>
  <si>
    <t>Approach via Scott Zide (CEO) level only. Gary Bauer (30yr ServiceMaster background) is brand president. Model the $8.1M/yr system cost elimination if ServiceBridge replaces proprietary platform.</t>
  </si>
  <si>
    <t>RooterMan (PSB)</t>
  </si>
  <si>
    <t>Brand president name TBD</t>
  </si>
  <si>
    <t>Must find brand president name before outreach</t>
  </si>
  <si>
    <t>300 locations. Plumbing dispatch. Entry point for full PSB conversation with Paul Flick. Full greenfield — no FSM mandate.</t>
  </si>
  <si>
    <t>Mosquito Shield (Five Star)</t>
  </si>
  <si>
    <t>⚠️ FieldRoutes (ServiceTitan subsidiary) may be in use — verify first</t>
  </si>
  <si>
    <t>FieldRoutes possible conflict</t>
  </si>
  <si>
    <t>Michael Moorhouse is Brand President. Route/recurring model — strong dispatch fit IF FieldRoutes not mandated. Verify via Five Star FDD before outreach.</t>
  </si>
  <si>
    <t>Window Hero (HomeFront)</t>
  </si>
  <si>
    <t>HomeFront Homecoming 4 is the vendor entry path — Nov 2026</t>
  </si>
  <si>
    <t>Tyler Kirk is founder. Jeff Dudan connection. Homecoming 4 vendor registration = right path. Small exterior cleaning crew — simple FSM pitch.</t>
  </si>
  <si>
    <t>MaidPro (Threshold)</t>
  </si>
  <si>
    <t>MaidPro had proprietary scheduling software pre-Threshold acquisition</t>
  </si>
  <si>
    <t>Proprietary system possible</t>
  </si>
  <si>
    <t>Largest Threshold brand by location. Proprietary system status post-acquisition unclear. Threshold unfulfilled tech promise = ServiceBridge opportunity.</t>
  </si>
  <si>
    <t>USA Insulation (Threshold)</t>
  </si>
  <si>
    <t>Insulation install = project-based. Estimate → schedule → install → invoice flow. Strong FSM fit for job documentation.</t>
  </si>
  <si>
    <t>Mosquito Joe (Neighborly)</t>
  </si>
  <si>
    <t>⚠️ Neighborly brand — ST or FieldRoutes mandate. Check before outreach.</t>
  </si>
  <si>
    <t>ST/FieldRoutes mandate likely</t>
  </si>
  <si>
    <t>Smart Fleet USA confirmed telematics. Route recurring model. Do not approach until Neighborly PE intro confirmed.</t>
  </si>
  <si>
    <t>Mr. Rooter (Neighborly)</t>
  </si>
  <si>
    <t>ServiceTitan required per FDD. GPS Insight telematics angle only.</t>
  </si>
  <si>
    <t>ST mandated since 2012</t>
  </si>
  <si>
    <t>188 reporting franchisees (2025 FDD). Smart Fleet USA telematics. No FSM displacement angle. GPS Insight only if confirmed customer.</t>
  </si>
  <si>
    <t>Benjamin Franklin Plumbing (Authority)</t>
  </si>
  <si>
    <t>ServiceTitan mandate announced Sep 2024. High conflict risk.</t>
  </si>
  <si>
    <t>ST mandated Sep 2024</t>
  </si>
  <si>
    <t>ST mandated — do not pitch ServiceBridge as FSM. GPS Insight telematics only if Andrea confirms as customer.</t>
  </si>
  <si>
    <t>GarageUp (ResiBrands)</t>
  </si>
  <si>
    <t>ResiConnect handles scheduling only — field ops greenfield</t>
  </si>
  <si>
    <t>Route + project mix. Strong dispatch fit — garage door service = emergency + scheduled. Part of ResiBrands — Steven Montgomery decides.</t>
  </si>
  <si>
    <t>Bumble Roofing (Empower)</t>
  </si>
  <si>
    <t>Part of Empower — approach via Scott Zide mandate first</t>
  </si>
  <si>
    <t>Project roofing — estimate to invoice workflow. Greenfield. No FSM named in FDD. Fastest growing Empower brand 2025.</t>
  </si>
  <si>
    <t>360 Painting (PSB)</t>
  </si>
  <si>
    <t>Part of PSB — approach via Paul Flick mandate first</t>
  </si>
  <si>
    <t>Large painting network. Project-based — quote, schedule, crews, invoice. Greenfield — no FSM mandate.</t>
  </si>
  <si>
    <t>Canopy Lawn Care (Empower)</t>
  </si>
  <si>
    <t>⚠️ Lawn care = FieldRoutes (ST subsidiary) possible. Verify FDD first.</t>
  </si>
  <si>
    <t>Route-intensive recurring lawn model. FieldRoutes is dominant in this trade. Verify before any outreach.</t>
  </si>
  <si>
    <t>Top Rail Fence (HomeFront)</t>
  </si>
  <si>
    <t>Homecoming 3 Franchisee of the Year 2025 — warm brand reputation</t>
  </si>
  <si>
    <t>Project fencing. Homecoming 4 vendor path = right entry. FoY winner builds credibility for vendor conversation.</t>
  </si>
  <si>
    <t>GPS Insight — Testimonial Review</t>
  </si>
  <si>
    <t>Action assigned</t>
  </si>
  <si>
    <t>SB Advantage already contains 3 references: Robertson Pools (64% rev growth), Critter Control (national franchise — headcount-neutral), Master Mastic (2x sales). Confirm referenceable status.</t>
  </si>
  <si>
    <t>None — internal action</t>
  </si>
  <si>
    <t>🌡 Action Due</t>
  </si>
  <si>
    <t>Andrea to confirm: (1) all 3 references still active + referenceable, (2) any additional restoration/plumbing/pest clients for franchise outreach, (3) BELFOR telematics customers for pilot candidate identification. Populate Trade Reference tab in Insight Engine once confirmed.</t>
  </si>
  <si>
    <t xml:space="preserve">  SERVICEBRIDGE GTM ENGAGEMENT TRACKER  ·  Field Guide &amp; Reference</t>
  </si>
  <si>
    <t xml:space="preserve">  Prepared by Velocity GTM Co LLC  ·  Michael Montgomery Flynt Jr  ·  In Partnership with GPS Insight / ServiceBridge  ·  April 2026</t>
  </si>
  <si>
    <t>WHAT THIS FILE IS</t>
  </si>
  <si>
    <t>This is your complete GTM command center for the ServiceBridge franchise engagement. It replaces a CRM for this engagement. Every franchisor, every franchisee brand, every call, email, and meeting lives here. Keep it open. Update it in real time. On Friday, the Account Feedback Cards tab is your weekly status report to Andrea.</t>
  </si>
  <si>
    <t xml:space="preserve">  THE 4 TABS  ·  What Each One Does</t>
  </si>
  <si>
    <t>Tab 1  ·  Top 9 Franchisors</t>
  </si>
  <si>
    <t>Your Track 1 enterprise pipeline. One row per franchisor account. Shows CEO, CFO, COO, and BD lead for each account. Use this to track which franchisors are in active conversation, what your next step is, and whether you need GPS Insight involvement. GPS Insight items are highlighted in blue.</t>
  </si>
  <si>
    <t>Tab 2  ·  85 Franchisees</t>
  </si>
  <si>
    <t>Your Track 2 greenfield volume pipeline. All 85 brands sorted by parent franchisor so you can see each group together. Each brand shows FSM status, GPS warm flag, pilot potential score, contact, and outreach status. Start with HIGH pilot potential and YES GPS warm accounts first.</t>
  </si>
  <si>
    <t>Tab 3  ·  CRM · Engagement Log</t>
  </si>
  <si>
    <t>One row per touchpoint. Every call, email, LinkedIn message, and meeting gets its own row. Log what you did, what channel, what they said verbatim, any objections, and your next step. This is the source of truth for your engagement history. Add a row every time you make contact.</t>
  </si>
  <si>
    <t>Tab 4  ·  Account Feedback Cards</t>
  </si>
  <si>
    <t>One row per account — your quick-read summary view. Shows current status, touch count, last contact date, their feedback in their words, objections raised, and temperature score. Update this after every meaningful interaction. On Friday, this tab IS your weekly status report.</t>
  </si>
  <si>
    <t xml:space="preserve">  YOUR WEEKLY RHYTHM  ·  How To Use This Every Day</t>
  </si>
  <si>
    <t>MONDAY</t>
  </si>
  <si>
    <t>Review weekly plan. Open Tab 1 and Tab 2. Check what outreach is due this week. Send all new first-touch messages. Prioritize warm GPS Insight accounts and any accounts that replied last week.</t>
  </si>
  <si>
    <t>TUESDAY</t>
  </si>
  <si>
    <t>Discovery calls and follow-up conversations. After every call — open Tab 3 and log the interaction. Name, outcome, and what they said verbatim. Then update Tab 4 for that account.</t>
  </si>
  <si>
    <t>WEDNESDAY</t>
  </si>
  <si>
    <t>Proposal work. Build or update custom ROI models for accounts in active conversation. Update next step and next date in Tab 1 or Tab 2 for any account you worked on.</t>
  </si>
  <si>
    <t>THURSDAY</t>
  </si>
  <si>
    <t>Follow-ups. Reply to anyone who hasn't responded in 5+ days. Referral asks from warm accounts. Check Tab 4 — any account with 0 touches this week needs a touch before Friday.</t>
  </si>
  <si>
    <t>FRIDAY</t>
  </si>
  <si>
    <t>Status report day. Update Tab 4 for every account you touched this week — status, touch count, feedback, temperature. Screenshot Tab 4 and send to Andrea as your weekly update. Plan next week's outreach.</t>
  </si>
  <si>
    <t xml:space="preserve">  COLOR KEY  ·  What The Colors Mean</t>
  </si>
  <si>
    <t>Green row background</t>
  </si>
  <si>
    <t>Track 1 Franchisor account or Tier 1 priority</t>
  </si>
  <si>
    <t>Light grey background</t>
  </si>
  <si>
    <t>Track 2 Franchisee or Tier 2 account</t>
  </si>
  <si>
    <t>Light blue background</t>
  </si>
  <si>
    <t>GPS Insight action required — involves Charles, Garrett, Andrea, or Angie</t>
  </si>
  <si>
    <t>Navy header / badge</t>
  </si>
  <si>
    <t>Tier 1 franchisor (BELFOR, Threshold, Empower) — move now</t>
  </si>
  <si>
    <t>Blue badge</t>
  </si>
  <si>
    <t>Tier 2 franchisor (PSB, ResiBrands, Five Star, HomeFront) — active pipeline</t>
  </si>
  <si>
    <t>Grey badge</t>
  </si>
  <si>
    <t>Tier 3 franchisor (Authority, Neighborly) — relationship build</t>
  </si>
  <si>
    <t>Green outcome background</t>
  </si>
  <si>
    <t>Positive outcome — reply, call scheduled, call complete, pilot agreed</t>
  </si>
  <si>
    <t>Yellow outcome background</t>
  </si>
  <si>
    <t>Neutral outcome — no response, opened, replied neutral</t>
  </si>
  <si>
    <t>Red outcome background</t>
  </si>
  <si>
    <t>Negative outcome — not a fit, replied negative, stalled</t>
  </si>
  <si>
    <t>Yellow status background</t>
  </si>
  <si>
    <t>Outreach status dropdowns — needs updating</t>
  </si>
  <si>
    <t xml:space="preserve">  DROPDOWN REFERENCE  ·  What Each Option Means</t>
  </si>
  <si>
    <t xml:space="preserve">  OUTREACH STATUS  —  Use this to track where each account is in your pipeline. Update every time something changes.</t>
  </si>
  <si>
    <t>You haven't reached out yet</t>
  </si>
  <si>
    <t>You're gathering contact info / doing pre-outreach research</t>
  </si>
  <si>
    <t>You've sent at least one message — no reply yet</t>
  </si>
  <si>
    <t>Replied</t>
  </si>
  <si>
    <t>They responded — positive, neutral, or negative</t>
  </si>
  <si>
    <t>A call is booked on the calendar</t>
  </si>
  <si>
    <t>Discovery Done</t>
  </si>
  <si>
    <t>You've had a discovery call — mandate confirmed or denied</t>
  </si>
  <si>
    <t>Proposal Sent</t>
  </si>
  <si>
    <t>You've sent a formal proposal or ROI model</t>
  </si>
  <si>
    <t>Negotiating</t>
  </si>
  <si>
    <t>Active back-and-forth on terms or next steps</t>
  </si>
  <si>
    <t>Pilot Closed</t>
  </si>
  <si>
    <t>Pilot agreement signed</t>
  </si>
  <si>
    <t>Stalled</t>
  </si>
  <si>
    <t>Was moving, now not responding — needs a new angle</t>
  </si>
  <si>
    <t>Not a Fit</t>
  </si>
  <si>
    <t>Wrong timing, wrong account, or confirmed no path forward</t>
  </si>
  <si>
    <t xml:space="preserve">  OUTCOME (CRM Log)  —  Use this in the Engagement Log every time you record an interaction.</t>
  </si>
  <si>
    <t>Sent — no reply after 48+ hours</t>
  </si>
  <si>
    <t>Opened</t>
  </si>
  <si>
    <t>Email opened but no reply (if tracking)</t>
  </si>
  <si>
    <t>They responded with interest or agreed to a next step</t>
  </si>
  <si>
    <t>Replied – Neutral</t>
  </si>
  <si>
    <t>They responded but non-committal</t>
  </si>
  <si>
    <t>Replied – Negative</t>
  </si>
  <si>
    <t>They said no or not interested</t>
  </si>
  <si>
    <t>They agreed to a call — date set</t>
  </si>
  <si>
    <t>Call happened — log what was said in Feedback column</t>
  </si>
  <si>
    <t>Meeting Complete</t>
  </si>
  <si>
    <t>In-person or video meeting completed</t>
  </si>
  <si>
    <t>Proposal Requested</t>
  </si>
  <si>
    <t>They asked you to send a proposal or ROI model</t>
  </si>
  <si>
    <t>Pilot Agreed</t>
  </si>
  <si>
    <t>They agreed to a pilot — get it in writing</t>
  </si>
  <si>
    <t>Was moving, went quiet</t>
  </si>
  <si>
    <t>Confirmed not the right fit or timing</t>
  </si>
  <si>
    <t xml:space="preserve">  TEMPERATURE (Feedback Cards)  —  Score how hot each account is running. Update weekly.</t>
  </si>
  <si>
    <t>Active conversation, positive signals, moving toward a decision</t>
  </si>
  <si>
    <t>🌡 Warm</t>
  </si>
  <si>
    <t>Engaged, interested, but no concrete next step yet</t>
  </si>
  <si>
    <t>No response or very early stage — not yet warm</t>
  </si>
  <si>
    <t>⛔ Dead</t>
  </si>
  <si>
    <t>Confirmed not a fit or permanently unresponsive — archive</t>
  </si>
  <si>
    <t xml:space="preserve">  PILOT POTENTIAL  —  Score each franchisee account by how likely they are to close a pilot.</t>
  </si>
  <si>
    <t>HIGH</t>
  </si>
  <si>
    <t>Greenfield FSM, GPS warm account, or brand wedge already identified</t>
  </si>
  <si>
    <t>Greenfield but no warm path yet, or partial FSM situation</t>
  </si>
  <si>
    <t>ServiceTitan incumbent, or low FSM fit trade type</t>
  </si>
  <si>
    <t xml:space="preserve">  RULES OF THE ROAD  ·  Keep This Accurate and It Pays You Back</t>
  </si>
  <si>
    <t xml:space="preserve">  1.  Log every touch</t>
  </si>
  <si>
    <t>Every LinkedIn message, email, call, and meeting gets a row in Tab 3. If it isn't logged, it didn't happen. This protects you in your weekly report to Andrea and builds a record you can reference when accounts re-engage months later.</t>
  </si>
  <si>
    <t xml:space="preserve">  2.  Log their words verbatim</t>
  </si>
  <si>
    <t>In the Feedback column, paste exactly what they said — not your interpretation. 'We're looking at FSM in Q3' is more useful than 'They're interested.' Exact words protect you and make your next outreach sharper.</t>
  </si>
  <si>
    <t xml:space="preserve">  3.  Update Feedback Cards every Friday</t>
  </si>
  <si>
    <t>Tab 4 is what Andrea sees. If the status in Tab 4 doesn't reflect this week's activity, your report is wrong. Friday morning: open Tab 4, update every account you touched, screenshot, send.</t>
  </si>
  <si>
    <t xml:space="preserve">  4.  GPS Insight items move first</t>
  </si>
  <si>
    <t>Any row highlighted in blue (GPS Insight action needed) must be flagged to Charles, Garrett, or Andrea before you move forward. These are not optional — warm intros from GPS Insight compress your sales cycle from 6 months to 6 weeks.</t>
  </si>
  <si>
    <t xml:space="preserve">  5.  Warm before cold — every week</t>
  </si>
  <si>
    <t>GPS Insight telematics clients, PE warm intros, and any account that replied last week always move before cold accounts. Prioritize Tab 2 accounts with YES in the GPS Warm column first.</t>
  </si>
  <si>
    <t xml:space="preserve">  6.  One status per account</t>
  </si>
  <si>
    <t>Only update Tab 1 or Tab 2 status when something actually changes. If you contacted someone and got no response, it's 'Contacted' — not 'Replied.' Accurate status is more valuable than optimistic status.</t>
  </si>
  <si>
    <t xml:space="preserve">  7.  Neighborly is GPS-only</t>
  </si>
  <si>
    <t>Do not log any Neighborly outreach in Tab 3 until Charles Layne confirms the KKR intro is in motion. Approaching Neighborly cold is the wrong move. This one lives in the GPS Insight column only until the PE path is confirmed.</t>
  </si>
  <si>
    <t xml:space="preserve">  8.  Two pilots closed by Day 90</t>
  </si>
  <si>
    <t>That is your goal. Work backward from it every week: which accounts are closest to a pilot decision? Those get your time first. Everything else is pipeline building for Month 4+.</t>
  </si>
  <si>
    <t xml:space="preserve">  FDD RESEARCH REFERENCE  ·  Free Sources for Franchise Disclosure Documents</t>
  </si>
  <si>
    <t>Wisconsin DFI (BEST — easiest to use)</t>
  </si>
  <si>
    <t>https://apps.dfi.wi.gov/apps/FranchiseSearch/MainSearch.aspx</t>
  </si>
  <si>
    <t>Search by legal name. Free PDF download. All BELFOR, Empower, Authority, Neighborly brands registered here.</t>
  </si>
  <si>
    <t>California DFPI DocQNet</t>
  </si>
  <si>
    <t>https://docqnet.dfpi.ca.gov</t>
  </si>
  <si>
    <t>Select 'Uniform Franchise Registration' in Application Type. Full FDD + exhibits downloadable.</t>
  </si>
  <si>
    <t>Indiana Secretary of State</t>
  </si>
  <si>
    <t>https://securities.sos.in.gov/public-portfolio-search/</t>
  </si>
  <si>
    <t>Select 'Franchise' under Registration Type. Clean interface.</t>
  </si>
  <si>
    <t>Minnesota Commerce</t>
  </si>
  <si>
    <t>https://cards.web.commerce.state.mn.us/franchise-registrations</t>
  </si>
  <si>
    <t>Select 'Franchise Registrations' under Area of Interest. Must include year.</t>
  </si>
  <si>
    <t>Franchise Chatter (FDD Analysis)</t>
  </si>
  <si>
    <t>https://www.franchisechatter.com</t>
  </si>
  <si>
    <t>Best free Item 19 analysis. Search '[brand name] FDD'. Paid tier for full breakdown.</t>
  </si>
  <si>
    <t>FDD Exchange</t>
  </si>
  <si>
    <t>https://fddexchange.com</t>
  </si>
  <si>
    <t>Summaries of Items 1-23. Some free, some paid. Good for Item 8/11 vendor requirements.</t>
  </si>
  <si>
    <t>SharpSheets</t>
  </si>
  <si>
    <t>https://sharpsheets.io</t>
  </si>
  <si>
    <t>Good free Item 19 summaries and unit economics estimates.</t>
  </si>
  <si>
    <t xml:space="preserve">  📊 INSIGHT ENGINE  ·  How to Use the ROI Calculator in Outreach</t>
  </si>
  <si>
    <t>FILE</t>
  </si>
  <si>
    <t>Insight_Engine_Excel_v3.xlsx</t>
  </si>
  <si>
    <t>Always use the current version. Do not modify source formulas.</t>
  </si>
  <si>
    <t>TAB 1 — ROI Calculator</t>
  </si>
  <si>
    <t>Pre-populate Sections A, B, C with account-specific data before every meeting</t>
  </si>
  <si>
    <t>Section A: Business profile (techs, jobs/day, revenue/job). Section B: FSM uplift. Section C: Telematics uplift. Section D + E auto-calculate.</t>
  </si>
  <si>
    <t>TAB 2 — Fuel Intelligence</t>
  </si>
  <si>
    <t>Use for urgent opener — diesel at $5.375/gal (EIA Mar 2026)</t>
  </si>
  <si>
    <t>Lead with fuel cost slide when contact is ops-focused. PE contacts skip to Tab 6.</t>
  </si>
  <si>
    <t>TAB 3 — Sources &amp; Methodology</t>
  </si>
  <si>
    <t>Leave visible — builds credibility that numbers are sourced</t>
  </si>
  <si>
    <t>Every benchmark cited: Aberdeen Group, BLS, GPS Insight internal, ServiceBridge data.</t>
  </si>
  <si>
    <t>TAB 4 — Competitive Matrix</t>
  </si>
  <si>
    <t>Use with Tij Bedi (Authority CTO) and any tech-savvy contact</t>
  </si>
  <si>
    <t>Only tool speaking to PE / CFO audience. Shows ServiceTitan and Jobber gap explicitly.</t>
  </si>
  <si>
    <t>TAB 5 — Trade Reference</t>
  </si>
  <si>
    <t>Populate with real ServiceBridge client data before Tier 1 meetings</t>
  </si>
  <si>
    <t>2-3 validated references make the model credible. Validate with Andrea before BELFOR outreach.</t>
  </si>
  <si>
    <t>TAB 6 — 3-Way Scenario</t>
  </si>
  <si>
    <t>PE / CFO / COO conversations ONLY</t>
  </si>
  <si>
    <t>Conservative / Base / Stretch + EBITDA × exit multiple. This is the boardroom document. Print and bring to Rusty Amarante.</t>
  </si>
  <si>
    <t>HOW TO USE IN OUTREACH</t>
  </si>
  <si>
    <t>Step 1: Pre-populate with FDD data + account intel from Track 1 col V</t>
  </si>
  <si>
    <t>Step 2: Run 3-Way Scenario for PE-backed accounts. Step 3: Send as leave-behind after first meeting. Step 4: Validate against real client data before second meeting.</t>
  </si>
  <si>
    <t>BELFOR SPECIFIC</t>
  </si>
  <si>
    <t>Use FDD Item 19 data: $480K avg revenue, $4,500/job, 40% carrier-referred</t>
  </si>
  <si>
    <t>Top 25% = $1.65M. Use stretch scenario = $1.65M × 5-pt margin = $82.5K EBITDA/location × 178 locations = $14.7M system EBITDA. At 8x = $117M enterprise value uplift.</t>
  </si>
  <si>
    <t xml:space="preserve">  📅 EVENT INTELLIGENCE  ·  Industry Events + Franchisor Annual Conventions  ·  ServiceBridge GTM Engagement</t>
  </si>
  <si>
    <t xml:space="preserve">  Velocity GTM Co LLC  ·  Michael Montgomery Flynt Jr  ·  V2 ranking aligned · Updated April 29, 2026</t>
  </si>
  <si>
    <t xml:space="preserve">  TABLE 1  ·  INDUSTRY EVENTS</t>
  </si>
  <si>
    <t>EVENT NAME</t>
  </si>
  <si>
    <t>KEY CONTACT ATTENDING</t>
  </si>
  <si>
    <t>THEIR ROLE</t>
  </si>
  <si>
    <t>TOPIC / NOTES</t>
  </si>
  <si>
    <t>YOUR OPPORTUNITY</t>
  </si>
  <si>
    <t>NOTES / INTEL</t>
  </si>
  <si>
    <t>IFA Annual Convention 2026</t>
  </si>
  <si>
    <t>IFA Convention</t>
  </si>
  <si>
    <t>Feb 22–25, 2026</t>
  </si>
  <si>
    <t>Las Vegas, NV</t>
  </si>
  <si>
    <t>✅ Occurred</t>
  </si>
  <si>
    <t>Codie Sanchez (ResiBrands)</t>
  </si>
  <si>
    <t>Main Stage Speaker</t>
  </si>
  <si>
    <t>Theme: 'Evolve'. 500+ brands, 300 exhibitors. Daymond John keynote.</t>
  </si>
  <si>
    <t>Use IFA appearance as icebreaker in Steven Montgomery outreach</t>
  </si>
  <si>
    <t>Codie Sanchez on main stage — warm reference point for ResiBrands outreach</t>
  </si>
  <si>
    <t>Multi-Unit Franchising Conference (MUFC) 2026</t>
  </si>
  <si>
    <t>Multi-Unit Franchisee</t>
  </si>
  <si>
    <t>Mar 24–27, 2026</t>
  </si>
  <si>
    <t>Caesars Forum, Las Vegas</t>
  </si>
  <si>
    <t>Multi-unit franchisee operators</t>
  </si>
  <si>
    <t>Attendees</t>
  </si>
  <si>
    <t>Largest multi-unit franchisee event. Track 2 audience.</t>
  </si>
  <si>
    <t>Attend 2027 — meet franchisee operators directly</t>
  </si>
  <si>
    <t>Built by/for multi-unit franchisees. Good Track 2 warm-up</t>
  </si>
  <si>
    <t>IFA Advocacy Summit 2026</t>
  </si>
  <si>
    <t>IFA Summit</t>
  </si>
  <si>
    <t>Sep 14–16, 2026</t>
  </si>
  <si>
    <t>Washington, DC</t>
  </si>
  <si>
    <t>🟢 Upcoming</t>
  </si>
  <si>
    <t>Franchisor leadership (various)</t>
  </si>
  <si>
    <t>Attendees/Speakers</t>
  </si>
  <si>
    <t>Policy-focused. Lighter on operators, heavier on franchisor C-suite.</t>
  </si>
  <si>
    <t>Relationship building — consider attending</t>
  </si>
  <si>
    <t>Brad Stevenson (Neighborly CDO) on IFA board — warm reference</t>
  </si>
  <si>
    <t>Franchise Leadership &amp; Development Conference (FLDC) 2026</t>
  </si>
  <si>
    <t>Franchisor Leadership</t>
  </si>
  <si>
    <t>Oct 6–8, 2026</t>
  </si>
  <si>
    <t>Atlanta, GA</t>
  </si>
  <si>
    <t>🟢 UPCOMING — REGISTER</t>
  </si>
  <si>
    <t>Franchisor CEOs, Presidents, COOs, CDOs</t>
  </si>
  <si>
    <t>BEST industry event for your exact target audience — franchisor C-suite only. STAR Awards program.</t>
  </si>
  <si>
    <t>🔴 ATTEND — highest-leverage industry event of 2026</t>
  </si>
  <si>
    <t>This is the room you want to be in. All Top 9 contacts are likely attendees. Register now.</t>
  </si>
  <si>
    <t>IFA Franchise Show 2026</t>
  </si>
  <si>
    <t>Trade Show</t>
  </si>
  <si>
    <t>Sep 25–26, 2026</t>
  </si>
  <si>
    <t>Fort Lauderdale, FL</t>
  </si>
  <si>
    <t>(Broad franchise audience)</t>
  </si>
  <si>
    <t>Various</t>
  </si>
  <si>
    <t>Large franchise expo — more prospect-facing than C-suite.</t>
  </si>
  <si>
    <t>Lower priority — skip or exhibit if budget allows</t>
  </si>
  <si>
    <t>Broad audience. Less useful for your specific targets.</t>
  </si>
  <si>
    <t>Emerging Franchisor Conference 2026</t>
  </si>
  <si>
    <t>Emerging Brands</t>
  </si>
  <si>
    <t>Sep 23–25, 2026</t>
  </si>
  <si>
    <t>Fort Worth, TX</t>
  </si>
  <si>
    <t>Emerging platform CEOs (ResiBrands, HomeFront, Five Star tier)</t>
  </si>
  <si>
    <t>Good for Tier 2 accounts — emerging platform CEOs attend.</t>
  </si>
  <si>
    <t>Consider attending for ResiBrands/HomeFront/Five Star</t>
  </si>
  <si>
    <t>Steven Montgomery (ResiBrands) likely attends emerging brand events</t>
  </si>
  <si>
    <t xml:space="preserve">  TABLE 2  ·  FRANCHISOR ANNUAL CONVENTIONS</t>
  </si>
  <si>
    <t>TYPICAL MONTH</t>
  </si>
  <si>
    <t>MOST RECENT DATE</t>
  </si>
  <si>
    <t>ATTENDANCE</t>
  </si>
  <si>
    <t>VENDORS INVITED?</t>
  </si>
  <si>
    <t>YOUR PLAY</t>
  </si>
  <si>
    <t>NEXT EXPECTED</t>
  </si>
  <si>
    <t>NOTES / STATUS</t>
  </si>
  <si>
    <t>Annual Conference (unnamed)</t>
  </si>
  <si>
    <t>March</t>
  </si>
  <si>
    <t>March 2026 (just held)</t>
  </si>
  <si>
    <t>Multi-brand, per-brand awards</t>
  </si>
  <si>
    <t>Rusty Amarante, Doug Smith</t>
  </si>
  <si>
    <t>⚠️ Just missed — use HOODZ Triangle + Z Plumberz award winners as warm icebreakers NOW</t>
  </si>
  <si>
    <t>~March 2027</t>
  </si>
  <si>
    <t>Franchise of the Year awards announced March 2026. HOODZ of the Triangle (NC) + Z Plumberz Livingston won. Local connection.</t>
  </si>
  <si>
    <t>Annual Convention (unnamed)</t>
  </si>
  <si>
    <t>Hagan Kappler (verify), Andrea Hohermuth</t>
  </si>
  <si>
    <t>🔍 Research needed — confirmed exists per LinkedIn</t>
  </si>
  <si>
    <t>LinkedIn reference confirms annual convention exists. Date/location not public. Research needed.</t>
  </si>
  <si>
    <t>Ignite (rebranded 2026)</t>
  </si>
  <si>
    <t>February</t>
  </si>
  <si>
    <t>Feb 10–12, 2026 (just held)</t>
  </si>
  <si>
    <t>1,100+ attendees · 85 vendor partners</t>
  </si>
  <si>
    <t>✅ YES — 85 vendors confirmed</t>
  </si>
  <si>
    <t>Scott Zide (CEO), Michael Borreca (CFO)</t>
  </si>
  <si>
    <t>⚠️ Just missed — build vendor relationship for Ignite 2027</t>
  </si>
  <si>
    <t>~Feb 2027 (Orlando likely)</t>
  </si>
  <si>
    <t>2026 theme: 'Accelerate Growth'. Chris McChesney keynoted. Vendor path fully confirmed — 85 partners attended.</t>
  </si>
  <si>
    <t>Annual Convention (TBD name)</t>
  </si>
  <si>
    <t>Paul Flick, Roxanne Conrad</t>
  </si>
  <si>
    <t>🔍 Research needed</t>
  </si>
  <si>
    <t>PSB holds annual events but name/date not publicly confirmed. Research via FDD.</t>
  </si>
  <si>
    <t>No confirmed annual event</t>
  </si>
  <si>
    <t>N/A</t>
  </si>
  <si>
    <t>Steven Montgomery (directly accessible)</t>
  </si>
  <si>
    <t>Reach Steven directly — no convention needed</t>
  </si>
  <si>
    <t>Lean founder operation. IFA 2026 was Codie Sanchez's main appearance. Steven Montgomery is directly accessible.</t>
  </si>
  <si>
    <t>Home Services Summit (HSS)</t>
  </si>
  <si>
    <t>January</t>
  </si>
  <si>
    <t>Jan 14–17, 2026 (just held)</t>
  </si>
  <si>
    <t>Caesars Palace, Las Vegas</t>
  </si>
  <si>
    <t>~1,000 attendees · vendor partners</t>
  </si>
  <si>
    <t>✅ YES — vendor partners attend</t>
  </si>
  <si>
    <t>Scott Abbott (CEO), Chad Jones (COO), Michael Moorhouse (Mosquito Shield)</t>
  </si>
  <si>
    <t>⚠️ Just missed — target HSS 2027 as vendor/exhibitor</t>
  </si>
  <si>
    <t>~Jan 2027 (Las Vegas likely)</t>
  </si>
  <si>
    <t>76 locations got Million Dollar Club recognition. Ian Stein Jr. keynoted. Fastest growing brand: Five Star Bath Solutions.</t>
  </si>
  <si>
    <t>Homecoming (Homecoming 4 next)</t>
  </si>
  <si>
    <t>November</t>
  </si>
  <si>
    <t>Nov 1–4, 2025 (Homecoming 3)</t>
  </si>
  <si>
    <t>Hundreds of owners + vendor partners</t>
  </si>
  <si>
    <t>Jeff Dudan (hosts personally), Michael O'Driscoll</t>
  </si>
  <si>
    <t>🟢 STILL TIME — Homecoming 4 ~Nov 2026. Jeff Dudan hosts personally. Contact now to get in.</t>
  </si>
  <si>
    <t>~Nov 2026 (Orlando likely)</t>
  </si>
  <si>
    <t>⚠️ Note: Franchisee satisfaction issues flagged behind scenes per Unhappy Franchisee Dec 2025 post. Verify health of system before committing vendor $$.</t>
  </si>
  <si>
    <t>Jay Bhatt (CEO), Tij Bedi (CTO — primary)</t>
  </si>
  <si>
    <t>🔍 Research needed — at $2B+ revenue almost certain to hold annual event</t>
  </si>
  <si>
    <t>Tij Bedi (CTO joined Aug 2024) is building tech infrastructure for 9 non-ST brands. He is your primary contact, not the convention.</t>
  </si>
  <si>
    <t>Neighborly Reunion</t>
  </si>
  <si>
    <t>October</t>
  </si>
  <si>
    <t>Oct 2025 — Gaylord Opryland Nashville</t>
  </si>
  <si>
    <t>Nashville, TN (Gaylord Opryland)</t>
  </si>
  <si>
    <t>Large — all 16 brands + vendor partners</t>
  </si>
  <si>
    <t>Mike Davis (CEO), Brad Stevenson (CDO — now on IFA board)</t>
  </si>
  <si>
    <t>⚠️ DO NOT attend without PE intro confirmed first. KKR → Charles → Felix Gernburd path only.</t>
  </si>
  <si>
    <t>~Oct 2026 (Nashville likely)</t>
  </si>
  <si>
    <t>Brad Stevenson elected to IFA board at IFA 2026 — use as warm reference. PE intro via Charles is pre-condition for any Neighborly engagement.</t>
  </si>
  <si>
    <t xml:space="preserve">  💡 ENGAGEMENT IDEAS  ·  Franchisor + Franchisee Outreach Strategies  ·  ServiceBridge GTM Engagement</t>
  </si>
  <si>
    <t xml:space="preserve">  Velocity GTM Co LLC  ·  Use these ideas when scripting outreach, prepping meetings, or planning next touches</t>
  </si>
  <si>
    <t xml:space="preserve">  TABLE 1  ·  FRANCHISOR ENGAGEMENT IDEAS  (Track 1)</t>
  </si>
  <si>
    <t>ENTRY ANGLE</t>
  </si>
  <si>
    <t>OPENING LINE / HOOK</t>
  </si>
  <si>
    <t>CHANNEL SEQUENCE</t>
  </si>
  <si>
    <t>INSIGHT ENGINE USE</t>
  </si>
  <si>
    <t>GPS INSIGHT ACTION</t>
  </si>
  <si>
    <t>OBJECTION TO PREP</t>
  </si>
  <si>
    <t>Insurance carrier relationship reframe — not FSM pitch</t>
  </si>
  <si>
    <t>"Every 1-800 WD job that isn't documented costs you a carrier referral. We fix that at the point of service."</t>
  </si>
  <si>
    <t>1. Charles → American Securities PE intro
2. LinkedIn to Rusty (parallel)
3. HOODZ Triangle local angle
4. Email with Insight Engine 3-Way Scenario</t>
  </si>
  <si>
    <t>3-Way Scenario: $4,500/job × 178 locations. BELFOR-specific: carrier doc quality = more referrals. Top-25% = $1.65M stretch.</t>
  </si>
  <si>
    <t>📞 On me — Charles to surface American Securities / Accel-KKR path to Sheldon Yellen</t>
  </si>
  <si>
    <t>"We already have BELFOR Property Restoration systems" → Counter: franchise network has no mandate, 30 new territories need onboarding</t>
  </si>
  <si>
    <t>Week 1–2</t>
  </si>
  <si>
    <t>🔥 Warmest Tier 1. GPS warm flag. HOODZ Triangle local NC connection for Rusty.</t>
  </si>
  <si>
    <t>Unfulfilled tech promise to franchisees</t>
  </si>
  <si>
    <t>"Your franchisees were promised a tech platform. We're the ones who can actually deliver it."</t>
  </si>
  <si>
    <t>1. Verify Hagan Kappler CEO status
2. LinkedIn to CEO (if confirmed) or COO Andrea Hohermuth
3. Riverside PE intro via Charles</t>
  </si>
  <si>
    <t>Conservative scenario: 6,250 techs. Frame as fixing a credibility problem with franchisees.</t>
  </si>
  <si>
    <t>GPS: Riverside PE → Charles Layne intro</t>
  </si>
  <si>
    <t>"We're evaluating options" → Counter: franchisees have been waiting — timing is now</t>
  </si>
  <si>
    <t>⚠️ Verify Kappler status before ANY outreach. Conflicting intel.</t>
  </si>
  <si>
    <t>9 greenfield brands + MidOcean exit window</t>
  </si>
  <si>
    <t>"You have 9 brands with no FSM mandate and a PE exit window opening. That math works in both our favors."</t>
  </si>
  <si>
    <t>1. LinkedIn to Scott Zide (sent Apr 8 — follow up)
2. Email with 3-Way Scenario (9 non-JAN-PRO brands)
3. Gary Bauer brand wedge on JAN-PRO separately
4. MidOcean PE intro via Charles</t>
  </si>
  <si>
    <t>3-Way Scenario for 9 greenfield brands only. Exclude JAN-PRO from model. EBITDA × exit multiple for Scott Zide.</t>
  </si>
  <si>
    <t>GPS: MidOcean Partners → Charles Layne for PE intro</t>
  </si>
  <si>
    <t>"JAN-PRO already has software" → Counter: we're not pitching JAN-PRO, we're pitching the other 9</t>
  </si>
  <si>
    <t>Gary Bauer (JAN-PRO) is a separate, careful conversation. 30yr ServiceMaster background.</t>
  </si>
  <si>
    <t>Founder-accessible, fastest path to close</t>
  </si>
  <si>
    <t>"$1.67 per tech per day to go fully paperless. For 2,550 techs, that's your whole operation digitized."</t>
  </si>
  <si>
    <t>1. Call scheduled Apr 15 (Steven replied positive)
2. Send Insight Engine conservative scenario before call
3. Pilot proposal on first or second call</t>
  </si>
  <si>
    <t>Conservative scenario ONLY. 2,550 techs × $1.67/day. Simple math. No PE exit framing needed — Steven is founder, not PE.</t>
  </si>
  <si>
    <t>None needed — direct founder relationship</t>
  </si>
  <si>
    <t>"Too much change at once" → Counter: ResiConnect handles scheduling, we only add field ops layer</t>
  </si>
  <si>
    <t>🔥 This week</t>
  </si>
  <si>
    <t>HOTTEST LEAD IN PIPELINE. Founder-backed = fast decision. No committee. IFA 2026 main stage speaker.</t>
  </si>
  <si>
    <t>Princeton Equity Year 5 + Mosquito Shield brand wedge</t>
  </si>
  <si>
    <t>"Princeton Equity is in Year 5. Before exit, your EBITDA story needs to include operational leverage. ServiceBridge is that leverage."</t>
  </si>
  <si>
    <t>1. LinkedIn to Scott Abbott
2. Brand wedge via Michael Moorhouse (Mosquito Shield president)
3. CFO Steve White on numbers
4. Verify FieldRoutes on Mosquito Shield first</t>
  </si>
  <si>
    <t>3-Way Scenario: Princeton exit math. 2,350 techs. CFO conversation focus.</t>
  </si>
  <si>
    <t>None — Five Star is direct path</t>
  </si>
  <si>
    <t>"Mosquito Shield is on another platform" → Verify FieldRoutes first. If conflict: use other 4 Five Star brands.</t>
  </si>
  <si>
    <t>HSS 2026 just ended — 'we just came back energized from HSS' opener works well.</t>
  </si>
  <si>
    <t>Content-first / Jeff Dudan podcast angle + Homecoming 4 vendor path</t>
  </si>
  <si>
    <t>"I've been following your Forbes work on franchise community-building. What you're describing operationally is exactly what ServiceBridge enables."</t>
  </si>
  <si>
    <t>1. LinkedIn to Jeff Dudan — content angle first
2. Reference Homecoming 4 vendor opportunity
3. Window Hero brand wedge via Tyler Kirk</t>
  </si>
  <si>
    <t>Conservative scenario for founder conversation. Not PE math. Per-franchisee economics.</t>
  </si>
  <si>
    <t>None — family office, not institutional PE</t>
  </si>
  <si>
    <t>"We're managing costs tightly" → Counter: ServiceBridge pays for itself in first 90 days on admin savings alone</t>
  </si>
  <si>
    <t>⚠️ Franchisee satisfaction issues Dec 2025. Verify system health. Position ServiceBridge as system improvement tool, not just efficiency.</t>
  </si>
  <si>
    <t>Tij Bedi (CTO) tech champion — 9 greenfield brands</t>
  </si>
  <si>
    <t>"You just joined to build tech infrastructure for 9 brands with no FSM mandate. ServiceBridge is the fastest path to get there."</t>
  </si>
  <si>
    <t>1. LinkedIn to Tij Bedi (CTO) — direct approach appropriate
2. Competitive Matrix tab as conversation starter
3. GPS Apax Partners intro via Charles (parallel)</t>
  </si>
  <si>
    <t>Competitive Matrix tab for CTO conversation. Show ServiceTitan gap on the 9 non-ST brands.</t>
  </si>
  <si>
    <t>GPS: Apax Partners → Charles Layne for board-level intro</t>
  </si>
  <si>
    <t>"We want to evaluate all options" → Counter: you have 9 brands waiting now, evaluation is the delay</t>
  </si>
  <si>
    <t>Week 2–3</t>
  </si>
  <si>
    <t>Tij Bedi is the tech champion, not gatekeeper. He's looking for exactly this solution.</t>
  </si>
  <si>
    <t>KKR PE intro only — no direct approach</t>
  </si>
  <si>
    <t>No opening line until KKR intro confirmed. PE intro is the only door.</t>
  </si>
  <si>
    <t>1. Charles → Accel-KKR → KKR → Felix Gernburd
2. Only then: GPS Insight telematics conversation with Mike Davis or Gagan Sinha
3. NOT ServiceBridge FSM — ST is locked in</t>
  </si>
  <si>
    <t>Do not run Insight Engine until PE intro confirmed. When secured: telematics ROI only, not FSM.</t>
  </si>
  <si>
    <t>🔴 GPS #1 ACTION — Charles to surface KKR intro. Follow up TODAY.</t>
  </si>
  <si>
    <t>N/A — must have intro first</t>
  </si>
  <si>
    <t>Week 1 GPS action — no direct outreach</t>
  </si>
  <si>
    <t>ST renewal window 2025-2027 is the only leverage. Patience required.</t>
  </si>
  <si>
    <t>RooterMan 300-location plumbing brand wedge</t>
  </si>
  <si>
    <t>"RooterMan is 300 locations of emergency plumbing dispatch — that's exactly what ServiceBridge was built for."</t>
  </si>
  <si>
    <t>1. Find RooterMan brand president name (TBD)
2. LinkedIn to brand president
3. Escalate to Paul Flick (CEO) with full PSB ROI model</t>
  </si>
  <si>
    <t>ROI Calculator at brand level first (RooterMan). Then scale to full PSB network for Paul Flick.</t>
  </si>
  <si>
    <t>None — PSB is direct path</t>
  </si>
  <si>
    <t>"Brand presidents run their own tech" → Counter: franchisor mandate is the faster path. Use Paul Flick ROI model.</t>
  </si>
  <si>
    <t>Full greenfield across all 8 PSB brands. Susquehanna PE — not a prominent PE exit story.</t>
  </si>
  <si>
    <t xml:space="preserve">  TABLE 2  ·  FRANCHISEE ENGAGEMENT IDEAS  (Track 2)</t>
  </si>
  <si>
    <t>BRAND / NETWORK</t>
  </si>
  <si>
    <t>PARENT</t>
  </si>
  <si>
    <t>ENGAGEMENT ANGLE</t>
  </si>
  <si>
    <t>OPENING MESSAGE</t>
  </si>
  <si>
    <t>INSIGHT ENGINE</t>
  </si>
  <si>
    <t>WARM PATH</t>
  </si>
  <si>
    <t>PILOT POTENTIAL</t>
  </si>
  <si>
    <t>1-800 Water Damage
(BELFOR network)</t>
  </si>
  <si>
    <t>🟢 Greenfield</t>
  </si>
  <si>
    <t>Insurance documentation = carrier relationship tool</t>
  </si>
  <si>
    <t>"Every undocumented job is an undefended claim. ServiceBridge captures the evidence before you leave the property."</t>
  </si>
  <si>
    <t>ROI Calc: $4,500/job, 3 techs, 3 jobs/day. FDD-sourced. Invoice cycle reduction = faster carrier payment.</t>
  </si>
  <si>
    <t>GPS Insight telematics list (Andrea) — warm customers are direct calls</t>
  </si>
  <si>
    <t>After Rusty/BELFOR franchisor close</t>
  </si>
  <si>
    <t>FDD: top 25% avg $1.65M. Insurance carriers refer 40% of jobs. Documentation is the product.</t>
  </si>
  <si>
    <t>That 1 Painter
(ResiBrands)</t>
  </si>
  <si>
    <t>ResiConnect handles front end — ServiceBridge handles the field</t>
  </si>
  <si>
    <t>"ResiConnect takes the call. We handle everything after the tech gets in the truck."</t>
  </si>
  <si>
    <t>Conservative: 800 territories × 5 techs × $200/job. $1.67/tech/day message.</t>
  </si>
  <si>
    <t>Steven Montgomery decides for all ResiBrands — closed at franchisor level</t>
  </si>
  <si>
    <t>After ResiBrands call Apr 15</t>
  </si>
  <si>
    <t>800+ territories. Fastest path: win Steven, get the network.</t>
  </si>
  <si>
    <t>Emergency + scheduled dispatch = dual revenue model</t>
  </si>
  <si>
    <t>Same as That 1 Painter — closed via Steven Montgomery</t>
  </si>
  <si>
    <t>Part of ResiBrands model — included in franchisor scenario</t>
  </si>
  <si>
    <t>With ResiBrands</t>
  </si>
  <si>
    <t>Garage door = emergency call + maintenance schedule. Strong dispatch fit.</t>
  </si>
  <si>
    <t>Bumble Roofing
(Empower)</t>
  </si>
  <si>
    <t>Estimate-to-invoice project flow</t>
  </si>
  <si>
    <t>"Fastest growing Empower brand in 2025. ServiceBridge keeps that growth from outpacing your ops."</t>
  </si>
  <si>
    <t>Project model: lower jobs/day but higher revenue/job ($2,000+). Estimate + job documentation.</t>
  </si>
  <si>
    <t>Empower Brands mandate via Scott Zide</t>
  </si>
  <si>
    <t>After Empower franchisor close</t>
  </si>
  <si>
    <t>Fastest growing brand at Ignite 2026. Greenfield. Project-based.</t>
  </si>
  <si>
    <t>Top Rail Fence
(HomeFront)</t>
  </si>
  <si>
    <t>Homecoming 4 vendor path + Franchisee of Year credibility</t>
  </si>
  <si>
    <t>"Top Rail Fence won Homecoming 3 FoY. The brand that wins uses the best ops stack."</t>
  </si>
  <si>
    <t>Project fencing: quote → install → invoice. Conservative scenario.</t>
  </si>
  <si>
    <t>Homecoming 4 vendor registration via Zack Dudan (CGO)</t>
  </si>
  <si>
    <t>Homecoming 4 Nov 2026</t>
  </si>
  <si>
    <t>FoY award = credibility for vendor conversation. Jeff Dudan hosts personally.</t>
  </si>
  <si>
    <t>DUCTZ (BELFOR)</t>
  </si>
  <si>
    <t>Annual route model — recurring dispatch</t>
  </si>
  <si>
    <t>"DUCTZ runs annual commercial duct cleanings. ServiceBridge turns your route list into a repeating revenue engine."</t>
  </si>
  <si>
    <t>Route model: 4 jobs/day, annual contracts, ~$2,000/job. Recurring invoice automation.</t>
  </si>
  <si>
    <t>GPS Insight telematics list — warm customer path</t>
  </si>
  <si>
    <t>After BELFOR franchisor close</t>
  </si>
  <si>
    <t>Annual recurring = perfect route optimization model. DUCTZ won Franchise of Year 2025.</t>
  </si>
  <si>
    <t>Emergency plumbing dispatch at scale</t>
  </si>
  <si>
    <t>"300 locations of emergency plumbing. Every call is time-sensitive. ServiceBridge puts the right tech on the right job in under a minute."</t>
  </si>
  <si>
    <t>300 locations × 4 techs × 4 jobs/day × $350/job. Lead brand for PSB model.</t>
  </si>
  <si>
    <t>Brand president TBD → Paul Flick (CEO)</t>
  </si>
  <si>
    <t>300 locations = largest PSB brand. Emergency plumbing = high dispatch urgency. Perfect FSM case study.</t>
  </si>
  <si>
    <t>Mosquito Shield
(Five Star)</t>
  </si>
  <si>
    <t>⚠️ Verify</t>
  </si>
  <si>
    <t>Seasonal route model — check FieldRoutes first</t>
  </si>
  <si>
    <t>If clear: "Mosquito Shield runs 20+ weeks of dense routing. ServiceBridge turns that density into margin."</t>
  </si>
  <si>
    <t>Route model: seasonal, high frequency, low revenue/visit. Volume play.</t>
  </si>
  <si>
    <t>Michael Moorhouse (Brand President) → Scott Abbott</t>
  </si>
  <si>
    <t>After FieldRoutes verification</t>
  </si>
  <si>
    <t>🟡 MEDIUM — IF clear</t>
  </si>
  <si>
    <t>⚠️ FieldRoutes (ST subsidiary) possible mandate. MUST verify before outreach.</t>
  </si>
  <si>
    <t>Window Hero
(HomeFront)</t>
  </si>
  <si>
    <t>Simple exterior cleaning — collect payment same day</t>
  </si>
  <si>
    <t>"Window cleaning on paper means chasing invoices. ServiceBridge means collecting before the squeegee is dry."</t>
  </si>
  <si>
    <t>Small crew model: 2-3 techs, $150-300/job, 6 jobs/day. Mobile payment emphasis.</t>
  </si>
  <si>
    <t>Tyler Kirk (founder) → Jeff Dudan → Homecoming 4 vendor</t>
  </si>
  <si>
    <t>🟢 LOW-MED</t>
  </si>
  <si>
    <t>Small brand — good pilot candidate due to simplicity. Homecoming 4 vendor path is the door.</t>
  </si>
  <si>
    <t>⚠️ Conflict</t>
  </si>
  <si>
    <t>Replace proprietary FSM — model $8.1M system cost savings</t>
  </si>
  <si>
    <t>"JAN-PRO pays $60/month/franchisee for a proprietary system. ServiceBridge does more for less."</t>
  </si>
  <si>
    <t>Cost elimination model: $60/mo × 11,265 units = $8.1M/yr. ServiceBridge at lower cost.</t>
  </si>
  <si>
    <t>Scott Zide (CEO Empower) must mandate — not brand-level decision</t>
  </si>
  <si>
    <t>Handle carefully. Gary Bauer (30yr ServiceMaster) knows Aspire. Approach as system upgrade.</t>
  </si>
  <si>
    <t>Pestmaster Services
(Threshold)</t>
  </si>
  <si>
    <t>Pest control route model — verify FieldRoutes</t>
  </si>
  <si>
    <t>If clear: route-based pest control is perfect ServiceBridge use case.</t>
  </si>
  <si>
    <t>Route model. Verify FieldRoutes conflict first.</t>
  </si>
  <si>
    <t>Threshold Brands franchisor mandate path</t>
  </si>
  <si>
    <t>After Threshold franchisor close</t>
  </si>
  <si>
    <t>⚠️ FieldRoutes possible. Check Threshold FDD Item 8 before outreach.</t>
  </si>
  <si>
    <t>Mosquito Joe
(Neighborly)</t>
  </si>
  <si>
    <t>🔴 ST/FieldRoutes</t>
  </si>
  <si>
    <t>DO NOT approach without PE intro</t>
  </si>
  <si>
    <t>No opening line until Neighborly PE intro confirmed.</t>
  </si>
  <si>
    <t>Do not run model — ST/FieldRoutes mandate likely.</t>
  </si>
  <si>
    <t>KKR → Charles Layne — PE intro only</t>
  </si>
  <si>
    <t>After PE intro</t>
  </si>
  <si>
    <t>⚪ BLOCKED</t>
  </si>
  <si>
    <t>Smart Fleet USA telematics confirmed. Route model. But Neighborly = PE intro only, no direct approach.</t>
  </si>
  <si>
    <t xml:space="preserve">  TABLE 3  ·  REFERENCE SELLING STRATEGY  ·  Current Testimonials + Pilot Program</t>
  </si>
  <si>
    <t>REFERENCE CLIENT</t>
  </si>
  <si>
    <t>SOURCE</t>
  </si>
  <si>
    <t>CONTACT / ROLE</t>
  </si>
  <si>
    <t>RESULT 1</t>
  </si>
  <si>
    <t>RESULT 2</t>
  </si>
  <si>
    <t>RESULT 3</t>
  </si>
  <si>
    <t>TRADE / RELEVANCE</t>
  </si>
  <si>
    <t>USE IN PITCH TO</t>
  </si>
  <si>
    <t>ACTION NEEDED</t>
  </si>
  <si>
    <t>Robertson Pools
Dallas-Fort Worth TX</t>
  </si>
  <si>
    <t>SB Advantage Document (p.9)</t>
  </si>
  <si>
    <t>Kelli Griffin
Service Manager</t>
  </si>
  <si>
    <t>64% revenue growth</t>
  </si>
  <si>
    <t>2pt net profit increase</t>
  </si>
  <si>
    <t>Week 1 platform ROI</t>
  </si>
  <si>
    <t>Pool Services — recurring route + job dispatch</t>
  </si>
  <si>
    <t>Five Star (Mosquito Shield), PSB, HomeFront — any route-based brand</t>
  </si>
  <si>
    <t>✅ In SB Advantage — CONFIRM referenceable</t>
  </si>
  <si>
    <t>Andrea to confirm active + permission to use in franchise prospect meetings</t>
  </si>
  <si>
    <t>Critter Control
National Franchise Network</t>
  </si>
  <si>
    <t>Joe Felegi
President</t>
  </si>
  <si>
    <t>Headcount-neutral growth</t>
  </si>
  <si>
    <t>Improved lead-to-sale ratio</t>
  </si>
  <si>
    <t>Eliminated daily office visits</t>
  </si>
  <si>
    <t>Pest Control — national franchise network ← FRANCHISE REFERENCE</t>
  </si>
  <si>
    <t>PSB (Pestmaster), Five Star (Mosquito Shield), Threshold (FlyFoe, Pestmaster) — EXACT MATCH</t>
  </si>
  <si>
    <t>⭐ HIGHEST VALUE — national franchise network president. Perfect reference for any franchisor conversation.</t>
  </si>
  <si>
    <t>Master Mastic
Regional Operator</t>
  </si>
  <si>
    <t>SB Advantage Document (p.10)</t>
  </si>
  <si>
    <t>Brian Stilwell
Owner</t>
  </si>
  <si>
    <t>2x sales growth</t>
  </si>
  <si>
    <t>Reduced admin overhead</t>
  </si>
  <si>
    <t>Eliminated QuickBooks double-entry</t>
  </si>
  <si>
    <t>Waterproofing — project-based restoration-adjacent</t>
  </si>
  <si>
    <t>BELFOR (restoration/water damage), Threshold, PSB — restoration/specialty trades</t>
  </si>
  <si>
    <t>Restoration-adjacent = closest to BELFOR use case. Use in Rusty Amarante outreach if confirmed.</t>
  </si>
  <si>
    <t>🎯 TARGET PILOT CLIENT
1-800 Water Damage franchisee
(to be identified)</t>
  </si>
  <si>
    <t>Andrea telematics list → GPS Insight warm customer</t>
  </si>
  <si>
    <t>To be identified —
Owner/Operator</t>
  </si>
  <si>
    <t>TARGET: 64%+ revenue growth</t>
  </si>
  <si>
    <t>TARGET: invoice cycle -5 days</t>
  </si>
  <si>
    <t>TARGET: carrier referral rate increase</t>
  </si>
  <si>
    <t>Restoration — insurance dispatch model ← EXACT BELFOR MATCH</t>
  </si>
  <si>
    <t>BELFOR (Rusty Amarante, Sheldon Yellen) — this is the reference that closes the deal</t>
  </si>
  <si>
    <t>⚠️ NOT YET — find via Andrea's telematics list</t>
  </si>
  <si>
    <t>This is the pilot. Find 1 GPS Insight telematics customer in BELFOR network. Offer 90-day free pilot. Capture results. Walk into Rusty with real numbers.</t>
  </si>
  <si>
    <t>🎯 TARGET PILOT CLIENT
ResiBrands franchisee
(That 1 Painter / GarageUp)</t>
  </si>
  <si>
    <t>Steven Montgomery relationship → warm intro</t>
  </si>
  <si>
    <t>TARGET: admin time -1hr/tech/day</t>
  </si>
  <si>
    <t>TARGET: payment cycle same-day</t>
  </si>
  <si>
    <t>TARGET: jobs/tech/day +0.5</t>
  </si>
  <si>
    <t>Painting/Home Services — high tech count, route model</t>
  </si>
  <si>
    <t>ResiBrands (Steven Montgomery) — if pilot data supports $1.67/tech/day claim</t>
  </si>
  <si>
    <t>⚠️ NOT YET — after ResiBrands call Apr 15</t>
  </si>
  <si>
    <t>If Steven agrees Apr 15 — propose a single That 1 Painter market as 90-day pilot before full network rollout.</t>
  </si>
  <si>
    <t xml:space="preserve">  TABLE 4  ·  PRODUCT POSITIONING  ·  Orchestration + Ownership + Spring Release Features</t>
  </si>
  <si>
    <t xml:space="preserve">  A  ·  TWO-PITCH FRAMEWORK  ·  Based on prospect's current telematics provider</t>
  </si>
  <si>
    <t>SCENARIO</t>
  </si>
  <si>
    <t>TELEMATICS STATUS</t>
  </si>
  <si>
    <t>LEAD WITH</t>
  </si>
  <si>
    <t>ORCHESTRATION CLAIM</t>
  </si>
  <si>
    <t>GPS INSIGHT ROLE</t>
  </si>
  <si>
    <t>SERVICEBRIDGE ROLE</t>
  </si>
  <si>
    <t>OPENING LINE</t>
  </si>
  <si>
    <t>ACCOUNTS</t>
  </si>
  <si>
    <t>CAUTION</t>
  </si>
  <si>
    <t>VERIFY WITH</t>
  </si>
  <si>
    <t>PITCH A
'Full Ownership'
(GPS Insight customers)</t>
  </si>
  <si>
    <t>✅ GPS Insight or ClearPathGPS already installed</t>
  </si>
  <si>
    <t>Unified Orchestration — FSM + Fleet on one shared data model</t>
  </si>
  <si>
    <t>FULL claim: 'We own both sides. Competitors integrate. We orchestrate. One shared data model across jobs, vehicles, and technicians — in real time.'</t>
  </si>
  <si>
    <t>The telematics backbone. Live vehicle data, fuel card cross-ref, insurance carrier data. Already proven with this customer.</t>
  </si>
  <si>
    <t>The FSM layer that acts on GPS Insight data in real time. Merge Maps, Smart Scheduler, Job Confirmations — all GPS-aware.</t>
  </si>
  <si>
    <t>'You're already running GPS Insight. ServiceBridge is the other half of the system. Together they don't just talk to each other — they think together.'</t>
  </si>
  <si>
    <t>BELFOR (GPS warm flag confirmed)
All GPS Insight telematics customers in Andrea's list
Any pilot candidate from telematics cross-ref</t>
  </si>
  <si>
    <t>Do not claim unified orchestration for non-GPS Insight customers.</t>
  </si>
  <si>
    <t>Andrea — telematics customer list to identify these accounts</t>
  </si>
  <si>
    <t>PITCH B
'Start with ServiceBridge'
(Other telematics)</t>
  </si>
  <si>
    <t>⚠️ Samsara / Verizon Connect / Geotab / Motive / Smart Fleet USA</t>
  </si>
  <si>
    <t>ServiceBridge FSM value standalone — 8 financial levers, Week 1 ROI</t>
  </si>
  <si>
    <t>PARTIAL claim: 'ServiceBridge delivers its core FSM value on day one, with or without GPS Insight telematics. The full orchestration story unlocks when you add GPS Insight at your next telematics renewal.'</t>
  </si>
  <si>
    <t>The upgrade path. Plant the flag now. Win telematics at contract renewal.</t>
  </si>
  <si>
    <t>Standalone FSM: dispatch, digital work orders, on-site payment, invoice automation, QuickBooks sync, Smart Scheduler, Job Confirmations.</t>
  </si>
  <si>
    <t>'Start with ServiceBridge. You'll get your money back in Week 1 on admin savings alone. When your telematics contract comes up, GPS Insight is the full orchestration upgrade.'</t>
  </si>
  <si>
    <t>Neighborly (Smart Fleet USA — DO NOT approach direct)
Authority Brands (ST mandated brands — GPS Insight only)
Five Star, HomeFront, Threshold, Empower greenfield brands
Any account with non-GPS Insight telematics confirmed</t>
  </si>
  <si>
    <t>Never claim full orchestration with third-party telematics. Verify API capability with Andrea first — may change this.</t>
  </si>
  <si>
    <t>Andrea/product — does ServiceBridge accept third-party telematics data via API? Answer changes this pitch materially.</t>
  </si>
  <si>
    <t xml:space="preserve">  B  ·  SPRING RELEASE FEATURES  ·  GTM Angles per New Capability  (Released ~Apr 11 2026)</t>
  </si>
  <si>
    <t>FEATURE</t>
  </si>
  <si>
    <t>WHAT IT DOES</t>
  </si>
  <si>
    <t>GTM ANGLE</t>
  </si>
  <si>
    <t>BEST PITCH LINE</t>
  </si>
  <si>
    <t>USE WITH AUDIENCE</t>
  </si>
  <si>
    <t>INSIGHT ENGINE IMPACT</t>
  </si>
  <si>
    <t>ACCOUNTS TO LEAD WITH</t>
  </si>
  <si>
    <t>COMPETITIVE COUNTER</t>
  </si>
  <si>
    <t>🤖 Smart Scheduler
(AI Dispatch)</t>
  </si>
  <si>
    <t>AI-driven auto-assignment of unassigned jobs to qualified technicians. Matches skills/certs, respects time windows, optimizes routes, previews before applying. Included free for Pro/Enterprise single-branch customers.</t>
  </si>
  <si>
    <t>This IS the orchestration story made visible. AI acting on job + technician data in real time — exactly what the FSM Strategy doc describes as 'systems of orchestration.' No competitor offers AI dispatch at this price point.</t>
  </si>
  <si>
    <t>'ServiceBridge now includes AI-powered scheduling. Your dispatcher doesn't build the schedule anymore — the system does. In minutes, not hours. Included at no extra cost.'</t>
  </si>
  <si>
    <t>Tij Bedi (Authority CTO) — CTO language
Scott Zide (Empower CEO) — ops efficiency
PE/CFO audience — labor cost reduction
Rusty Amarante (BELFOR) — dispatch at scale</t>
  </si>
  <si>
    <t>Add to ROI Calculator: Admin time recovery column now includes scheduler time saved. Estimate 30-60 min/day dispatch reduction for franchises with 10+ techs.</t>
  </si>
  <si>
    <t>BELFOR (9,250 techs — manual dispatch = massive inefficiency)
Empower (JAN-PRO scale — route optimization)
Authority Brands (CTO conversation)
ResiBrands (That 1 Painter — 800+ territories)</t>
  </si>
  <si>
    <t>ServiceTitan has AI scheduling but costs $245-500/tech/month. ServiceBridge delivers it at $24.95. That's 10x cheaper for the same capability.</t>
  </si>
  <si>
    <t>✅ LIVE — released ~Apr 11 2026</t>
  </si>
  <si>
    <t>help.servicebridge.com Spring Release Notes</t>
  </si>
  <si>
    <t>💬 Job Confirmations
(2-Way SMS)</t>
  </si>
  <si>
    <t>Send appointment confirmation texts from Estimates/Work Orders. Receive customer replies. All SMS activity in Message Center, auto-linked to job and customer records.</t>
  </si>
  <si>
    <t>Customer communication = no-show reduction = more revenue per day. Every franchise system struggles with no-shows. Two-way SMS is table stakes for a premium customer experience — and it's now built in, not bolted on.</t>
  </si>
  <si>
    <t>'Your techs confirm appointments by text. Customers reply. Everything logs automatically. No-shows cost you 2 hours of loaded labor per tech per week — this eliminates them.'</t>
  </si>
  <si>
    <t>Franchisee level — direct ops benefit
Franchisor — customer satisfaction / NPS story
PE/Exit — customer retention metric</t>
  </si>
  <si>
    <t>Add to Financial Lever #7 (First-time fix rate): No-show reduction improves utilization. Estimate 1 job/tech/week recovered = $350-4,500 per tech per week depending on trade.</t>
  </si>
  <si>
    <t>BELFOR (insurance carrier communication — confirmation = documentation)
ResiBrands pilot (That 1 Painter — customer experience)
Any Tier 1 with high customer-facing volume</t>
  </si>
  <si>
    <t>Jobber has SMS but it's one-way. HousecallPro has 2-way but at higher price. ServiceBridge includes it in base package.</t>
  </si>
  <si>
    <t>💳 GreenSky® Consumer
Financing</t>
  </si>
  <si>
    <t>Third-party consumer financing built directly into estimates and invoices. Customer applies for financing, gets approved, pays via financing — all within ServiceBridge checkout. GreenSky manages underwriting.</t>
  </si>
  <si>
    <t>Higher-ticket jobs close faster when financing is available at point of sale. Restoration, HVAC, roofing, insulation — these are $5K-$50K jobs. Financing converts 'let me think about it' into 'yes' on the spot. For franchise systems, this is a revenue multiplier, not a payment feature.</t>
  </si>
  <si>
    <t>'The average 1-800 Water Damage job is $4,500. With GreenSky® financing built into the estimate, your franchisees close more jobs same day. The system handles the underwriting. They handle the work.'</t>
  </si>
  <si>
    <t>BELFOR restoration brands — high ticket, insurance-adjacent
Bumble Roofing (Empower) — $10K+ roofing projects
USA Insulation (Threshold) — high-ticket installs
Any franchise with avg job value $2,000+</t>
  </si>
  <si>
    <t>Add to Financial Lever #2 (Invoice leakage + ticket size): Financing availability increases job acceptance on high-ticket estimates. Estimate 10-15% conversion lift on jobs $2,000+.</t>
  </si>
  <si>
    <t>BELFOR (restoration avg $4,500/job — financing closes same day)
Bumble Roofing/Empower
USA Insulation/Threshold</t>
  </si>
  <si>
    <t>No FSM competitor at this price point includes consumer financing. ServiceTitan has financing but at enterprise pricing. ServiceBridge is the only sub-$50/tech platform with native financing.</t>
  </si>
  <si>
    <t xml:space="preserve">  📊 SCORING MODEL  ·  How We Prioritize Franchisors and Franchisees  ·  ServiceBridge GTM Engagement</t>
  </si>
  <si>
    <t xml:space="preserve">  HOW THE TWO-LEVEL SYSTEM WORKS</t>
  </si>
  <si>
    <t>LEVEL</t>
  </si>
  <si>
    <t>NAME</t>
  </si>
  <si>
    <t>RANGE / MAX</t>
  </si>
  <si>
    <t>HOW IT WORKS</t>
  </si>
  <si>
    <t>LEVEL 1</t>
  </si>
  <si>
    <t>Franchisor Score (Track 1)</t>
  </si>
  <si>
    <t>Scores each of the 7 P1 franchisor targets using V2 dimensions: Greenfield (20%), Network (15%), PE (15%), DM Access (15%), Urgency (15%), Displacement (10%), C/B Mix (10%). Determines where to focus GTM effort at the network level. P2 franchisors (BELFOR, Evive, Threshold) classified separately as "existing footprint" set, not numerically ranked.</t>
  </si>
  <si>
    <t>LEVEL 2</t>
  </si>
  <si>
    <t>Franchisee Score (Track 2)</t>
  </si>
  <si>
    <t>Scores brand-corp targets in Stage 2 using same 7 V2 dimensions, reweighted to favor brand-level velocity: Greenfield (30%), Network (15%), PE (10%), DM Access (15%), Urgency (15%), Displacement (5%), C/B Mix (10%). Higher greenfield weight reflects brand-corp dynamics where no-FSM-mandate signals fastest path to pilot.</t>
  </si>
  <si>
    <t>BONUS</t>
  </si>
  <si>
    <t>Franchisor → Franchisee Bonus</t>
  </si>
  <si>
    <t>+0 / +5 / +15 / +25 points</t>
  </si>
  <si>
    <t>The franchisor V2 score adds a bonus to every brand-corp under that parent: 70+ score = +25, 45-69 = +15, 1-44 = +5. Reflects strategic context: a brand-corp inside a P1 #1 parent gets enterprise mandate alignment, while one inside P1 #7 gets relationship-build positioning.</t>
  </si>
  <si>
    <t>COMBINED</t>
  </si>
  <si>
    <t>Combined Score (Track 2)</t>
  </si>
  <si>
    <t>Max 125 points</t>
  </si>
  <si>
    <t>Franchisee score + Franchisor bonus. This is the number you sort by. The highest combined score = your lead pilot candidate. 🔴 88+ = Lead Pilot (approach this week)  ·  🟡 56-87 = Queue  ·  ⚪ Under 56 = Hold</t>
  </si>
  <si>
    <t xml:space="preserve">  SECTION 1  ·  STAGE 1 (FRANCHISOR) SCORING DIMENSIONS  ·  7 V2 dimensions · Max 100 points</t>
  </si>
  <si>
    <t>DIMENSION</t>
  </si>
  <si>
    <t>MAX
PTS</t>
  </si>
  <si>
    <t>WHY THIS MATTERS</t>
  </si>
  <si>
    <t>SCORE 100%</t>
  </si>
  <si>
    <t>SCORE 50-70%</t>
  </si>
  <si>
    <t>SCORE LOW</t>
  </si>
  <si>
    <t>SCORE ZERO</t>
  </si>
  <si>
    <t>The most important dimension. Greenfield = no incumbent FSM to displace, no contract to wait out, no migration friction. Combined with paper-based ops + QuickBooks-only signals = highest-velocity engagement opportunity. V2 reweights this from 25/100 to 20/100 to make room for new dimensions.</t>
  </si>
  <si>
    <t>Pure greenfield (20)
No FSM, paper-based ops, QB-only</t>
  </si>
  <si>
    <t>Mostly greenfield (12-15)
Light tools, partial coverage</t>
  </si>
  <si>
    <t>Mixed (5-10)
Proprietary FSM partial, conflict risk</t>
  </si>
  <si>
    <t>ServiceTitan/incumbent mandated (0)</t>
  </si>
  <si>
    <t>Network</t>
  </si>
  <si>
    <t>Bigger network = bigger mandate opportunity = bigger ARR. Caps at 15 in V2 (was 20 in V1) so size doesn't dominate the score — a smaller network with stronger greenfield can outrank a larger network with displacement risk.</t>
  </si>
  <si>
    <t>7,500+ techs (15)</t>
  </si>
  <si>
    <t>3,000–7,499 techs (10-12)</t>
  </si>
  <si>
    <t>1,000–2,999 techs (6-8)</t>
  </si>
  <si>
    <t>Under 1,000 techs (3-5)</t>
  </si>
  <si>
    <t>PE</t>
  </si>
  <si>
    <t>PE in Year 4-6 of hold needs EBITDA improvement to maximize exit multiple. That urgency is an open door — value creation initiatives align with our pitch. Reweighted from 20 to 15 in V2 to share weight with new dimensions.</t>
  </si>
  <si>
    <t>Year 5-6 / exit imminent (15)</t>
  </si>
  <si>
    <t>Year 3-4 / approaching (10-12)</t>
  </si>
  <si>
    <t>Founder/family / fast decision (6)</t>
  </si>
  <si>
    <t>Early hold / family office (3)</t>
  </si>
  <si>
    <t>DM Access</t>
  </si>
  <si>
    <t>NEW V2 dimension (consolidated from V1 Contact Accessibility + GPS Warm Flag). Can we reach the decision maker directly, via warm path, or only via PE intro? GPSI customer overlap, parent-level relationships, and direct LinkedIn reach all factor in. Higher score = lower friction.</t>
  </si>
  <si>
    <t>Direct path + GPSI warm + PE intro available (13-15)</t>
  </si>
  <si>
    <t>Direct LinkedIn + warm path (10-12)</t>
  </si>
  <si>
    <t>Requires PE intro only (5-8)</t>
  </si>
  <si>
    <t>No path identified (0-3)</t>
  </si>
  <si>
    <t>Urgency</t>
  </si>
  <si>
    <t>NEW V2 dimension. Captures *when* the engagement window opens and *what triggers it*: leadership transitions, FSM contract renewals, exit windows, reassessment periods. Higher urgency = act now, not later.</t>
  </si>
  <si>
    <t>Imminent trigger (renewal, leadership transition) (13-15)</t>
  </si>
  <si>
    <t>Mid-term window (8-12)</t>
  </si>
  <si>
    <t>Long-term reassessment posture (4-7)</t>
  </si>
  <si>
    <t>No urgency signal (0-3)</t>
  </si>
  <si>
    <t>Displacement</t>
  </si>
  <si>
    <t>NEW V2 dimension (replaces V1 GPS Warm Flag). Even if not pure greenfield, can we displace the incumbent? Mixed FSM landscape with no entrenched mandate = wedge entry possible. Lower weight (10) because greenfield is preferable, but real opportunities exist.</t>
  </si>
  <si>
    <t>Mixed FSM, no entrenched mandate (8-10)</t>
  </si>
  <si>
    <t>Partial competitor mandate (5-7)</t>
  </si>
  <si>
    <t>Entrenched competitor (2-4)</t>
  </si>
  <si>
    <t>ServiceTitan locked in (0)</t>
  </si>
  <si>
    <t>C/B Mix</t>
  </si>
  <si>
    <t>NEW V2 dimension (replaces V1 Pilot Fit). Consumer/B2B mix shapes engagement narrative and channel selection. Consumer-led brands favor recurring-billing ROI math. B2B/commercial brands need account-based outreach. Mix indicator helps calibrate the engagement framework per brand.</t>
  </si>
  <si>
    <t>Consumer-led, recurring service model (8-10)</t>
  </si>
  <si>
    <t>Mixed B2B/consumer (5-7)</t>
  </si>
  <si>
    <t>Heavily B2B/commercial (3-5)</t>
  </si>
  <si>
    <t>Project-based, low recurring (1-3)</t>
  </si>
  <si>
    <t xml:space="preserve">  SECTION 2  ·  STAGE 2 (BRAND-CORP) SCORING DIMENSIONS  ·  Same 7 V2 dimensions, reweighted for brand-corp velocity</t>
  </si>
  <si>
    <t>Same gate as Stage 1 but reweighted higher (30% vs 20%) at brand-corp level. Brand-corp velocity depends on absence of incumbent FSM. Greenfield + paper + QuickBooks-only = fastest pilot path. This is why a small brand-corp can outrank a large one if greenfield is stronger.</t>
  </si>
  <si>
    <t>Pure greenfield + paper/QB (30)</t>
  </si>
  <si>
    <t>Mostly greenfield, light tools (18-22)</t>
  </si>
  <si>
    <t>Mixed FSM partial (8-15)</t>
  </si>
  <si>
    <t>Mandated FSM (0)</t>
  </si>
  <si>
    <t>Brand-corp network size — operators × techs per operator. Smaller weight than franchisor level (15% same) but interpreted differently: a 100-operator brand at $300/tech can outrank a 1,000-operator brand if greenfield is strong.</t>
  </si>
  <si>
    <t>500+ operators (15)</t>
  </si>
  <si>
    <t>200-499 (10-12)</t>
  </si>
  <si>
    <t>50-199 (6-8)</t>
  </si>
  <si>
    <t>&lt;50 (3-5)</t>
  </si>
  <si>
    <t>LOWER WEIGHT at brand-corp (10% vs 15% at franchisor). Brand presidents don't optimize for parent-co exit math — they optimize for brand-level operations. PE inheritance is contextual, not a primary driver. Used as parent-tier modifier.</t>
  </si>
  <si>
    <t>P1 parent, active PE exit window (10)</t>
  </si>
  <si>
    <t>P1 parent, mid hold (6-8)</t>
  </si>
  <si>
    <t>P2/P3 parent (3-5)</t>
  </si>
  <si>
    <t>No parent franchisor (0)</t>
  </si>
  <si>
    <t>Same weight as franchisor level. Brand corp leadership access — brand president/COO direct, GPSI customer overlap, warm path through parent. Critical at brand-corp because relationships are more lateral than top-down.</t>
  </si>
  <si>
    <t>Brand president direct + GPSI warm (13-15)</t>
  </si>
  <si>
    <t>Brand corp accessible, no GPSI (8-12)</t>
  </si>
  <si>
    <t>Requires parent-franchisor warm path (4-7)</t>
  </si>
  <si>
    <t>No identified contact (0-3)</t>
  </si>
  <si>
    <t>Same weight. Brand-corp triggers: leadership transitions, FSM contract renewals at major franchisees, brand-level competitive pressure, parent-franchisor exit pressure cascading down.</t>
  </si>
  <si>
    <t>New brand president + open roadmap (13-15)</t>
  </si>
  <si>
    <t>Mid-term reassessment window (8-12)</t>
  </si>
  <si>
    <t>Stable leadership, defined roadmap (4-7)</t>
  </si>
  <si>
    <t>Locked in, no near-term shift (0-3)</t>
  </si>
  <si>
    <t>LOWER WEIGHT at brand-corp (5% vs 10%). Brand-corps with mandated competitive FSM are rare — most are mixed/franchisee-choice. When they ARE locked in, the conversation happens at parent level (Stage 1), not Stage 2.</t>
  </si>
  <si>
    <t>Mixed FSM, wedge possible (4-5)</t>
  </si>
  <si>
    <t>Partial mandate (2-3)</t>
  </si>
  <si>
    <t>Strong incumbent (1)</t>
  </si>
  <si>
    <t>Locked in (0)</t>
  </si>
  <si>
    <t>Same weight. Consumer mix favors trade press + reviews; B2B mix favors account-based outreach. Critical for calibrating engagement architecture (5-channel framework) per brand-corp profile.</t>
  </si>
  <si>
    <t>Consumer-led recurring (8-10)</t>
  </si>
  <si>
    <t>Mixed (5-7)</t>
  </si>
  <si>
    <t>Heavily B2B (3-5)</t>
  </si>
  <si>
    <t>Project-only (1-3)</t>
  </si>
  <si>
    <t xml:space="preserve">  SECTION 3  ·  FRANCHISOR BONUS  ·  How the franchisor score feeds into franchisee combined score</t>
  </si>
  <si>
    <t>PRIORITY TIER</t>
  </si>
  <si>
    <t>BONUS ADDED TO FRANCHISEE</t>
  </si>
  <si>
    <t>RATIONALE</t>
  </si>
  <si>
    <t>70 – 100</t>
  </si>
  <si>
    <t>🔴 MOVE NOW</t>
  </si>
  <si>
    <t>+25 points</t>
  </si>
  <si>
    <t>Full GTM motion active. Pilot inside this network directly feeds the franchisor close. Maximum urgency.</t>
  </si>
  <si>
    <t>45 – 69</t>
  </si>
  <si>
    <t>🟡 ACTIVE PIPELINE</t>
  </si>
  <si>
    <t>+15 points</t>
  </si>
  <si>
    <t>30-60 day pipeline. Pilot still strategically valuable. Feeds the relationship as it develops.</t>
  </si>
  <si>
    <t>1 – 44</t>
  </si>
  <si>
    <t>⚪ RELATIONSHIP BUILD</t>
  </si>
  <si>
    <t>+5 points</t>
  </si>
  <si>
    <t>Franchisor relationship early-stage. Pilot adds some value but network close is 90+ days out.</t>
  </si>
  <si>
    <t>0 / None</t>
  </si>
  <si>
    <t>No franchisor relationship</t>
  </si>
  <si>
    <t>+0 points</t>
  </si>
  <si>
    <t>No parent relationship active. Franchisee pilot stands alone. Score on franchisee dimensions only.</t>
  </si>
  <si>
    <t xml:space="preserve">  SECTION 4  ·  CURRENT FRANCHISOR SCORES  ·  V2 Ranking Live Results from Track 1 (April 28, 2026)</t>
  </si>
  <si>
    <t>RANK</t>
  </si>
  <si>
    <t>SCORE / 100</t>
  </si>
  <si>
    <t>FRANCHISEE BONUS</t>
  </si>
  <si>
    <t>KEY DRIVER</t>
  </si>
  <si>
    <t>🔴 P1 #1</t>
  </si>
  <si>
    <t>PE-GATED — KKR warm path required. Largest network + highest urgency.</t>
  </si>
  <si>
    <t>🟡 P1 #2</t>
  </si>
  <si>
    <t>DISPLACEMENT-READY. New CEO + CFO. 12 non-ST brands displaceable.</t>
  </si>
  <si>
    <t>🟡 P1 #3</t>
  </si>
  <si>
    <t>GREENFIELD-LED. Strongest greenfield (90/100). Commercial mix drag.</t>
  </si>
  <si>
    <t>🟢 P1 #4</t>
  </si>
  <si>
    <t>FAST-CYCLE. Founder direct (Kevin Luu). Smallest network but fastest decision.</t>
  </si>
  <si>
    <t>🟡 P1 #5</t>
  </si>
  <si>
    <t>WEDGE-BRAND. Mosquito Shield wedge to Five Star CEO Scott Abbott.</t>
  </si>
  <si>
    <t>🟡 P1 #6</t>
  </si>
  <si>
    <t>GREENFIELD-OPEN. RooterMan dominates. Susquehanna PE less active.</t>
  </si>
  <si>
    <t>⚪ P1 #7</t>
  </si>
  <si>
    <t>MONITOR-MODE. Family office, no exit pressure. Q3/Q4 2026 reassessment.</t>
  </si>
  <si>
    <t>🟡 EXISTING</t>
  </si>
  <si>
    <t>DE-FACTO ANCHOR — HOODZ + DUCTZ at 94% SB. Convert before exit window.</t>
  </si>
  <si>
    <t>🟢 EXISTING</t>
  </si>
  <si>
    <t>GROWING ANCHOR — Brothers Gutters 43% under contract. Riverside, Year 3.</t>
  </si>
  <si>
    <t>🔴 AT-RISK</t>
  </si>
  <si>
    <t>AT-RISK ANCHOR — USA Insulation transitioning OFF SB. Defensive posture.</t>
  </si>
  <si>
    <t>🔍 COMPETITION INTELLIGENCE — FSM &amp; Telematics Landscape</t>
  </si>
  <si>
    <t>COMPETITOR</t>
  </si>
  <si>
    <t>CATEGORY</t>
  </si>
  <si>
    <t>TARGET
SEGMENT</t>
  </si>
  <si>
    <t>PRIMARY
MESSAGING</t>
  </si>
  <si>
    <t>KEY CLAIMS
(VERBATIM / NEAR)</t>
  </si>
  <si>
    <t>FRANCHISE
STRATEGY</t>
  </si>
  <si>
    <t>KNOWN ACCOUNTS
(MANDATED)</t>
  </si>
  <si>
    <t>PRICING
SIGNAL</t>
  </si>
  <si>
    <t>MARKETING
CHANNELS</t>
  </si>
  <si>
    <t>WEAKNESS /
VULNERABILITY</t>
  </si>
  <si>
    <t>SERVICEBRIDGE
COUNTER</t>
  </si>
  <si>
    <t>LAST
UPDATED</t>
  </si>
  <si>
    <t>WATCH
PRIORITY</t>
  </si>
  <si>
    <t>FSM — Enterprise</t>
  </si>
  <si>
    <t>Mid-market to enterprise trades. HVAC, plumbing, electrical. Franchise networks (100+ units)</t>
  </si>
  <si>
    <t>"The operating system for the trades." Position as infrastructure you cannot run without — not a software tool but a business platform. Empowerment, professionalism, profitability.</t>
  </si>
  <si>
    <t>"21% average revenue increase in first two years." "15-25% revenue lift." "24% growth in revenue reported by users ending July 2024." "95%+ gross retention rate." "110%+ net revenue retention."</t>
  </si>
  <si>
    <t>Active top-down mandate play. Authority Brands (Sep 2024) — Benjamin Franklin Plumbing, Mister Sparky, One Hour H&amp;A. Neighborly group contract. Lennox preferred/exclusive FSM partner. Direct PE relationship outreach. Pantheon user conference 3,700+ attendees. ABM strategy targeting franchisors.</t>
  </si>
  <si>
    <t>Mr. Rooter, Mr. Electric, Mosquito Joe, Precision Door (Neighborly mandate). Benjamin Franklin Plumbing, Mister Sparky, One Hour H&amp;A (Authority Brands mandate Sep 2024). Lennox preferred partner.</t>
  </si>
  <si>
    <t>Enterprise pricing. Contracts can exceed $100K/year. Three tiers: Core, Pro, FinTech. Per-technician pricing. Not publicly listed.</t>
  </si>
  <si>
    <t>LinkedIn (101K followers) — thought leadership + case studies. Google SEO (200+ content pieces/month). Pantheon annual conference. Toolbox Live events (8 regional in 2024). Partner co-selling (Ferguson Enterprises, Scorpion, QuickBooks). ABM outreach to franchise execs.</t>
  </si>
  <si>
    <t>Complex, expensive, long implementation. Overkill for 2-10 tech operators. Requires dedicated admin. Franchisee complaints about cost. No native telematics/GPS integration. Sold top-down — franchisees often resent mandate.</t>
  </si>
  <si>
    <t>GPS Insight + ServiceBridge = native telematics + FSM in one ecosystem — ST cannot match this. Week-1 ROI vs ST's long onboarding. Franchise-native pricing vs ST enterprise contract. Charles Layne relationship = inside track ST doesn't have. FDD-loaded Insight Engine vs ST generic demo.</t>
  </si>
  <si>
    <t>April 2026</t>
  </si>
  <si>
    <t>servicetitan.com/press + LinkedIn company page + portersfiveforce.com analysis</t>
  </si>
  <si>
    <t>🔴 #1 THREAT</t>
  </si>
  <si>
    <t>FieldRoutes
(ServiceTitan family)</t>
  </si>
  <si>
    <t>FSM — Route-Based</t>
  </si>
  <si>
    <t>Pest control, lawn care, pool service. Route-based recurring service models. Small to mid-market.</t>
  </si>
  <si>
    <t>Purpose-built for route-based service businesses. Recurring revenue optimization. Customer retention tools. Part of ServiceTitan family since acquisition.</t>
  </si>
  <si>
    <t>Purpose-built for pest, lawn, pool. Recurring revenue platform. Route optimization. Customer portal and online booking.</t>
  </si>
  <si>
    <t>Bundled with ServiceTitan franchise push. Mosquito Shield (likely in use per FDD — multiple approved software). Route-based franchise networks. Less aggressive direct franchise outreach than ST.</t>
  </si>
  <si>
    <t>Mosquito Shield (likely — FDD notes multiple software approved). Various pest control franchise operators. Pool service networks.</t>
  </si>
  <si>
    <t>Mid-market pricing. Lower than full ST. Specific pricing not public. Per-technician or route-based.</t>
  </si>
  <si>
    <t>FieldRoutes.com content marketing. ServiceTitan ecosystem events. Trade publications (pest control, lawn). Limited LinkedIn presence vs ST parent.</t>
  </si>
  <si>
    <t>Limited to route-based trades — no emergency dispatch strength. No telematics integration. Less franchise infrastructure than ST. Being absorbed into ST brand may cause identity confusion.</t>
  </si>
  <si>
    <t>ServiceBridge covers both route AND emergency dispatch — FieldRoutes only does route. GPS Insight fleet integration is native. Better for multi-trade franchise networks (BELFOR brands need both restoration dispatch AND route pest).</t>
  </si>
  <si>
    <t>fieldroutes.com + ServiceTitan press releases + FDD analysis</t>
  </si>
  <si>
    <t>🟡 WATCH</t>
  </si>
  <si>
    <t>Jobber</t>
  </si>
  <si>
    <t>FSM — SMB</t>
  </si>
  <si>
    <t>Small businesses 1-20 techs. Solo operators to small crews. Landscaping, cleaning, HVAC, plumbing. Price-sensitive market.</t>
  </si>
  <si>
    <t>"Run stronger businesses, not just busier ones." Simple, affordable, mobile-first. Designed for the operator doing everything themselves. "29 million+ jobs completed."</t>
  </si>
  <si>
    <t>"I went from 20 customers to 60." "We've grown from $500K to nearly $3M per year — I would attribute a lot of that success to Jobber." "Saved at least 10 hours a week just doing payments." AI-powered Copilot coming.</t>
  </si>
  <si>
    <t>Limited franchise infrastructure. Has franchise reporting but described as lacking (90-day data limit). Not actively pursuing large franchise networks. Plus plan ($599/mo) positioned for franchises but weak vs ST.</t>
  </si>
  <si>
    <t>Independent operators. Some small franchise locations as individual accounts — not network-level mandates.</t>
  </si>
  <si>
    <t>Core $39/mo → Plus $599/mo. Per-user add-on $29/user. Annual discount up to 40%. Transparent public pricing. Most affordable FSM in the market.</t>
  </si>
  <si>
    <t>Google SEO. Social media (Instagram, Facebook targeting home service owners). $150K grant program (community/PR play). Jobber Blueprint educational content. Word-of-mouth/referral heavy.</t>
  </si>
  <si>
    <t>Not built for franchise networks. No franchisor dashboard. No PE exit math. No telematics. Per-user pricing gets expensive at scale. No insurance carrier documentation angle. AI features "coming soon" as of 2025.</t>
  </si>
  <si>
    <t>ServiceBridge is purpose-built for franchise networks — multi-unit owner dashboard, franchisor reporting, mandate deployment. Jobber is solo-operator software. GPS Insight integration adds fleet layer Jobber cannot match.</t>
  </si>
  <si>
    <t>getjobber.com + connecteam.com review + tekpon pricing analysis</t>
  </si>
  <si>
    <t>🟢 LOW — different segment</t>
  </si>
  <si>
    <t>Housecall Pro</t>
  </si>
  <si>
    <t>FSM — SMB/Mid</t>
  </si>
  <si>
    <t>Small-mid service businesses. HVAC, plumbing, cleaning. Growth-stage operators. Similar segment to Jobber but slightly larger.</t>
  </si>
  <si>
    <t>"The all-in-one platform for home service pros." Ease of use, fast setup, consumer financing (HCP Finance). Growth tools built in.</t>
  </si>
  <si>
    <t>Online booking, 2-way texting, automated follow-ups. Payment processing native. Consumer financing (HCP Finance). Strong mobile app.</t>
  </si>
  <si>
    <t>Limited. Some franchise support but not a primary market. Does not actively pursue franchisor mandates at PE level.</t>
  </si>
  <si>
    <t>Independent operators. Some regional franchise locations as individual accounts.</t>
  </si>
  <si>
    <t>Basic $49/mo → Max pricing on request. Transparent tiered pricing. Mid-range.</t>
  </si>
  <si>
    <t>Google + social media. Strong review presence (G2, Capterra). Content marketing for home service operators. Similar channels to Jobber.</t>
  </si>
  <si>
    <t>No franchise network infrastructure. No telematics. No PE exit math. No franchisor dashboard. Limited enterprise capability.</t>
  </si>
  <si>
    <t>Same as Jobber — ServiceBridge is franchise-native, GPS-integrated, and built for multi-unit deployment. Housecall Pro is individual operator software.</t>
  </si>
  <si>
    <t>housecallpro.com + G2 reviews + competitor comparison sites</t>
  </si>
  <si>
    <t>Salesforce Field Service</t>
  </si>
  <si>
    <t>Large enterprises. Multi-industry. Not home services specific. Requires Salesforce CRM foundation.</t>
  </si>
  <si>
    <t>#1 FSM on G2. AI-powered scheduling. Enterprise scale. Einstein AI built in. Full Salesforce ecosystem integration.</t>
  </si>
  <si>
    <t>AI-powered field service. Route optimization. Offline-first mobile. Best for enterprise requiring full CRM + FSM + ERP integration.</t>
  </si>
  <si>
    <t>Not actively targeting home service franchise networks. Too expensive and complex for typical franchise operator. May appear at large PE-owned service conglomerates.</t>
  </si>
  <si>
    <t>Large enterprise accounts. Not typically in home service franchise space.</t>
  </si>
  <si>
    <t>Enterprise — starts ~$150/user/month and up significantly. Full Salesforce licensing required.</t>
  </si>
  <si>
    <t>Salesforce ecosystem events (Dreamforce). Enterprise sales team. Digital marketing to enterprise IT buyers.</t>
  </si>
  <si>
    <t>Requires Salesforce CRM license — massive additional cost. Not home-service specific. Complex implementation. Overkill for franchise operators. No GPS telematics native.</t>
  </si>
  <si>
    <t>ServiceBridge purpose-built for franchise home service — no CRM license required, no 6-month implementation, GPS Insight native integration.</t>
  </si>
  <si>
    <t>salesforce.com/service/field-service + G2 analysis</t>
  </si>
  <si>
    <t>📡 HOW TO MONITOR COMPETITOR MESSAGING — Live Sources</t>
  </si>
  <si>
    <t>Meta Ad Library</t>
  </si>
  <si>
    <t>facebook.com/ads/library — Free. Search any competitor name to see every active Facebook/Instagram ad. Shows copy, creative, targeting signals. Updated in real time.</t>
  </si>
  <si>
    <t>LinkedIn Ad Library</t>
  </si>
  <si>
    <t>Go to competitor LinkedIn page → Posts → Ads tab. Shows all active sponsored content. Best for B2B franchise exec targeting.</t>
  </si>
  <si>
    <t>Google Ads Transparency</t>
  </si>
  <si>
    <t>adstransparency.google.com — See all active Google ads for any advertiser. Shows search and display copy.</t>
  </si>
  <si>
    <t>SpyFu</t>
  </si>
  <si>
    <t>spyfu.com — Shows competitor Google Ads history, keyword spend, top ad copy. Paid but affordable ($39/mo). Best for seeing what's working over time.</t>
  </si>
  <si>
    <t>Subscribe to their funnel</t>
  </si>
  <si>
    <t>Download their whitepapers. Sign up with a secondary email. Attend their webinars. Their full nurture sequence becomes visible in 2-3 weeks.</t>
  </si>
  <si>
    <t>G2 / Capterra reviews</t>
  </si>
  <si>
    <t>Read negative reviews on G2 and Capterra for each competitor. This tells you exactly what their customers complain about — those are your talking points.</t>
  </si>
  <si>
    <t>LinkedIn company page</t>
  </si>
  <si>
    <t>Follow ServiceTitan, Jobber, Housecall Pro, FieldRoutes. Watch their organic posts for messaging shifts, new product announcements, partnership news.</t>
  </si>
  <si>
    <t>🇺🇸  AMERICA'S 250TH ANNIVERSARY CAMPAIGN — GPS Insight × ServiceBridge × America 250 (1776–2026)</t>
  </si>
  <si>
    <t>🇺🇸  CAMPAIGN OVERVIEW</t>
  </si>
  <si>
    <t>"Built to Last — 250 Years of American Trades"
GPS Insight × ServiceBridge × America 250</t>
  </si>
  <si>
    <t>July 4, 2026 = America's 250th birthday (Semiquincentennial). White House Task Force 250 / Freedom 250 initiative is active. This is the most patriotic moment in a generation.
Our audience — franchise operators in the trades — are overwhelmingly patriotic, often military-adjacent, deeply connected to American small business culture. This is a genuine alignment between who they are and what we're celebrating.
America250.org is a bipartisan nonprofit supported by 350+ Congressional caucus members. Former Presidents Bush and Obama serve as Honorary Co-Chairs. This is not a partisan moment — it is a national one.</t>
  </si>
  <si>
    <t>Core Message</t>
  </si>
  <si>
    <t>Campaign Window</t>
  </si>
  <si>
    <t>May 1, 2026 through July 4, 2026 (peak). Momentum extends through end of 2026 per America250.org celebration calendar.</t>
  </si>
  <si>
    <t>May 1, 2026 — aligned with outreach start date. Handwritten letters arrive last week of April. Challenge coins ship with Tier 1 FedEx packages.</t>
  </si>
  <si>
    <t>✉️  HANDWRITTEN LETTER CAMPAIGN — Top 9 Franchisor Executives</t>
  </si>
  <si>
    <t>Personal, handwritten-style letter on premium letterhead delivered by FedEx to every CEO, COO, CFO, and VP Business Development at our Top 9 franchisor targets.
Arrives the week BEFORE our first outreach call — so when we call on May 1, they already have something physical from us in their hands.
NO vendor has done this. No SaaS company is sending handwritten letters to franchise CEOs. This is the differentiator.</t>
  </si>
  <si>
    <t>Letter Themes</t>
  </si>
  <si>
    <t>1. Honor the trades on America's 250th birthday
2. Reference their specific network (BELFOR restores American homes, Five Star builds American bathrooms, etc.)
3. Tie GPS Insight + ServiceBridge to the American small business story
4. Close with a personal invitation to a conversation — not a pitch
5. One sentence about the Insight Engine: "We've already run your network numbers — I'd like to share what we found."</t>
  </si>
  <si>
    <t>Signatories</t>
  </si>
  <si>
    <t>TIER 1 (BELFOR, Five Star, PSB): Signed by Mike Flynt + Charles Layne
TIER 2-3 (All others): Signed by Mike Flynt, Velocity GTM Co
⚠️ Charles Layne signature requires his approval and time — coordinate early.</t>
  </si>
  <si>
    <t>Recipients &amp; Volume</t>
  </si>
  <si>
    <t>9 franchisors × 4 contacts (CEO, COO, CFO, VP BD) = ~36 letters
Top contacts by account:
• BELFOR: Rusty Amarante (President BFG) · Sheldon Yellen (CEO) · Dan Tarantin (COO) · Beth Toenies (VP FD)
• Five Star: Scott Abbott (CEO) · Steve White (CFO) · Chad Jones (COO) · Derek DeBenedetto (Princeton PE)
• Threshold: Hagan Kappler (CEO — verify) · Andrea Hohermuth (COO)
• PSB: Paul Flick (CEO) · Roxanne Conrad (COO) · Gabe Colon (EVP)
• Authority: Jay Caiafa (CEO) · Tij Bedi (CTO)
• HomeFront: Jeff Dudan (CEO) · Zack Dudan (CGO)
• Empower: Scott Zide (CEO)
• ResiBrands: Steven Montgomery (CEO)
• Neighborly: Charles → Accel-KKR → KKR → Felix Gernburd ONLY</t>
  </si>
  <si>
    <t>Delivery Method</t>
  </si>
  <si>
    <t>FedEx Priority Overnight envelope. Arrive April 28-29, 2026 — 2-3 days before first call.
Budget: ~$200-300 (printing premium letterhead + FedEx × 36 packages)</t>
  </si>
  <si>
    <t>Status</t>
  </si>
  <si>
    <t>📝 LETTER DRAFTS NEEDED — ready to write per account when approved</t>
  </si>
  <si>
    <t>🪙  CHALLENGE COIN — Final Design v18 (LOCKED)</t>
  </si>
  <si>
    <t>GPS Insight / ServiceBridge Limited Edition Challenge Coin — America's 250th Anniversary
A die-struck antique silver challenge coin delivered with the handwritten letter to Tier 1 franchisor CEOs and PE operating partners. A challenge coin is something a person keeps. It sits on a desk. It gets picked up. It becomes a conversation starter.
This is not swag. This is a credibility artifact.</t>
  </si>
  <si>
    <t>FRONT FACE
(v18 FINAL)</t>
  </si>
  <si>
    <t>• Outer ring: Polished silver with reeded tick marks (60 ticks)
• Wide rim band: Dark navy enamel (#1A2B3C) — WHITE raised lettering
  - Top arc: "CELEBRATING 250 YEARS" ★
  - Bottom arc: "SEMIQUINCENTENNIAL" ★
• Black enamel center field
• AMERICA — large serif (30pt), wide letter-spacing
• 250 — large italic serif (90pt), red/white/blue diagonal stripe fill, silver outline
• Divider line
• TRADES BUILT AMERICA · 1776 — 2026
• Micro-line: GPSInsight · ServiceBridge</t>
  </si>
  <si>
    <t>BACK FACE
(v18 FINAL)</t>
  </si>
  <si>
    <t>Production Specs</t>
  </si>
  <si>
    <t>• Size: 1.5 inch diameter · 3mm thick
• Finish: Antique silver outer + dark navy hard enamel rim + black hard enamel center
• Process: Die struck, hard enamel fill (not printed — die struck is the authentic standard)
• Quantity: ~150 coins
• Unit cost: $5-7 each = $750-1,050 total
• Vendors: ChallengeCoins4Less.com · CoinandPins.com
• Lead time: 3-4 weeks from approved artwork</t>
  </si>
  <si>
    <t>Distribution Plan</t>
  </si>
  <si>
    <t>• Top 9 franchisor exec teams (CEO/COO/CFO/BD) = ~36 coins — delivered with FedEx letter
• PE operating partners in relationship map = ~14 coins (American Securities, Riverside, Princeton, MidOcean)
• Lunch &amp; Launch pilot participants = 20 coins × 3 cohorts = ~60 coins
• Charles Layne to distribute at his discretion = 20 coins
Total: ~130-150 coins</t>
  </si>
  <si>
    <t>Pending Actions
⚠️ REQUIRED</t>
  </si>
  <si>
    <t>1. ⚠️ Charles Layne sign-off on full design (REQUIRED before ordering)
2. ⚠️ GPS Insight brand guidelines confirm co-branded coin is approved
3. ⚠️ America 250 trademark license — apply at america250.org/licensing
4. ⚠️ Confirm navy enamel rim + GPS Insight dot colors per brand standards
5. ⚠️ Determine final distribution list with Charles</t>
  </si>
  <si>
    <t>💼  LINKEDIN CAMPAIGN — '250 Years of American Trades' Series</t>
  </si>
  <si>
    <t>Post 1 — May 1</t>
  </si>
  <si>
    <t>"In 1776, someone had to fix the plumbing at Independence Hall. The trades have been keeping America running for 250 years. Today we start a conversation about the technology they deserve."
[Image: GPS Insight + America 250 logo]
[Tag: @GPSInsight company page]</t>
  </si>
  <si>
    <t>Post 2 — May 15</t>
  </si>
  <si>
    <t>"BELFOR's 9,250 technicians responded to more American disasters last year than most people will ever see in a lifetime. These are the people we're proud to work with."
[Image: restoration crew at work — no faces]
[Tag: @BELFORFranchiseGroup if available]</t>
  </si>
  <si>
    <t>Post 3 — June 1
(Post-pilot data)</t>
  </si>
  <si>
    <t>"First cohort results: 20 franchise operators. 30 days. [X] jobs dispatched. [X] paid. Here's what they said."
[Fill in after Cohort 1 closes]
[Link to anonymized Cohort Report]</t>
  </si>
  <si>
    <t>Post 4 — July 4</t>
  </si>
  <si>
    <t>"Happy 250th Birthday, America. To every technician, operator, and franchise owner keeping this country running — this one's for you."
[Image: Challenge coin both sides]
[Tag: @GPSInsight @america250]</t>
  </si>
  <si>
    <t>Cadence &amp; Approach</t>
  </si>
  <si>
    <t>3 posts/week organic from Mike's personal LinkedIn. Always tag GPS Insight company page.
Engage with target accounts' posts 2 weeks BEFORE reaching out — warm the relationship first.
Phase 2 (July+): $500-1K/mo LinkedIn paid ads targeting franchise CEOs/CFOs/CTOs and PE operating partners.</t>
  </si>
  <si>
    <t>📍  WHERE TO BE — America 250 Events &amp; Activations</t>
  </si>
  <si>
    <t>July 4, 2026
National Event</t>
  </si>
  <si>
    <t>America's official 250th birthday. Largest synchronized 4th of July celebration in US history per america250.org.
Opportunity: Post the challenge coin + "Trades Built America" campaign on July 4. Peak patriotic social media moment. GPS Insight + ServiceBridge associated with the moment nationally.</t>
  </si>
  <si>
    <t>SBA Freedom 250
Main Street Tour</t>
  </si>
  <si>
    <t>The Small Business Administration is hosting the Freedom 250 Main Street and Small Business Tour throughout 2026, uniting local industries around a shared commitment to America's future.
Opportunity: Pitch GPS Insight + ServiceBridge as the technology backbone of Main Street trades businesses. Potential co-branding with SBA Freedom 250 tour stops.</t>
  </si>
  <si>
    <t>America 250
Licensing Program</t>
  </si>
  <si>
    <t>America250.org has an official licensing program for commercial use of the America 250 trademark and logo.
URL: america250.org
ACTION: Apply for license before using the official "250" ribbon logo on the challenge coin or any marketing material.
⚠️ Do NOT use the official America 250 mark without a license.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</si>
</sst>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2" x14ac:knownFonts="1">
    <font>
      <sz val="11"/>
      <color theme="1"/>
      <name val="Calibri"/>
      <family val="2"/>
      <charset val="1"/>
    </font>
    <font>
      <b/>
      <sz val="13"/>
      <color rgb="FFFFFFFF"/>
      <name val="Arial"/>
      <family val="2"/>
      <charset val="1"/>
    </font>
    <font>
      <sz val="9"/>
      <color rgb="FF8BAAC8"/>
      <name val="Arial"/>
      <family val="2"/>
      <charset val="1"/>
    </font>
    <font>
      <b/>
      <sz val="9"/>
      <color rgb="FFFFFFFF"/>
      <name val="Arial"/>
      <family val="2"/>
      <charset val="1"/>
    </font>
    <font>
      <b/>
      <sz val="11"/>
      <color rgb="FFFFFFFF"/>
      <name val="Arial"/>
      <family val="2"/>
      <charset val="1"/>
    </font>
    <font>
      <i/>
      <sz val="8"/>
      <color rgb="FFAACCFF"/>
      <name val="Arial"/>
      <family val="2"/>
      <charset val="1"/>
    </font>
    <font>
      <b/>
      <sz val="10"/>
      <color rgb="FF1A2B3C"/>
      <name val="Arial"/>
      <family val="2"/>
      <charset val="1"/>
    </font>
    <font>
      <b/>
      <sz val="11"/>
      <color rgb="FF1A2B3C"/>
      <name val="Arial"/>
      <family val="2"/>
      <charset val="1"/>
    </font>
    <font>
      <b/>
      <sz val="12"/>
      <color rgb="FF185FA5"/>
      <name val="Arial"/>
      <family val="2"/>
      <charset val="1"/>
    </font>
    <font>
      <b/>
      <sz val="10"/>
      <color rgb="FF3B6D11"/>
      <name val="Arial"/>
      <family val="2"/>
      <charset val="1"/>
    </font>
    <font>
      <b/>
      <sz val="9"/>
      <color rgb="FF000000"/>
      <name val="Arial"/>
      <family val="2"/>
      <charset val="1"/>
    </font>
    <font>
      <sz val="10"/>
      <color rgb="FF222222"/>
      <name val="Arial"/>
      <family val="2"/>
      <charset val="1"/>
    </font>
    <font>
      <sz val="9"/>
      <color rgb="FF888780"/>
      <name val="Arial"/>
      <family val="2"/>
      <charset val="1"/>
    </font>
    <font>
      <b/>
      <sz val="9"/>
      <color rgb="FFC45F00"/>
      <name val="Arial"/>
      <family val="2"/>
      <charset val="1"/>
    </font>
    <font>
      <i/>
      <sz val="8"/>
      <color rgb="FF8BAAC8"/>
      <name val="Arial"/>
      <family val="2"/>
      <charset val="1"/>
    </font>
    <font>
      <b/>
      <sz val="8"/>
      <color rgb="FFFFFFFF"/>
      <name val="Arial"/>
      <family val="2"/>
      <charset val="1"/>
    </font>
    <font>
      <b/>
      <sz val="9"/>
      <color rgb="FF185FA5"/>
      <name val="Arial"/>
      <family val="2"/>
      <charset val="1"/>
    </font>
    <font>
      <sz val="10"/>
      <color rgb="FF000000"/>
      <name val="Arial"/>
      <family val="2"/>
      <charset val="1"/>
    </font>
    <font>
      <i/>
      <sz val="8"/>
      <color rgb="FF555555"/>
      <name val="Arial"/>
      <family val="2"/>
      <charset val="1"/>
    </font>
    <font>
      <b/>
      <sz val="9"/>
      <color rgb="FF1A2B3C"/>
      <name val="Arial"/>
      <family val="2"/>
      <charset val="1"/>
    </font>
    <font>
      <b/>
      <sz val="10"/>
      <color rgb="FF888780"/>
      <name val="Arial"/>
      <family val="2"/>
      <charset val="1"/>
    </font>
    <font>
      <b/>
      <sz val="12"/>
      <color rgb="FF1A2B3C"/>
      <name val="Arial"/>
      <family val="2"/>
      <charset val="1"/>
    </font>
    <font>
      <sz val="10"/>
      <color rgb="FF3B6D11"/>
      <name val="Arial"/>
      <family val="2"/>
      <charset val="1"/>
    </font>
    <font>
      <sz val="8"/>
      <color rgb="FF888780"/>
      <name val="Arial"/>
      <family val="2"/>
      <charset val="1"/>
    </font>
    <font>
      <b/>
      <sz val="9"/>
      <color rgb="FF3B6D11"/>
      <name val="Arial"/>
      <family val="2"/>
      <charset val="1"/>
    </font>
    <font>
      <b/>
      <sz val="12"/>
      <color rgb="FF3B6D11"/>
      <name val="Arial"/>
      <family val="2"/>
      <charset val="1"/>
    </font>
    <font>
      <b/>
      <sz val="12"/>
      <color rgb="FFC45F00"/>
      <name val="Arial"/>
      <family val="2"/>
      <charset val="1"/>
    </font>
    <font>
      <sz val="9"/>
      <color rgb="FF222222"/>
      <name val="Arial"/>
      <family val="2"/>
      <charset val="1"/>
    </font>
    <font>
      <b/>
      <sz val="8"/>
      <color rgb="FF185FA5"/>
      <name val="Arial"/>
      <family val="2"/>
      <charset val="1"/>
    </font>
    <font>
      <b/>
      <sz val="8"/>
      <color rgb="FFC45F00"/>
      <name val="Arial"/>
      <family val="2"/>
      <charset val="1"/>
    </font>
    <font>
      <b/>
      <sz val="8"/>
      <color rgb="FFA32D2D"/>
      <name val="Arial"/>
      <family val="2"/>
      <charset val="1"/>
    </font>
    <font>
      <b/>
      <sz val="10"/>
      <color rgb="FFC45F00"/>
      <name val="Arial"/>
      <family val="2"/>
      <charset val="1"/>
    </font>
    <font>
      <sz val="9"/>
      <color rgb="FF333333"/>
      <name val="Arial"/>
      <family val="2"/>
      <charset val="1"/>
    </font>
    <font>
      <b/>
      <sz val="9"/>
      <color rgb="FF000000"/>
      <name val="Arial"/>
      <family val="2"/>
    </font>
    <font>
      <b/>
      <sz val="10"/>
      <color rgb="FFFFFFFF"/>
      <name val="Arial"/>
      <family val="2"/>
      <charset val="1"/>
    </font>
    <font>
      <sz val="9"/>
      <color rgb="FF1A2B3C"/>
      <name val="Arial"/>
      <family val="2"/>
      <charset val="1"/>
    </font>
    <font>
      <b/>
      <sz val="9"/>
      <color rgb="FFFFFFFF"/>
      <name val="Arial"/>
      <family val="2"/>
    </font>
    <font>
      <sz val="8"/>
      <color rgb="FFCCCCCC"/>
      <name val="Arial"/>
      <family val="2"/>
      <charset val="1"/>
    </font>
    <font>
      <sz val="8"/>
      <color rgb="FF185FA5"/>
      <name val="Arial"/>
      <family val="2"/>
    </font>
    <font>
      <i/>
      <sz val="8"/>
      <color rgb="FF185FA5"/>
      <name val="Arial"/>
      <family val="2"/>
      <charset val="1"/>
    </font>
    <font>
      <b/>
      <sz val="8"/>
      <color rgb="FF888780"/>
      <name val="Arial"/>
      <family val="2"/>
      <charset val="1"/>
    </font>
    <font>
      <sz val="8"/>
      <color rgb="FF333333"/>
      <name val="Arial"/>
      <family val="2"/>
      <charset val="1"/>
    </font>
    <font>
      <i/>
      <sz val="8"/>
      <color rgb="FF333333"/>
      <name val="Arial"/>
      <family val="2"/>
      <charset val="1"/>
    </font>
    <font>
      <sz val="8"/>
      <color rgb="FF7F6000"/>
      <name val="Arial"/>
      <family val="2"/>
    </font>
    <font>
      <b/>
      <sz val="8"/>
      <color rgb="FF1A3C1A"/>
      <name val="Arial"/>
      <family val="2"/>
    </font>
    <font>
      <sz val="8"/>
      <color rgb="FF8B0000"/>
      <name val="Arial"/>
      <family val="2"/>
    </font>
    <font>
      <i/>
      <sz val="8"/>
      <color rgb="FFFFAAAA"/>
      <name val="Arial"/>
      <family val="2"/>
      <charset val="1"/>
    </font>
    <font>
      <i/>
      <sz val="8"/>
      <color rgb="FFCCCCCC"/>
      <name val="Arial"/>
      <family val="2"/>
      <charset val="1"/>
    </font>
    <font>
      <b/>
      <sz val="10"/>
      <color rgb="FF000000"/>
      <name val="Arial"/>
      <family val="2"/>
    </font>
    <font>
      <b/>
      <sz val="8"/>
      <color rgb="FFFFFFFF"/>
      <name val="Arial"/>
      <family val="2"/>
    </font>
    <font>
      <b/>
      <sz val="12"/>
      <color rgb="FFFFFFFF"/>
      <name val="Arial"/>
      <family val="2"/>
      <charset val="1"/>
    </font>
    <font>
      <sz val="9"/>
      <color rgb="FF000000"/>
      <name val="Arial"/>
      <family val="2"/>
      <charset val="1"/>
    </font>
    <font>
      <sz val="8"/>
      <color rgb="FF222222"/>
      <name val="Arial"/>
      <family val="2"/>
      <charset val="1"/>
    </font>
    <font>
      <sz val="9"/>
      <color rgb="FF000000"/>
      <name val="Arial"/>
      <family val="2"/>
    </font>
    <font>
      <sz val="8"/>
      <color rgb="FF000000"/>
      <name val="Arial"/>
      <family val="2"/>
    </font>
    <font>
      <b/>
      <sz val="11"/>
      <color rgb="FFFFFFFF"/>
      <name val="Arial"/>
      <family val="2"/>
    </font>
    <font>
      <sz val="8"/>
      <color rgb="FF7F3F00"/>
      <name val="Arial"/>
      <family val="2"/>
    </font>
    <font>
      <sz val="8"/>
      <color rgb="FF065F46"/>
      <name val="Arial"/>
      <family val="2"/>
    </font>
    <font>
      <sz val="8"/>
      <color rgb="FF92400E"/>
      <name val="Arial"/>
      <family val="2"/>
    </font>
    <font>
      <sz val="8"/>
      <color rgb="FF991B1B"/>
      <name val="Arial"/>
      <family val="2"/>
    </font>
    <font>
      <b/>
      <sz val="11"/>
      <color rgb="FF000000"/>
      <name val="Arial"/>
      <family val="2"/>
    </font>
    <font>
      <sz val="8"/>
      <color rgb="FF555555"/>
      <name val="Arial"/>
      <family val="2"/>
    </font>
    <font>
      <i/>
      <sz val="8"/>
      <color rgb="FF555555"/>
      <name val="Arial"/>
      <family val="2"/>
    </font>
    <font>
      <i/>
      <sz val="8"/>
      <color rgb="FF7F3F00"/>
      <name val="Arial"/>
      <family val="2"/>
    </font>
    <font>
      <b/>
      <sz val="8"/>
      <color rgb="FF1A2B3C"/>
      <name val="Arial"/>
      <family val="2"/>
    </font>
    <font>
      <i/>
      <sz val="8"/>
      <color rgb="FF333333"/>
      <name val="Arial"/>
      <family val="2"/>
    </font>
    <font>
      <b/>
      <sz val="8"/>
      <color rgb="FF185FA5"/>
      <name val="Arial"/>
      <family val="2"/>
    </font>
    <font>
      <b/>
      <sz val="8"/>
      <color rgb="FF8B0000"/>
      <name val="Arial"/>
      <family val="2"/>
    </font>
    <font>
      <sz val="11"/>
      <color rgb="FF000000"/>
      <name val="Calibri"/>
      <family val="2"/>
    </font>
    <font>
      <sz val="9"/>
      <name val="Arial"/>
      <family val="2"/>
    </font>
    <font>
      <b/>
      <sz val="9"/>
      <color rgb="FF1A5276"/>
      <name val="Arial"/>
      <family val="2"/>
      <charset val="1"/>
    </font>
    <font>
      <i/>
      <sz val="8"/>
      <color rgb="FF888888"/>
      <name val="Arial"/>
      <family val="2"/>
    </font>
    <font>
      <i/>
      <sz val="8"/>
      <color rgb="FF8B0000"/>
      <name val="Arial"/>
      <family val="2"/>
    </font>
    <font>
      <b/>
      <sz val="8"/>
      <color rgb="FFC45F00"/>
      <name val="Arial"/>
      <family val="2"/>
    </font>
    <font>
      <b/>
      <sz val="10"/>
      <color rgb="FF7F6000"/>
      <name val="Arial"/>
      <family val="2"/>
    </font>
    <font>
      <b/>
      <sz val="10"/>
      <color rgb="FFFFFFFF"/>
      <name val="Arial"/>
      <family val="2"/>
    </font>
    <font>
      <b/>
      <sz val="9"/>
      <color rgb="FF888780"/>
      <name val="Arial"/>
      <family val="2"/>
      <charset val="1"/>
    </font>
    <font>
      <b/>
      <sz val="8"/>
      <color rgb="FF991B1B"/>
      <name val="Arial"/>
      <family val="2"/>
    </font>
    <font>
      <b/>
      <sz val="8"/>
      <color rgb="FF3B6D11"/>
      <name val="Arial"/>
      <family val="2"/>
      <charset val="1"/>
    </font>
    <font>
      <b/>
      <sz val="8"/>
      <color rgb="FF92400E"/>
      <name val="Arial"/>
      <family val="2"/>
    </font>
    <font>
      <sz val="8"/>
      <color rgb="FF1A3C1A"/>
      <name val="Arial"/>
      <family val="2"/>
    </font>
    <font>
      <b/>
      <sz val="9"/>
      <color rgb="FF2E4057"/>
      <name val="Arial"/>
      <family val="2"/>
      <charset val="1"/>
    </font>
    <font>
      <b/>
      <sz val="8"/>
      <color rgb="FF7F6000"/>
      <name val="Arial"/>
      <family val="2"/>
    </font>
    <font>
      <b/>
      <sz val="9"/>
      <color rgb="FF17202A"/>
      <name val="Arial"/>
      <family val="2"/>
      <charset val="1"/>
    </font>
    <font>
      <b/>
      <sz val="9"/>
      <color rgb="FF145A32"/>
      <name val="Arial"/>
      <family val="2"/>
      <charset val="1"/>
    </font>
    <font>
      <b/>
      <sz val="9"/>
      <color rgb="FF4A235A"/>
      <name val="Arial"/>
      <family val="2"/>
      <charset val="1"/>
    </font>
    <font>
      <b/>
      <sz val="8"/>
      <color rgb="FF148F77"/>
      <name val="Arial"/>
      <family val="2"/>
    </font>
    <font>
      <b/>
      <sz val="9"/>
      <color rgb="FF784212"/>
      <name val="Arial"/>
      <family val="2"/>
      <charset val="1"/>
    </font>
    <font>
      <b/>
      <sz val="9"/>
      <color rgb="FF7D6608"/>
      <name val="Arial"/>
      <family val="2"/>
      <charset val="1"/>
    </font>
    <font>
      <b/>
      <sz val="9"/>
      <color rgb="FF1B2631"/>
      <name val="Arial"/>
      <family val="2"/>
      <charset val="1"/>
    </font>
    <font>
      <i/>
      <sz val="9"/>
      <color rgb="FF185FA5"/>
      <name val="Arial"/>
      <family val="2"/>
      <charset val="1"/>
    </font>
    <font>
      <b/>
      <sz val="9"/>
      <color rgb="FF1A3A1A"/>
      <name val="Arial"/>
      <family val="2"/>
      <charset val="1"/>
    </font>
    <font>
      <sz val="9"/>
      <color rgb="FFA32D2D"/>
      <name val="Arial"/>
      <family val="2"/>
      <charset val="1"/>
    </font>
    <font>
      <sz val="9"/>
      <color rgb="FFFFFFFF"/>
      <name val="Arial"/>
      <family val="2"/>
    </font>
    <font>
      <b/>
      <sz val="9"/>
      <color rgb="FF185FA5"/>
      <name val="Arial"/>
      <family val="2"/>
    </font>
    <font>
      <b/>
      <sz val="9"/>
      <name val="Arial"/>
      <family val="2"/>
    </font>
    <font>
      <sz val="10"/>
      <color rgb="FF1A2B3C"/>
      <name val="Arial"/>
      <family val="2"/>
      <charset val="1"/>
    </font>
    <font>
      <b/>
      <sz val="9"/>
      <color rgb="FF111111"/>
      <name val="Arial"/>
      <family val="2"/>
      <charset val="1"/>
    </font>
    <font>
      <sz val="9"/>
      <color rgb="FF444444"/>
      <name val="Arial"/>
      <family val="2"/>
      <charset val="1"/>
    </font>
    <font>
      <sz val="9"/>
      <color rgb="FF0070C0"/>
      <name val="Arial"/>
      <family val="2"/>
    </font>
    <font>
      <i/>
      <sz val="9"/>
      <name val="Arial"/>
      <family val="2"/>
    </font>
    <font>
      <i/>
      <sz val="9"/>
      <color rgb="FFFFFFFF"/>
      <name val="Arial"/>
      <family val="2"/>
    </font>
    <font>
      <b/>
      <i/>
      <sz val="9"/>
      <color rgb="FF7F3F00"/>
      <name val="Arial"/>
      <family val="2"/>
    </font>
    <font>
      <sz val="9"/>
      <color rgb="FF185FA5"/>
      <name val="Arial"/>
      <family val="2"/>
    </font>
    <font>
      <sz val="8"/>
      <name val="Arial"/>
      <family val="2"/>
    </font>
    <font>
      <b/>
      <sz val="8"/>
      <name val="Arial"/>
      <family val="2"/>
    </font>
    <font>
      <i/>
      <sz val="8"/>
      <name val="Arial"/>
      <family val="2"/>
    </font>
    <font>
      <b/>
      <sz val="8"/>
      <color rgb="FF7F3F00"/>
      <name val="Arial"/>
      <family val="2"/>
    </font>
    <font>
      <b/>
      <sz val="12"/>
      <color rgb="FFFFFFFF"/>
      <name val="Arial"/>
      <family val="2"/>
    </font>
    <font>
      <b/>
      <sz val="11"/>
      <color rgb="FF7F6000"/>
      <name val="Arial"/>
      <family val="2"/>
    </font>
    <font>
      <b/>
      <sz val="12"/>
      <color rgb="FF000000"/>
      <name val="Arial"/>
      <family val="2"/>
    </font>
    <font>
      <b/>
      <sz val="13"/>
      <color rgb="FFFFFFFF"/>
      <name val="Arial"/>
      <family val="2"/>
    </font>
    <font>
      <b/>
      <sz val="9"/>
      <color rgb="FF1A2B3C"/>
      <name val="Arial"/>
      <family val="2"/>
    </font>
    <font>
      <sz val="9"/>
      <color rgb="FF333333"/>
      <name val="Arial"/>
      <family val="2"/>
    </font>
    <font>
      <sz val="8"/>
      <color rgb="FF1A2B3C"/>
      <name val="Arial"/>
      <family val="2"/>
    </font>
    <font>
      <i/>
      <sz val="8"/>
      <color rgb="FF7F0000"/>
      <name val="Arial"/>
      <family val="2"/>
    </font>
    <font>
      <b/>
      <sz val="9"/>
      <color rgb="FF991B1B"/>
      <name val="Arial"/>
      <family val="2"/>
    </font>
    <font>
      <b/>
      <sz val="9"/>
      <color rgb="FF92400E"/>
      <name val="Arial"/>
      <family val="2"/>
    </font>
    <font>
      <b/>
      <sz val="9"/>
      <color rgb="FF065F46"/>
      <name val="Arial"/>
      <family val="2"/>
    </font>
    <font>
      <sz val="9"/>
      <color rgb="FF222222"/>
      <name val="Arial"/>
      <family val="2"/>
    </font>
    <font>
      <sz val="8"/>
      <color rgb="FF222222"/>
      <name val="Arial"/>
      <family val="2"/>
    </font>
    <font>
      <b/>
      <sz val="9"/>
      <color rgb="FF222222"/>
      <name val="Arial"/>
      <family val="2"/>
    </font>
    <font>
      <sz val="9"/>
      <color rgb="FF991B1B"/>
      <name val="Arial"/>
      <family val="2"/>
    </font>
    <font>
      <sz val="9"/>
      <color rgb="FF92400E"/>
      <name val="Arial"/>
      <family val="2"/>
    </font>
    <font>
      <b/>
      <sz val="10"/>
      <color rgb="FFFFFFFF"/>
      <name val="Arial"/>
      <family val="2"/>
    </font>
    <font>
      <b/>
      <sz val="14"/>
      <color rgb="FF1A2B3C"/>
      <name val="Arial"/>
      <family val="2"/>
    </font>
    <font>
      <i/>
      <sz val="9"/>
      <color rgb="FF6B7A8B"/>
      <name val="Arial"/>
      <family val="2"/>
    </font>
    <font>
      <b/>
      <sz val="10"/>
      <color rgb="FFFFFFFF"/>
      <name val="Arial"/>
      <family val="2"/>
    </font>
    <font>
      <sz val="9"/>
      <color rgb="FF3A4A5C"/>
      <name val="Arial"/>
      <family val="2"/>
    </font>
    <font>
      <b/>
      <sz val="12"/>
      <color rgb="FF1A2B3C"/>
      <name val="Arial"/>
      <family val="2"/>
    </font>
    <font>
      <sz val="10"/>
      <color rgb="FF3A4A5C"/>
      <name val="Arial"/>
      <family val="2"/>
    </font>
    <font>
      <b/>
      <sz val="11"/>
      <color rgb="FF1A2B3C"/>
      <name val="Arial"/>
      <family val="2"/>
    </font>
  </fonts>
  <fills count="62">
    <fill>
      <patternFill patternType="none"/>
    </fill>
    <fill>
      <patternFill patternType="gray125"/>
    </fill>
    <fill>
      <patternFill patternType="mediumGray">
        <fgColor rgb="FF1A2A36"/>
        <bgColor rgb="FF1A2A3C"/>
      </patternFill>
    </fill>
    <fill>
      <patternFill patternType="mediumGray">
        <fgColor rgb="FF151C24"/>
        <bgColor rgb="FF17202A"/>
      </patternFill>
    </fill>
    <fill>
      <patternFill patternType="solid">
        <fgColor rgb="FFF4F6F9"/>
        <bgColor rgb="FFF5F5F5"/>
      </patternFill>
    </fill>
    <fill>
      <patternFill patternType="solid">
        <fgColor rgb="FFFFFFFF"/>
        <bgColor rgb="FFFDF5F5"/>
      </patternFill>
    </fill>
    <fill>
      <patternFill patternType="solid">
        <fgColor rgb="FF1F5C9E"/>
        <bgColor rgb="FF195EA4"/>
      </patternFill>
    </fill>
    <fill>
      <patternFill patternType="solid">
        <fgColor rgb="FF484A4B"/>
        <bgColor rgb="FF333333"/>
      </patternFill>
    </fill>
    <fill>
      <patternFill patternType="solid">
        <fgColor rgb="FF195EA4"/>
        <bgColor rgb="FF1F5C9E"/>
      </patternFill>
    </fill>
    <fill>
      <patternFill patternType="solid">
        <fgColor rgb="FFFFF8E1"/>
        <bgColor rgb="FFFEF9E7"/>
      </patternFill>
    </fill>
    <fill>
      <patternFill patternType="solid">
        <fgColor rgb="FF9C2112"/>
        <bgColor rgb="FF920705"/>
      </patternFill>
    </fill>
    <fill>
      <patternFill patternType="solid">
        <fgColor rgb="FFEAF3DE"/>
        <bgColor rgb="FFE2EFDA"/>
      </patternFill>
    </fill>
    <fill>
      <patternFill patternType="solid">
        <fgColor rgb="FFF5F5F5"/>
        <bgColor rgb="FFF4F6F9"/>
      </patternFill>
    </fill>
    <fill>
      <patternFill patternType="solid">
        <fgColor rgb="FFC45F00"/>
        <bgColor rgb="FFC05621"/>
      </patternFill>
    </fill>
    <fill>
      <patternFill patternType="solid">
        <fgColor rgb="FFE8F0FA"/>
        <bgColor rgb="FFEAF0F6"/>
      </patternFill>
    </fill>
    <fill>
      <patternFill patternType="darkGray">
        <fgColor rgb="FFFDF5F5"/>
        <bgColor rgb="FFF5F5F5"/>
      </patternFill>
    </fill>
    <fill>
      <patternFill patternType="solid">
        <fgColor rgb="FFFFF0CC"/>
        <bgColor rgb="FFFFF3CD"/>
      </patternFill>
    </fill>
    <fill>
      <patternFill patternType="solid">
        <fgColor rgb="FFD6EAF8"/>
        <bgColor rgb="FFE8EAF6"/>
      </patternFill>
    </fill>
    <fill>
      <patternFill patternType="solid">
        <fgColor rgb="FFE2EFDA"/>
        <bgColor rgb="FFEAF3DE"/>
      </patternFill>
    </fill>
    <fill>
      <patternFill patternType="solid">
        <fgColor rgb="FFFCE4D6"/>
        <bgColor rgb="FFFEE4D4"/>
      </patternFill>
    </fill>
    <fill>
      <patternFill patternType="darkGray">
        <fgColor rgb="FF898D96"/>
        <bgColor rgb="FF7F6200"/>
      </patternFill>
    </fill>
    <fill>
      <patternFill patternType="solid">
        <fgColor rgb="FFFFC000"/>
        <bgColor rgb="FFF39C12"/>
      </patternFill>
    </fill>
    <fill>
      <patternFill patternType="solid">
        <fgColor rgb="FFFFF3CD"/>
        <bgColor rgb="FFFFF0CC"/>
      </patternFill>
    </fill>
    <fill>
      <patternFill patternType="solid">
        <fgColor rgb="FF0B8C7C"/>
        <bgColor rgb="FF0D61A9"/>
      </patternFill>
    </fill>
    <fill>
      <patternFill patternType="solid">
        <fgColor rgb="FFF39C12"/>
        <bgColor rgb="FFFFC000"/>
      </patternFill>
    </fill>
    <fill>
      <patternFill patternType="solid">
        <fgColor rgb="FFE74C3C"/>
        <bgColor rgb="FFC05621"/>
      </patternFill>
    </fill>
    <fill>
      <patternFill patternType="darkGray">
        <fgColor rgb="FF0B8C7C"/>
        <bgColor rgb="FF0D61A9"/>
      </patternFill>
    </fill>
    <fill>
      <patternFill patternType="solid">
        <fgColor rgb="FF115184"/>
        <bgColor rgb="FF1F5C9E"/>
      </patternFill>
    </fill>
    <fill>
      <patternFill patternType="solid">
        <fgColor rgb="FFEAF0F6"/>
        <bgColor rgb="FFE8F0FA"/>
      </patternFill>
    </fill>
    <fill>
      <patternFill patternType="darkGray">
        <fgColor rgb="FF3D2551"/>
        <bgColor rgb="FF343035"/>
      </patternFill>
    </fill>
    <fill>
      <patternFill patternType="solid">
        <fgColor rgb="FFD4EDDA"/>
        <bgColor rgb="FFE2EFDA"/>
      </patternFill>
    </fill>
    <fill>
      <patternFill patternType="solid">
        <fgColor rgb="FF17202A"/>
        <bgColor rgb="FF151C24"/>
      </patternFill>
    </fill>
    <fill>
      <patternFill patternType="solid">
        <fgColor rgb="FFF2F3F4"/>
        <bgColor rgb="FFF5F5F5"/>
      </patternFill>
    </fill>
    <fill>
      <patternFill patternType="solid">
        <fgColor rgb="FF075D3A"/>
        <bgColor rgb="FF115184"/>
      </patternFill>
    </fill>
    <fill>
      <patternFill patternType="solid">
        <fgColor rgb="FFEAFAF3"/>
        <bgColor rgb="FFEBF5FB"/>
      </patternFill>
    </fill>
    <fill>
      <patternFill patternType="solid">
        <fgColor rgb="FF343035"/>
        <bgColor rgb="FF333333"/>
      </patternFill>
    </fill>
    <fill>
      <patternFill patternType="solid">
        <fgColor rgb="FFF5EEF8"/>
        <bgColor rgb="FFF2F3F4"/>
      </patternFill>
    </fill>
    <fill>
      <patternFill patternType="solid">
        <fgColor rgb="FF7D3F00"/>
        <bgColor rgb="FF92400E"/>
      </patternFill>
    </fill>
    <fill>
      <patternFill patternType="solid">
        <fgColor rgb="FFFEF9E7"/>
        <bgColor rgb="FFFFF8E1"/>
      </patternFill>
    </fill>
    <fill>
      <patternFill patternType="solid">
        <fgColor rgb="FF7F6200"/>
        <bgColor rgb="FF7D3F00"/>
      </patternFill>
    </fill>
    <fill>
      <patternFill patternType="solid">
        <fgColor rgb="FFFEFBD8"/>
        <bgColor rgb="FFFFF8E1"/>
      </patternFill>
    </fill>
    <fill>
      <patternFill patternType="solid">
        <fgColor rgb="FF1B2631"/>
        <bgColor rgb="FF1A2A36"/>
      </patternFill>
    </fill>
    <fill>
      <patternFill patternType="solid">
        <fgColor rgb="FFEBF5FB"/>
        <bgColor rgb="FFE8F4FD"/>
      </patternFill>
    </fill>
    <fill>
      <patternFill patternType="solid">
        <fgColor rgb="FFFDF5F5"/>
        <bgColor rgb="FFF5F5F5"/>
      </patternFill>
    </fill>
    <fill>
      <patternFill patternType="solid">
        <fgColor rgb="FFE8F4FD"/>
        <bgColor rgb="FFEBF5FB"/>
      </patternFill>
    </fill>
    <fill>
      <patternFill patternType="darkGray">
        <fgColor rgb="FFFEE4D4"/>
        <bgColor rgb="FFFCE4D6"/>
      </patternFill>
    </fill>
    <fill>
      <patternFill patternType="solid">
        <fgColor rgb="FF3B6D11"/>
        <bgColor rgb="FF484A4B"/>
      </patternFill>
    </fill>
    <fill>
      <patternFill patternType="solid">
        <fgColor rgb="FFFEE4D4"/>
        <bgColor rgb="FFFCE4D6"/>
      </patternFill>
    </fill>
    <fill>
      <patternFill patternType="solid">
        <fgColor rgb="FF1A2A3C"/>
        <bgColor rgb="FF1A2B3C"/>
      </patternFill>
    </fill>
    <fill>
      <patternFill patternType="darkGray">
        <fgColor rgb="FF0D61A9"/>
        <bgColor rgb="FF195EA4"/>
      </patternFill>
    </fill>
    <fill>
      <patternFill patternType="darkGray">
        <fgColor rgb="FF27266E"/>
        <bgColor rgb="FF3D2551"/>
      </patternFill>
    </fill>
    <fill>
      <patternFill patternType="solid">
        <fgColor rgb="FFC05621"/>
        <bgColor rgb="FFC45F00"/>
      </patternFill>
    </fill>
    <fill>
      <patternFill patternType="solid">
        <fgColor rgb="FFE8EAF6"/>
        <bgColor rgb="FFEDE9FE"/>
      </patternFill>
    </fill>
    <fill>
      <patternFill patternType="solid">
        <fgColor rgb="FFEDE9FE"/>
        <bgColor rgb="FFE8EAF6"/>
      </patternFill>
    </fill>
    <fill>
      <patternFill patternType="darkGray">
        <fgColor rgb="FF115184"/>
        <bgColor rgb="FF1F5C9E"/>
      </patternFill>
    </fill>
    <fill>
      <patternFill patternType="darkGray">
        <fgColor rgb="FF9C2112"/>
        <bgColor rgb="FF920705"/>
      </patternFill>
    </fill>
    <fill>
      <patternFill patternType="solid">
        <fgColor rgb="FF27266E"/>
        <bgColor rgb="FF3D2551"/>
      </patternFill>
    </fill>
    <fill>
      <patternFill patternType="solid">
        <fgColor rgb="FF1A2B3C"/>
        <bgColor rgb="FF1A2A3C"/>
      </patternFill>
    </fill>
    <fill>
      <patternFill patternType="solid">
        <fgColor rgb="FF3D2551"/>
        <bgColor rgb="FF343035"/>
      </patternFill>
    </fill>
    <fill>
      <patternFill patternType="solid">
        <fgColor rgb="FF4A235A"/>
      </patternFill>
    </fill>
    <fill>
      <patternFill patternType="solid">
        <fgColor rgb="FF1A2B3C"/>
      </patternFill>
    </fill>
    <fill>
      <patternFill patternType="solid">
        <fgColor rgb="FFF5F6F8"/>
      </patternFill>
    </fill>
  </fills>
  <borders count="6">
    <border>
      <left/>
      <right/>
      <top/>
      <bottom/>
      <diagonal/>
    </border>
    <border>
      <left style="thin">
        <color rgb="FFD4D3E0"/>
      </left>
      <right style="thin">
        <color rgb="FFD4D3E0"/>
      </right>
      <top style="thin">
        <color rgb="FFD4D3E0"/>
      </top>
      <bottom style="thin">
        <color rgb="FFD4D3E0"/>
      </bottom>
      <diagonal/>
    </border>
    <border>
      <left style="thin">
        <color rgb="FFD4D3E0"/>
      </left>
      <right/>
      <top style="thin">
        <color rgb="FFD4D3E0"/>
      </top>
      <bottom style="thin">
        <color rgb="FFD4D3E0"/>
      </bottom>
      <diagonal/>
    </border>
    <border>
      <left/>
      <right/>
      <top style="thin">
        <color rgb="FFD4D3E0"/>
      </top>
      <bottom style="thin">
        <color rgb="FFD4D3E0"/>
      </bottom>
      <diagonal/>
    </border>
    <border>
      <left/>
      <right style="thin">
        <color rgb="FFD4D3E0"/>
      </right>
      <top style="thin">
        <color rgb="FFD4D3E0"/>
      </top>
      <bottom style="thin">
        <color rgb="FFD4D3E0"/>
      </bottom>
      <diagonal/>
    </border>
    <border>
      <left style="thin">
        <color rgb="FFD0D5DD"/>
      </left>
      <right style="thin">
        <color rgb="FFD0D5DD"/>
      </right>
      <top style="thin">
        <color rgb="FFD0D5DD"/>
      </top>
      <bottom style="thin">
        <color rgb="FFD0D5DD"/>
      </bottom>
      <diagonal/>
    </border>
  </borders>
  <cellStyleXfs count="1">
    <xf numFmtId="0" fontId="0" fillId="0" borderId="0"/>
  </cellStyleXfs>
  <cellXfs count="517">
    <xf numFmtId="0" fontId="0" fillId="0" borderId="0" xfId="0"/>
    <xf numFmtId="0" fontId="3" fillId="2" borderId="1" xfId="0" applyFont="1" applyFill="1" applyBorder="1" applyAlignment="1">
      <alignment horizontal="center" vertical="center" wrapText="1"/>
    </xf>
    <xf numFmtId="0" fontId="3" fillId="2" borderId="0" xfId="0" applyFont="1" applyFill="1" applyAlignment="1">
      <alignment horizontal="left" vertical="center" wrapText="1"/>
    </xf>
    <xf numFmtId="0" fontId="6" fillId="4" borderId="1" xfId="0" applyFont="1" applyFill="1" applyBorder="1" applyAlignment="1">
      <alignment horizontal="left" vertical="center" wrapText="1"/>
    </xf>
    <xf numFmtId="0" fontId="0" fillId="4" borderId="1" xfId="0" applyFill="1" applyBorder="1"/>
    <xf numFmtId="3" fontId="7" fillId="4" borderId="1" xfId="0" applyNumberFormat="1" applyFont="1" applyFill="1" applyBorder="1" applyAlignment="1">
      <alignment horizontal="center" vertical="center" wrapText="1"/>
    </xf>
    <xf numFmtId="3" fontId="8" fillId="4" borderId="1" xfId="0" applyNumberFormat="1" applyFont="1" applyFill="1" applyBorder="1" applyAlignment="1">
      <alignment horizontal="center" vertical="center" wrapText="1"/>
    </xf>
    <xf numFmtId="9" fontId="9" fillId="4" borderId="1" xfId="0" applyNumberFormat="1" applyFont="1" applyFill="1" applyBorder="1" applyAlignment="1">
      <alignment horizontal="center" vertical="center" wrapText="1"/>
    </xf>
    <xf numFmtId="0" fontId="10" fillId="4" borderId="1" xfId="0" applyFont="1" applyFill="1" applyBorder="1" applyAlignment="1">
      <alignment horizontal="center" vertical="center" wrapText="1"/>
    </xf>
    <xf numFmtId="0" fontId="11" fillId="5" borderId="1" xfId="0" applyFont="1" applyFill="1" applyBorder="1" applyAlignment="1">
      <alignment horizontal="left" vertical="center" wrapText="1"/>
    </xf>
    <xf numFmtId="0" fontId="0" fillId="5" borderId="1" xfId="0" applyFill="1" applyBorder="1"/>
    <xf numFmtId="3" fontId="7" fillId="5" borderId="1" xfId="0" applyNumberFormat="1" applyFont="1" applyFill="1" applyBorder="1" applyAlignment="1">
      <alignment horizontal="center" vertical="center" wrapText="1"/>
    </xf>
    <xf numFmtId="3" fontId="8" fillId="5" borderId="1" xfId="0" applyNumberFormat="1" applyFont="1" applyFill="1" applyBorder="1" applyAlignment="1">
      <alignment horizontal="center" vertical="center" wrapText="1"/>
    </xf>
    <xf numFmtId="9" fontId="9" fillId="5" borderId="1" xfId="0" applyNumberFormat="1" applyFont="1" applyFill="1" applyBorder="1" applyAlignment="1">
      <alignment horizontal="center" vertical="center" wrapText="1"/>
    </xf>
    <xf numFmtId="0" fontId="10" fillId="5" borderId="1" xfId="0" applyFont="1" applyFill="1" applyBorder="1" applyAlignment="1">
      <alignment horizontal="center" vertical="center" wrapText="1"/>
    </xf>
    <xf numFmtId="0" fontId="11" fillId="4"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49" fontId="7" fillId="5" borderId="1" xfId="0" applyNumberFormat="1"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49" fontId="7" fillId="4" borderId="1" xfId="0" applyNumberFormat="1" applyFont="1" applyFill="1" applyBorder="1" applyAlignment="1">
      <alignment horizontal="center" vertical="center" wrapText="1"/>
    </xf>
    <xf numFmtId="9" fontId="8" fillId="4" borderId="1" xfId="0" applyNumberFormat="1" applyFont="1" applyFill="1" applyBorder="1" applyAlignment="1">
      <alignment horizontal="center" vertical="center" wrapText="1"/>
    </xf>
    <xf numFmtId="0" fontId="12" fillId="4" borderId="1" xfId="0" applyFont="1" applyFill="1" applyBorder="1" applyAlignment="1">
      <alignment horizontal="center" vertical="center" wrapText="1"/>
    </xf>
    <xf numFmtId="0" fontId="6" fillId="11" borderId="1" xfId="0" applyFont="1" applyFill="1" applyBorder="1" applyAlignment="1">
      <alignment horizontal="left" vertical="center" wrapText="1"/>
    </xf>
    <xf numFmtId="0" fontId="0" fillId="11" borderId="1" xfId="0" applyFill="1" applyBorder="1"/>
    <xf numFmtId="0" fontId="15" fillId="2" borderId="1" xfId="0" applyFont="1" applyFill="1" applyBorder="1" applyAlignment="1">
      <alignment horizontal="center" vertical="center" wrapText="1"/>
    </xf>
    <xf numFmtId="0" fontId="16" fillId="11" borderId="1" xfId="0" applyFont="1" applyFill="1" applyBorder="1" applyAlignment="1">
      <alignment horizontal="center" vertical="center" wrapText="1"/>
    </xf>
    <xf numFmtId="0" fontId="17" fillId="11" borderId="1" xfId="0" applyFont="1" applyFill="1" applyBorder="1" applyAlignment="1">
      <alignment horizontal="center" vertical="center" wrapText="1"/>
    </xf>
    <xf numFmtId="0" fontId="18" fillId="11" borderId="1" xfId="0" applyFont="1" applyFill="1" applyBorder="1" applyAlignment="1">
      <alignment horizontal="left" vertical="center" wrapText="1"/>
    </xf>
    <xf numFmtId="0" fontId="15" fillId="6"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8" fillId="4" borderId="1" xfId="0" applyFont="1" applyFill="1" applyBorder="1" applyAlignment="1">
      <alignment horizontal="left" vertical="center" wrapText="1"/>
    </xf>
    <xf numFmtId="0" fontId="6" fillId="12" borderId="1" xfId="0" applyFont="1" applyFill="1" applyBorder="1" applyAlignment="1">
      <alignment horizontal="left" vertical="center" wrapText="1"/>
    </xf>
    <xf numFmtId="0" fontId="0" fillId="12" borderId="1" xfId="0" applyFill="1" applyBorder="1"/>
    <xf numFmtId="0" fontId="15" fillId="7" borderId="1" xfId="0" applyFont="1" applyFill="1" applyBorder="1" applyAlignment="1">
      <alignment horizontal="center" vertical="center" wrapText="1"/>
    </xf>
    <xf numFmtId="0" fontId="16" fillId="12" borderId="1" xfId="0" applyFont="1" applyFill="1" applyBorder="1" applyAlignment="1">
      <alignment horizontal="center" vertical="center" wrapText="1"/>
    </xf>
    <xf numFmtId="0" fontId="17" fillId="12" borderId="1" xfId="0" applyFont="1" applyFill="1" applyBorder="1" applyAlignment="1">
      <alignment horizontal="center" vertical="center" wrapText="1"/>
    </xf>
    <xf numFmtId="0" fontId="18" fillId="12"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19" fillId="11" borderId="1" xfId="0" applyFont="1" applyFill="1" applyBorder="1" applyAlignment="1">
      <alignment horizontal="left" vertical="center" wrapText="1"/>
    </xf>
    <xf numFmtId="3" fontId="20" fillId="5" borderId="1" xfId="0" applyNumberFormat="1" applyFont="1" applyFill="1" applyBorder="1" applyAlignment="1">
      <alignment horizontal="center" vertical="center" wrapText="1"/>
    </xf>
    <xf numFmtId="3" fontId="21" fillId="5" borderId="1" xfId="0" applyNumberFormat="1" applyFont="1" applyFill="1" applyBorder="1" applyAlignment="1">
      <alignment horizontal="center" vertical="center" wrapText="1"/>
    </xf>
    <xf numFmtId="9" fontId="22" fillId="5" borderId="1" xfId="0" applyNumberFormat="1" applyFont="1" applyFill="1" applyBorder="1" applyAlignment="1">
      <alignment horizontal="center" vertical="center" wrapText="1"/>
    </xf>
    <xf numFmtId="0" fontId="23" fillId="5" borderId="1" xfId="0" applyFont="1" applyFill="1" applyBorder="1" applyAlignment="1">
      <alignment horizontal="center" vertical="center" wrapText="1"/>
    </xf>
    <xf numFmtId="0" fontId="24" fillId="11" borderId="1" xfId="0" applyFont="1" applyFill="1" applyBorder="1" applyAlignment="1">
      <alignment horizontal="left" vertical="center" wrapText="1"/>
    </xf>
    <xf numFmtId="3" fontId="20" fillId="4" borderId="1" xfId="0" applyNumberFormat="1" applyFont="1" applyFill="1" applyBorder="1" applyAlignment="1">
      <alignment horizontal="center" vertical="center" wrapText="1"/>
    </xf>
    <xf numFmtId="3" fontId="25" fillId="4" borderId="1" xfId="0" applyNumberFormat="1" applyFont="1" applyFill="1" applyBorder="1" applyAlignment="1">
      <alignment horizontal="center" vertical="center" wrapText="1"/>
    </xf>
    <xf numFmtId="9" fontId="22" fillId="4" borderId="1" xfId="0" applyNumberFormat="1" applyFont="1" applyFill="1" applyBorder="1" applyAlignment="1">
      <alignment horizontal="center" vertical="center" wrapText="1"/>
    </xf>
    <xf numFmtId="0" fontId="23" fillId="4" borderId="1" xfId="0" applyFont="1" applyFill="1" applyBorder="1" applyAlignment="1">
      <alignment horizontal="center" vertical="center" wrapText="1"/>
    </xf>
    <xf numFmtId="0" fontId="13" fillId="11" borderId="1" xfId="0" applyFont="1" applyFill="1" applyBorder="1" applyAlignment="1">
      <alignment horizontal="left" vertical="center" wrapText="1"/>
    </xf>
    <xf numFmtId="3" fontId="26" fillId="5" borderId="1" xfId="0" applyNumberFormat="1" applyFont="1" applyFill="1" applyBorder="1" applyAlignment="1">
      <alignment horizontal="center" vertical="center" wrapText="1"/>
    </xf>
    <xf numFmtId="0" fontId="16" fillId="11" borderId="1" xfId="0" applyFont="1" applyFill="1" applyBorder="1" applyAlignment="1">
      <alignment horizontal="left" vertical="center" wrapText="1"/>
    </xf>
    <xf numFmtId="0" fontId="27" fillId="5" borderId="1" xfId="0" applyFont="1" applyFill="1" applyBorder="1" applyAlignment="1">
      <alignment horizontal="left" vertical="center" wrapText="1"/>
    </xf>
    <xf numFmtId="3" fontId="6" fillId="5" borderId="1" xfId="0" applyNumberFormat="1" applyFont="1" applyFill="1" applyBorder="1" applyAlignment="1">
      <alignment horizontal="center" vertical="center" wrapText="1"/>
    </xf>
    <xf numFmtId="0" fontId="27" fillId="4" borderId="1" xfId="0" applyFont="1" applyFill="1" applyBorder="1" applyAlignment="1">
      <alignment horizontal="left" vertical="center" wrapText="1"/>
    </xf>
    <xf numFmtId="3" fontId="6" fillId="4" borderId="1" xfId="0" applyNumberFormat="1" applyFont="1" applyFill="1" applyBorder="1" applyAlignment="1">
      <alignment horizontal="center" vertical="center" wrapText="1"/>
    </xf>
    <xf numFmtId="0" fontId="19" fillId="11" borderId="1" xfId="0" applyFont="1" applyFill="1" applyBorder="1" applyAlignment="1">
      <alignment horizontal="left" vertical="top" wrapText="1"/>
    </xf>
    <xf numFmtId="0" fontId="19" fillId="4" borderId="1" xfId="0" applyFont="1" applyFill="1" applyBorder="1" applyAlignment="1">
      <alignment horizontal="left" vertical="top" wrapText="1"/>
    </xf>
    <xf numFmtId="0" fontId="15" fillId="13" borderId="1" xfId="0" applyFont="1" applyFill="1" applyBorder="1" applyAlignment="1">
      <alignment horizontal="center" vertical="center" wrapText="1"/>
    </xf>
    <xf numFmtId="0" fontId="28" fillId="14" borderId="1" xfId="0" applyFont="1" applyFill="1" applyBorder="1" applyAlignment="1">
      <alignment horizontal="center" vertical="center" wrapText="1"/>
    </xf>
    <xf numFmtId="0" fontId="29" fillId="9" borderId="1" xfId="0" applyFont="1" applyFill="1" applyBorder="1" applyAlignment="1">
      <alignment horizontal="center" vertical="center" wrapText="1"/>
    </xf>
    <xf numFmtId="0" fontId="30" fillId="15" borderId="1" xfId="0" applyFont="1" applyFill="1" applyBorder="1" applyAlignment="1">
      <alignment horizontal="left" vertical="top" wrapText="1"/>
    </xf>
    <xf numFmtId="0" fontId="15" fillId="10" borderId="1" xfId="0" applyFont="1" applyFill="1" applyBorder="1" applyAlignment="1">
      <alignment horizontal="center" vertical="center" wrapText="1"/>
    </xf>
    <xf numFmtId="0" fontId="15" fillId="8" borderId="1" xfId="0" applyFont="1" applyFill="1" applyBorder="1" applyAlignment="1">
      <alignment horizontal="center" vertical="center" wrapText="1"/>
    </xf>
    <xf numFmtId="0" fontId="31" fillId="9" borderId="2" xfId="0" applyFont="1" applyFill="1" applyBorder="1" applyAlignment="1">
      <alignment horizontal="left" vertical="center" wrapText="1"/>
    </xf>
    <xf numFmtId="0" fontId="0" fillId="0" borderId="3" xfId="0" applyBorder="1"/>
    <xf numFmtId="0" fontId="32" fillId="4" borderId="2" xfId="0" applyFont="1" applyFill="1" applyBorder="1" applyAlignment="1">
      <alignment horizontal="left" vertical="center" wrapText="1"/>
    </xf>
    <xf numFmtId="0" fontId="32" fillId="5" borderId="2" xfId="0" applyFont="1" applyFill="1" applyBorder="1" applyAlignment="1">
      <alignment horizontal="left" vertical="center" wrapText="1"/>
    </xf>
    <xf numFmtId="0" fontId="23" fillId="3" borderId="0" xfId="0" applyFont="1" applyFill="1" applyAlignment="1">
      <alignment horizontal="left" vertical="center" wrapText="1"/>
    </xf>
    <xf numFmtId="0" fontId="36" fillId="8" borderId="1" xfId="0" applyFont="1" applyFill="1" applyBorder="1" applyAlignment="1">
      <alignment horizontal="center" vertical="center" wrapText="1"/>
    </xf>
    <xf numFmtId="0" fontId="36" fillId="2" borderId="0" xfId="0" applyFont="1" applyFill="1" applyAlignment="1">
      <alignment horizontal="center" vertical="center" wrapText="1"/>
    </xf>
    <xf numFmtId="0" fontId="34" fillId="2" borderId="1" xfId="0" applyFont="1" applyFill="1" applyBorder="1" applyAlignment="1">
      <alignment horizontal="left" vertical="top" wrapText="1"/>
    </xf>
    <xf numFmtId="0" fontId="37" fillId="2" borderId="1" xfId="0" applyFont="1" applyFill="1" applyBorder="1" applyAlignment="1">
      <alignment horizontal="center" vertical="center" wrapText="1"/>
    </xf>
    <xf numFmtId="0" fontId="16" fillId="14" borderId="1" xfId="0" applyFont="1" applyFill="1" applyBorder="1" applyAlignment="1">
      <alignment horizontal="left" vertical="top" wrapText="1"/>
    </xf>
    <xf numFmtId="0" fontId="38" fillId="17" borderId="1" xfId="0" applyFont="1" applyFill="1" applyBorder="1" applyAlignment="1">
      <alignment horizontal="left" vertical="top" wrapText="1"/>
    </xf>
    <xf numFmtId="0" fontId="39" fillId="14" borderId="1" xfId="0" applyFont="1" applyFill="1" applyBorder="1" applyAlignment="1">
      <alignment horizontal="left" vertical="top" wrapText="1"/>
    </xf>
    <xf numFmtId="0" fontId="3" fillId="10" borderId="1" xfId="0" applyFont="1" applyFill="1" applyBorder="1" applyAlignment="1">
      <alignment horizontal="center" vertical="center" wrapText="1"/>
    </xf>
    <xf numFmtId="0" fontId="40" fillId="12" borderId="1" xfId="0" applyFont="1" applyFill="1" applyBorder="1" applyAlignment="1">
      <alignment horizontal="center" vertical="center" wrapText="1"/>
    </xf>
    <xf numFmtId="0" fontId="41" fillId="11" borderId="1" xfId="0" applyFont="1" applyFill="1" applyBorder="1" applyAlignment="1">
      <alignment horizontal="left" vertical="top" wrapText="1"/>
    </xf>
    <xf numFmtId="0" fontId="19" fillId="11" borderId="1" xfId="0" applyFont="1" applyFill="1" applyBorder="1" applyAlignment="1">
      <alignment horizontal="center" vertical="center" wrapText="1"/>
    </xf>
    <xf numFmtId="0" fontId="42" fillId="11" borderId="1" xfId="0" applyFont="1" applyFill="1" applyBorder="1" applyAlignment="1">
      <alignment horizontal="left" vertical="top" wrapText="1"/>
    </xf>
    <xf numFmtId="0" fontId="43" fillId="16" borderId="0" xfId="0" applyFont="1" applyFill="1" applyAlignment="1">
      <alignment horizontal="left" vertical="top" wrapText="1"/>
    </xf>
    <xf numFmtId="0" fontId="44" fillId="18" borderId="1" xfId="0" applyFont="1" applyFill="1" applyBorder="1" applyAlignment="1">
      <alignment horizontal="left" vertical="top" wrapText="1"/>
    </xf>
    <xf numFmtId="0" fontId="41" fillId="4" borderId="1" xfId="0" applyFont="1" applyFill="1" applyBorder="1" applyAlignment="1">
      <alignment horizontal="left" vertical="top" wrapText="1"/>
    </xf>
    <xf numFmtId="0" fontId="19" fillId="4" borderId="1" xfId="0" applyFont="1" applyFill="1" applyBorder="1" applyAlignment="1">
      <alignment horizontal="center" vertical="center" wrapText="1"/>
    </xf>
    <xf numFmtId="0" fontId="42" fillId="4" borderId="1" xfId="0" applyFont="1" applyFill="1" applyBorder="1" applyAlignment="1">
      <alignment horizontal="left" vertical="top" wrapText="1"/>
    </xf>
    <xf numFmtId="0" fontId="45" fillId="19" borderId="0" xfId="0" applyFont="1" applyFill="1" applyAlignment="1">
      <alignment horizontal="left" vertical="top" wrapText="1"/>
    </xf>
    <xf numFmtId="0" fontId="34" fillId="10" borderId="1" xfId="0" applyFont="1" applyFill="1" applyBorder="1" applyAlignment="1">
      <alignment horizontal="left" vertical="top" wrapText="1"/>
    </xf>
    <xf numFmtId="0" fontId="37" fillId="10"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4" fillId="6" borderId="1" xfId="0" applyFont="1" applyFill="1" applyBorder="1" applyAlignment="1">
      <alignment horizontal="left" vertical="top" wrapText="1"/>
    </xf>
    <xf numFmtId="0" fontId="37" fillId="6"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20" borderId="1" xfId="0" applyFont="1" applyFill="1" applyBorder="1" applyAlignment="1">
      <alignment horizontal="center" vertical="center" wrapText="1"/>
    </xf>
    <xf numFmtId="0" fontId="34" fillId="7" borderId="1" xfId="0" applyFont="1" applyFill="1" applyBorder="1" applyAlignment="1">
      <alignment horizontal="left" vertical="top" wrapText="1"/>
    </xf>
    <xf numFmtId="0" fontId="37" fillId="7" borderId="1" xfId="0" applyFont="1" applyFill="1" applyBorder="1" applyAlignment="1">
      <alignment horizontal="center" vertical="center" wrapText="1"/>
    </xf>
    <xf numFmtId="0" fontId="36" fillId="8" borderId="0" xfId="0" applyFont="1" applyFill="1" applyAlignment="1">
      <alignment horizontal="center" vertical="center" wrapText="1"/>
    </xf>
    <xf numFmtId="0" fontId="33" fillId="21" borderId="0" xfId="0" applyFont="1" applyFill="1" applyAlignment="1">
      <alignment horizontal="center" vertical="center" wrapText="1"/>
    </xf>
    <xf numFmtId="0" fontId="48" fillId="21" borderId="0" xfId="0" applyFont="1" applyFill="1" applyAlignment="1">
      <alignment horizontal="center" vertical="center" wrapText="1"/>
    </xf>
    <xf numFmtId="0" fontId="49" fillId="2" borderId="0" xfId="0" applyFont="1" applyFill="1" applyAlignment="1">
      <alignment horizontal="center" vertical="center" wrapText="1"/>
    </xf>
    <xf numFmtId="0" fontId="50" fillId="2" borderId="1" xfId="0" applyFont="1" applyFill="1" applyBorder="1" applyAlignment="1">
      <alignment horizontal="center" vertical="center" wrapText="1"/>
    </xf>
    <xf numFmtId="0" fontId="6" fillId="11" borderId="1" xfId="0" applyFont="1" applyFill="1" applyBorder="1" applyAlignment="1">
      <alignment horizontal="left" vertical="top" wrapText="1"/>
    </xf>
    <xf numFmtId="0" fontId="51" fillId="11" borderId="1" xfId="0" applyFont="1" applyFill="1" applyBorder="1" applyAlignment="1">
      <alignment horizontal="left" vertical="top" wrapText="1"/>
    </xf>
    <xf numFmtId="3" fontId="6" fillId="11" borderId="1" xfId="0" applyNumberFormat="1" applyFont="1" applyFill="1" applyBorder="1" applyAlignment="1">
      <alignment horizontal="center" vertical="center" wrapText="1"/>
    </xf>
    <xf numFmtId="0" fontId="9" fillId="11" borderId="1" xfId="0" applyFont="1" applyFill="1" applyBorder="1" applyAlignment="1">
      <alignment horizontal="center" vertical="center" wrapText="1"/>
    </xf>
    <xf numFmtId="0" fontId="52" fillId="11" borderId="1" xfId="0" applyFont="1" applyFill="1" applyBorder="1" applyAlignment="1">
      <alignment horizontal="left" vertical="top" wrapText="1"/>
    </xf>
    <xf numFmtId="0" fontId="18" fillId="11" borderId="1" xfId="0" applyFont="1" applyFill="1" applyBorder="1" applyAlignment="1">
      <alignment horizontal="left" vertical="top" wrapText="1"/>
    </xf>
    <xf numFmtId="0" fontId="53" fillId="17" borderId="0" xfId="0" applyFont="1" applyFill="1" applyAlignment="1">
      <alignment vertical="center" wrapText="1"/>
    </xf>
    <xf numFmtId="0" fontId="53" fillId="22" borderId="0" xfId="0" applyFont="1" applyFill="1" applyAlignment="1">
      <alignment horizontal="center" vertical="center" wrapText="1"/>
    </xf>
    <xf numFmtId="0" fontId="53" fillId="18" borderId="0" xfId="0" applyFont="1" applyFill="1" applyAlignment="1">
      <alignment vertical="center" wrapText="1"/>
    </xf>
    <xf numFmtId="0" fontId="54" fillId="18" borderId="0" xfId="0" applyFont="1" applyFill="1" applyAlignment="1">
      <alignment vertical="top" wrapText="1"/>
    </xf>
    <xf numFmtId="0" fontId="54" fillId="16" borderId="0" xfId="0" applyFont="1" applyFill="1" applyAlignment="1">
      <alignment vertical="top" wrapText="1"/>
    </xf>
    <xf numFmtId="0" fontId="55" fillId="23" borderId="0" xfId="0" applyFont="1" applyFill="1" applyAlignment="1">
      <alignment horizontal="center" vertical="center" wrapText="1"/>
    </xf>
    <xf numFmtId="0" fontId="56" fillId="16" borderId="0" xfId="0" applyFont="1" applyFill="1" applyAlignment="1">
      <alignment vertical="top" wrapText="1"/>
    </xf>
    <xf numFmtId="0" fontId="57" fillId="18" borderId="0" xfId="0" applyFont="1" applyFill="1" applyAlignment="1">
      <alignment vertical="top" wrapText="1"/>
    </xf>
    <xf numFmtId="0" fontId="58" fillId="16" borderId="0" xfId="0" applyFont="1" applyFill="1" applyAlignment="1">
      <alignment vertical="top" wrapText="1"/>
    </xf>
    <xf numFmtId="0" fontId="53" fillId="22" borderId="0" xfId="0" applyFont="1" applyFill="1" applyAlignment="1">
      <alignment vertical="center" wrapText="1"/>
    </xf>
    <xf numFmtId="0" fontId="54" fillId="22" borderId="0" xfId="0" applyFont="1" applyFill="1" applyAlignment="1">
      <alignment vertical="top" wrapText="1"/>
    </xf>
    <xf numFmtId="0" fontId="59" fillId="19" borderId="0" xfId="0" applyFont="1" applyFill="1" applyAlignment="1">
      <alignment vertical="top" wrapText="1"/>
    </xf>
    <xf numFmtId="0" fontId="53" fillId="18" borderId="0" xfId="0" applyFont="1" applyFill="1" applyAlignment="1">
      <alignment horizontal="center" vertical="center" wrapText="1"/>
    </xf>
    <xf numFmtId="0" fontId="60" fillId="24" borderId="0" xfId="0" applyFont="1" applyFill="1" applyAlignment="1">
      <alignment horizontal="center" vertical="center" wrapText="1"/>
    </xf>
    <xf numFmtId="0" fontId="50" fillId="6" borderId="1" xfId="0" applyFont="1" applyFill="1" applyBorder="1" applyAlignment="1">
      <alignment horizontal="center" vertical="center" wrapText="1"/>
    </xf>
    <xf numFmtId="0" fontId="6" fillId="4" borderId="1" xfId="0" applyFont="1" applyFill="1" applyBorder="1" applyAlignment="1">
      <alignment horizontal="left" vertical="top" wrapText="1"/>
    </xf>
    <xf numFmtId="0" fontId="51" fillId="4" borderId="1" xfId="0" applyFont="1" applyFill="1" applyBorder="1" applyAlignment="1">
      <alignment horizontal="left" vertical="top" wrapText="1"/>
    </xf>
    <xf numFmtId="0" fontId="9" fillId="4" borderId="1" xfId="0" applyFont="1" applyFill="1" applyBorder="1" applyAlignment="1">
      <alignment horizontal="center" vertical="center" wrapText="1"/>
    </xf>
    <xf numFmtId="0" fontId="52" fillId="4" borderId="1" xfId="0" applyFont="1" applyFill="1" applyBorder="1" applyAlignment="1">
      <alignment horizontal="left" vertical="top" wrapText="1"/>
    </xf>
    <xf numFmtId="0" fontId="18" fillId="4" borderId="1" xfId="0" applyFont="1" applyFill="1" applyBorder="1" applyAlignment="1">
      <alignment horizontal="left" vertical="top" wrapText="1"/>
    </xf>
    <xf numFmtId="0" fontId="61" fillId="12" borderId="0" xfId="0" applyFont="1" applyFill="1" applyAlignment="1">
      <alignment vertical="top" wrapText="1"/>
    </xf>
    <xf numFmtId="0" fontId="53" fillId="11" borderId="0" xfId="0" applyFont="1" applyFill="1" applyAlignment="1">
      <alignment vertical="center" wrapText="1"/>
    </xf>
    <xf numFmtId="0" fontId="54" fillId="17" borderId="0" xfId="0" applyFont="1" applyFill="1" applyAlignment="1">
      <alignment vertical="top" wrapText="1"/>
    </xf>
    <xf numFmtId="0" fontId="62" fillId="12" borderId="0" xfId="0" applyFont="1" applyFill="1" applyAlignment="1">
      <alignment vertical="top" wrapText="1"/>
    </xf>
    <xf numFmtId="0" fontId="63" fillId="16" borderId="0" xfId="0" applyFont="1" applyFill="1" applyAlignment="1">
      <alignment vertical="top" wrapText="1"/>
    </xf>
    <xf numFmtId="0" fontId="50" fillId="7" borderId="1" xfId="0" applyFont="1" applyFill="1" applyBorder="1" applyAlignment="1">
      <alignment horizontal="center" vertical="center" wrapText="1"/>
    </xf>
    <xf numFmtId="0" fontId="6" fillId="12" borderId="1" xfId="0" applyFont="1" applyFill="1" applyBorder="1" applyAlignment="1">
      <alignment horizontal="left" vertical="top" wrapText="1"/>
    </xf>
    <xf numFmtId="0" fontId="51" fillId="12" borderId="1" xfId="0" applyFont="1" applyFill="1" applyBorder="1" applyAlignment="1">
      <alignment horizontal="left" vertical="top" wrapText="1"/>
    </xf>
    <xf numFmtId="0" fontId="3" fillId="7" borderId="1" xfId="0" applyFont="1" applyFill="1" applyBorder="1" applyAlignment="1">
      <alignment horizontal="center" vertical="center" wrapText="1"/>
    </xf>
    <xf numFmtId="3" fontId="6" fillId="12" borderId="1" xfId="0" applyNumberFormat="1" applyFont="1" applyFill="1" applyBorder="1" applyAlignment="1">
      <alignment horizontal="center" vertical="center" wrapText="1"/>
    </xf>
    <xf numFmtId="0" fontId="9" fillId="12" borderId="1" xfId="0" applyFont="1" applyFill="1" applyBorder="1" applyAlignment="1">
      <alignment horizontal="center" vertical="center" wrapText="1"/>
    </xf>
    <xf numFmtId="0" fontId="64" fillId="18" borderId="1" xfId="0" applyFont="1" applyFill="1" applyBorder="1" applyAlignment="1">
      <alignment vertical="top" wrapText="1"/>
    </xf>
    <xf numFmtId="0" fontId="65" fillId="12" borderId="1" xfId="0" applyFont="1" applyFill="1" applyBorder="1" applyAlignment="1">
      <alignment vertical="top" wrapText="1"/>
    </xf>
    <xf numFmtId="0" fontId="52" fillId="12" borderId="1" xfId="0" applyFont="1" applyFill="1" applyBorder="1" applyAlignment="1">
      <alignment horizontal="left" vertical="top" wrapText="1"/>
    </xf>
    <xf numFmtId="0" fontId="66" fillId="17" borderId="1" xfId="0" applyFont="1" applyFill="1" applyBorder="1" applyAlignment="1">
      <alignment vertical="top" wrapText="1"/>
    </xf>
    <xf numFmtId="0" fontId="18" fillId="12" borderId="1" xfId="0" applyFont="1" applyFill="1" applyBorder="1" applyAlignment="1">
      <alignment horizontal="left" vertical="top" wrapText="1"/>
    </xf>
    <xf numFmtId="0" fontId="54" fillId="19" borderId="0" xfId="0" applyFont="1" applyFill="1" applyAlignment="1">
      <alignment vertical="top" wrapText="1"/>
    </xf>
    <xf numFmtId="0" fontId="55" fillId="25" borderId="0" xfId="0" applyFont="1" applyFill="1" applyAlignment="1">
      <alignment horizontal="center" vertical="center" wrapText="1"/>
    </xf>
    <xf numFmtId="0" fontId="67" fillId="19" borderId="0" xfId="0" applyFont="1" applyFill="1" applyAlignment="1">
      <alignment vertical="top" wrapText="1"/>
    </xf>
    <xf numFmtId="0" fontId="34" fillId="2" borderId="1" xfId="0" applyFont="1" applyFill="1" applyBorder="1" applyAlignment="1">
      <alignment horizontal="center" vertical="center" wrapText="1"/>
    </xf>
    <xf numFmtId="0" fontId="53" fillId="5" borderId="0" xfId="0" applyFont="1" applyFill="1"/>
    <xf numFmtId="0" fontId="68" fillId="0" borderId="0" xfId="0" applyFont="1"/>
    <xf numFmtId="0" fontId="69" fillId="5" borderId="0" xfId="0" applyFont="1" applyFill="1"/>
    <xf numFmtId="0" fontId="68" fillId="5" borderId="0" xfId="0" applyFont="1" applyFill="1"/>
    <xf numFmtId="0" fontId="36" fillId="2" borderId="1" xfId="0" applyFont="1" applyFill="1" applyBorder="1" applyAlignment="1">
      <alignment horizontal="center" vertical="center" wrapText="1"/>
    </xf>
    <xf numFmtId="0" fontId="36" fillId="26" borderId="1" xfId="0" applyFont="1" applyFill="1" applyBorder="1" applyAlignment="1">
      <alignment horizontal="center" vertical="center" wrapText="1"/>
    </xf>
    <xf numFmtId="0" fontId="33" fillId="21" borderId="1" xfId="0" applyFont="1" applyFill="1" applyBorder="1" applyAlignment="1">
      <alignment horizontal="center" vertical="center" wrapText="1"/>
    </xf>
    <xf numFmtId="0" fontId="49" fillId="8" borderId="1" xfId="0" applyFont="1" applyFill="1" applyBorder="1" applyAlignment="1">
      <alignment horizontal="center" vertical="center" wrapText="1"/>
    </xf>
    <xf numFmtId="0" fontId="49" fillId="8" borderId="0" xfId="0" applyFont="1" applyFill="1" applyAlignment="1">
      <alignment horizontal="center" vertical="center" wrapText="1"/>
    </xf>
    <xf numFmtId="0" fontId="69" fillId="5" borderId="0" xfId="0" applyFont="1" applyFill="1" applyAlignment="1">
      <alignment horizontal="center" vertical="center" wrapText="1"/>
    </xf>
    <xf numFmtId="0" fontId="36" fillId="5" borderId="0" xfId="0" applyFont="1" applyFill="1" applyAlignment="1">
      <alignment horizontal="center" vertical="center" wrapText="1"/>
    </xf>
    <xf numFmtId="0" fontId="34" fillId="27" borderId="1" xfId="0" applyFont="1" applyFill="1" applyBorder="1" applyAlignment="1">
      <alignment horizontal="center" vertical="center" wrapText="1"/>
    </xf>
    <xf numFmtId="0" fontId="70" fillId="17" borderId="1" xfId="0" applyFont="1" applyFill="1" applyBorder="1" applyAlignment="1">
      <alignment horizontal="left" vertical="top" wrapText="1"/>
    </xf>
    <xf numFmtId="0" fontId="15" fillId="27" borderId="1" xfId="0" applyFont="1" applyFill="1" applyBorder="1" applyAlignment="1">
      <alignment horizontal="center" vertical="center" wrapText="1"/>
    </xf>
    <xf numFmtId="0" fontId="51" fillId="17" borderId="1" xfId="0" applyFont="1" applyFill="1" applyBorder="1" applyAlignment="1">
      <alignment horizontal="left" vertical="top" wrapText="1"/>
    </xf>
    <xf numFmtId="0" fontId="10" fillId="17" borderId="1" xfId="0" applyFont="1" applyFill="1" applyBorder="1" applyAlignment="1">
      <alignment horizontal="center" vertical="center" wrapText="1"/>
    </xf>
    <xf numFmtId="0" fontId="29" fillId="17" borderId="1" xfId="0" applyFont="1" applyFill="1" applyBorder="1" applyAlignment="1">
      <alignment horizontal="center" vertical="center" wrapText="1"/>
    </xf>
    <xf numFmtId="0" fontId="16" fillId="17" borderId="1" xfId="0" applyFont="1" applyFill="1" applyBorder="1" applyAlignment="1">
      <alignment horizontal="center" vertical="center" wrapText="1"/>
    </xf>
    <xf numFmtId="0" fontId="53" fillId="19" borderId="0" xfId="0" applyFont="1" applyFill="1" applyAlignment="1">
      <alignment vertical="center" wrapText="1"/>
    </xf>
    <xf numFmtId="0" fontId="53" fillId="19" borderId="0" xfId="0" applyFont="1" applyFill="1" applyAlignment="1">
      <alignment horizontal="center" vertical="center" wrapText="1"/>
    </xf>
    <xf numFmtId="0" fontId="49" fillId="2" borderId="1" xfId="0" applyFont="1" applyFill="1" applyBorder="1" applyAlignment="1">
      <alignment vertical="top" wrapText="1"/>
    </xf>
    <xf numFmtId="0" fontId="71" fillId="5" borderId="1" xfId="0" applyFont="1" applyFill="1" applyBorder="1" applyAlignment="1">
      <alignment vertical="top" wrapText="1"/>
    </xf>
    <xf numFmtId="0" fontId="72" fillId="19" borderId="1" xfId="0" applyFont="1" applyFill="1" applyBorder="1" applyAlignment="1">
      <alignment vertical="top" wrapText="1"/>
    </xf>
    <xf numFmtId="0" fontId="73" fillId="9" borderId="1" xfId="0" applyFont="1" applyFill="1" applyBorder="1" applyAlignment="1">
      <alignment horizontal="center" vertical="center" wrapText="1"/>
    </xf>
    <xf numFmtId="0" fontId="53" fillId="17" borderId="1" xfId="0" applyFont="1" applyFill="1" applyBorder="1" applyAlignment="1">
      <alignment horizontal="left" vertical="top" wrapText="1"/>
    </xf>
    <xf numFmtId="0" fontId="53" fillId="17" borderId="0" xfId="0" applyFont="1" applyFill="1" applyAlignment="1">
      <alignment horizontal="left" vertical="top" wrapText="1"/>
    </xf>
    <xf numFmtId="0" fontId="62" fillId="17" borderId="0" xfId="0" applyFont="1" applyFill="1" applyAlignment="1">
      <alignment horizontal="left" vertical="top" wrapText="1"/>
    </xf>
    <xf numFmtId="0" fontId="69" fillId="5" borderId="0" xfId="0" applyFont="1" applyFill="1" applyAlignment="1">
      <alignment vertical="top" wrapText="1"/>
    </xf>
    <xf numFmtId="0" fontId="55" fillId="25" borderId="0" xfId="0" applyFont="1" applyFill="1" applyAlignment="1">
      <alignment horizontal="center" vertical="center"/>
    </xf>
    <xf numFmtId="0" fontId="74" fillId="16" borderId="0" xfId="0" applyFont="1" applyFill="1" applyAlignment="1">
      <alignment horizontal="center" vertical="center"/>
    </xf>
    <xf numFmtId="0" fontId="75" fillId="25" borderId="0" xfId="0" applyFont="1" applyFill="1" applyAlignment="1">
      <alignment horizontal="center" vertical="center" wrapText="1"/>
    </xf>
    <xf numFmtId="0" fontId="76" fillId="17" borderId="1" xfId="0" applyFont="1" applyFill="1" applyBorder="1" applyAlignment="1">
      <alignment horizontal="center" vertical="center" wrapText="1"/>
    </xf>
    <xf numFmtId="0" fontId="77" fillId="19" borderId="1" xfId="0" applyFont="1" applyFill="1" applyBorder="1" applyAlignment="1">
      <alignment vertical="top" wrapText="1"/>
    </xf>
    <xf numFmtId="0" fontId="78" fillId="17" borderId="1" xfId="0" applyFont="1" applyFill="1" applyBorder="1" applyAlignment="1">
      <alignment horizontal="center" vertical="center" wrapText="1"/>
    </xf>
    <xf numFmtId="0" fontId="79" fillId="16" borderId="1" xfId="0" applyFont="1" applyFill="1" applyBorder="1" applyAlignment="1">
      <alignment vertical="top" wrapText="1"/>
    </xf>
    <xf numFmtId="0" fontId="60" fillId="24" borderId="0" xfId="0" applyFont="1" applyFill="1" applyAlignment="1">
      <alignment horizontal="center" vertical="center"/>
    </xf>
    <xf numFmtId="0" fontId="48" fillId="24" borderId="0" xfId="0" applyFont="1" applyFill="1" applyAlignment="1">
      <alignment horizontal="center" vertical="center" wrapText="1"/>
    </xf>
    <xf numFmtId="0" fontId="19" fillId="28" borderId="1" xfId="0" applyFont="1" applyFill="1" applyBorder="1" applyAlignment="1">
      <alignment horizontal="left" vertical="top" wrapText="1"/>
    </xf>
    <xf numFmtId="0" fontId="51" fillId="28" borderId="1" xfId="0" applyFont="1" applyFill="1" applyBorder="1" applyAlignment="1">
      <alignment horizontal="left" vertical="top" wrapText="1"/>
    </xf>
    <xf numFmtId="0" fontId="10" fillId="28" borderId="1" xfId="0" applyFont="1" applyFill="1" applyBorder="1" applyAlignment="1">
      <alignment horizontal="center" vertical="center" wrapText="1"/>
    </xf>
    <xf numFmtId="0" fontId="78" fillId="28" borderId="1" xfId="0" applyFont="1" applyFill="1" applyBorder="1" applyAlignment="1">
      <alignment horizontal="center" vertical="center" wrapText="1"/>
    </xf>
    <xf numFmtId="0" fontId="53" fillId="28" borderId="1" xfId="0" applyFont="1" applyFill="1" applyBorder="1" applyAlignment="1">
      <alignment horizontal="left" vertical="top" wrapText="1"/>
    </xf>
    <xf numFmtId="0" fontId="53" fillId="28" borderId="0" xfId="0" applyFont="1" applyFill="1" applyAlignment="1">
      <alignment horizontal="left" vertical="top" wrapText="1"/>
    </xf>
    <xf numFmtId="0" fontId="62" fillId="28" borderId="0" xfId="0" applyFont="1" applyFill="1" applyAlignment="1">
      <alignment horizontal="left" vertical="top" wrapText="1"/>
    </xf>
    <xf numFmtId="0" fontId="43" fillId="16" borderId="0" xfId="0" applyFont="1" applyFill="1" applyAlignment="1">
      <alignment vertical="top" wrapText="1"/>
    </xf>
    <xf numFmtId="0" fontId="38" fillId="17" borderId="0" xfId="0" applyFont="1" applyFill="1" applyAlignment="1">
      <alignment vertical="top" wrapText="1"/>
    </xf>
    <xf numFmtId="0" fontId="16" fillId="28" borderId="1" xfId="0" applyFont="1" applyFill="1" applyBorder="1" applyAlignment="1">
      <alignment horizontal="center" vertical="center" wrapText="1"/>
    </xf>
    <xf numFmtId="0" fontId="80" fillId="18" borderId="0" xfId="0" applyFont="1" applyFill="1" applyAlignment="1">
      <alignment vertical="top" wrapText="1"/>
    </xf>
    <xf numFmtId="0" fontId="29" fillId="28" borderId="1" xfId="0" applyFont="1" applyFill="1" applyBorder="1" applyAlignment="1">
      <alignment horizontal="center" vertical="center" wrapText="1"/>
    </xf>
    <xf numFmtId="0" fontId="34" fillId="29" borderId="1" xfId="0" applyFont="1" applyFill="1" applyBorder="1" applyAlignment="1">
      <alignment horizontal="center" vertical="center" wrapText="1"/>
    </xf>
    <xf numFmtId="0" fontId="81" fillId="11" borderId="1" xfId="0" applyFont="1" applyFill="1" applyBorder="1" applyAlignment="1">
      <alignment horizontal="left" vertical="top" wrapText="1"/>
    </xf>
    <xf numFmtId="0" fontId="15" fillId="29"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78" fillId="11" borderId="1" xfId="0" applyFont="1" applyFill="1" applyBorder="1" applyAlignment="1">
      <alignment horizontal="center" vertical="center" wrapText="1"/>
    </xf>
    <xf numFmtId="0" fontId="24" fillId="30" borderId="1" xfId="0" applyFont="1" applyFill="1" applyBorder="1" applyAlignment="1">
      <alignment horizontal="center" vertical="center" wrapText="1"/>
    </xf>
    <xf numFmtId="0" fontId="57" fillId="18" borderId="1" xfId="0" applyFont="1" applyFill="1" applyBorder="1" applyAlignment="1">
      <alignment vertical="top" wrapText="1"/>
    </xf>
    <xf numFmtId="0" fontId="44" fillId="18" borderId="1" xfId="0" applyFont="1" applyFill="1" applyBorder="1" applyAlignment="1">
      <alignment vertical="top" wrapText="1"/>
    </xf>
    <xf numFmtId="0" fontId="82" fillId="16" borderId="1" xfId="0" applyFont="1" applyFill="1" applyBorder="1" applyAlignment="1">
      <alignment vertical="top" wrapText="1"/>
    </xf>
    <xf numFmtId="0" fontId="53" fillId="11" borderId="1" xfId="0" applyFont="1" applyFill="1" applyBorder="1" applyAlignment="1">
      <alignment horizontal="left" vertical="top" wrapText="1"/>
    </xf>
    <xf numFmtId="0" fontId="53" fillId="11" borderId="0" xfId="0" applyFont="1" applyFill="1" applyAlignment="1">
      <alignment horizontal="left" vertical="top" wrapText="1"/>
    </xf>
    <xf numFmtId="0" fontId="62" fillId="11" borderId="0" xfId="0" applyFont="1" applyFill="1" applyAlignment="1">
      <alignment horizontal="left" vertical="top" wrapText="1"/>
    </xf>
    <xf numFmtId="0" fontId="55" fillId="23" borderId="0" xfId="0" applyFont="1" applyFill="1" applyAlignment="1">
      <alignment horizontal="center" vertical="center"/>
    </xf>
    <xf numFmtId="0" fontId="75" fillId="23" borderId="0" xfId="0" applyFont="1" applyFill="1" applyAlignment="1">
      <alignment horizontal="center" vertical="center" wrapText="1"/>
    </xf>
    <xf numFmtId="0" fontId="53" fillId="17" borderId="0" xfId="0" applyFont="1" applyFill="1" applyAlignment="1">
      <alignment horizontal="center" vertical="center" wrapText="1"/>
    </xf>
    <xf numFmtId="0" fontId="38" fillId="17" borderId="1" xfId="0" applyFont="1" applyFill="1" applyBorder="1" applyAlignment="1">
      <alignment vertical="top" wrapText="1"/>
    </xf>
    <xf numFmtId="0" fontId="80" fillId="18" borderId="1" xfId="0" applyFont="1" applyFill="1" applyBorder="1" applyAlignment="1">
      <alignment vertical="top" wrapText="1"/>
    </xf>
    <xf numFmtId="0" fontId="34" fillId="31" borderId="1" xfId="0" applyFont="1" applyFill="1" applyBorder="1" applyAlignment="1">
      <alignment horizontal="center" vertical="center" wrapText="1"/>
    </xf>
    <xf numFmtId="0" fontId="83" fillId="32" borderId="1" xfId="0" applyFont="1" applyFill="1" applyBorder="1" applyAlignment="1">
      <alignment horizontal="left" vertical="top" wrapText="1"/>
    </xf>
    <xf numFmtId="0" fontId="15" fillId="31" borderId="1" xfId="0" applyFont="1" applyFill="1" applyBorder="1" applyAlignment="1">
      <alignment horizontal="center" vertical="center" wrapText="1"/>
    </xf>
    <xf numFmtId="0" fontId="51" fillId="32" borderId="1" xfId="0" applyFont="1" applyFill="1" applyBorder="1" applyAlignment="1">
      <alignment horizontal="left" vertical="top" wrapText="1"/>
    </xf>
    <xf numFmtId="0" fontId="10" fillId="32" borderId="1" xfId="0" applyFont="1" applyFill="1" applyBorder="1" applyAlignment="1">
      <alignment horizontal="center" vertical="center" wrapText="1"/>
    </xf>
    <xf numFmtId="0" fontId="78" fillId="32" borderId="1" xfId="0" applyFont="1" applyFill="1" applyBorder="1" applyAlignment="1">
      <alignment horizontal="center" vertical="center" wrapText="1"/>
    </xf>
    <xf numFmtId="0" fontId="53" fillId="32" borderId="1" xfId="0" applyFont="1" applyFill="1" applyBorder="1" applyAlignment="1">
      <alignment horizontal="left" vertical="top" wrapText="1"/>
    </xf>
    <xf numFmtId="0" fontId="53" fillId="32" borderId="0" xfId="0" applyFont="1" applyFill="1" applyAlignment="1">
      <alignment horizontal="left" vertical="top" wrapText="1"/>
    </xf>
    <xf numFmtId="0" fontId="62" fillId="32" borderId="0" xfId="0" applyFont="1" applyFill="1" applyAlignment="1">
      <alignment horizontal="left" vertical="top" wrapText="1"/>
    </xf>
    <xf numFmtId="0" fontId="38" fillId="14" borderId="0" xfId="0" applyFont="1" applyFill="1" applyAlignment="1">
      <alignment vertical="top" wrapText="1"/>
    </xf>
    <xf numFmtId="0" fontId="16" fillId="32" borderId="1" xfId="0" applyFont="1" applyFill="1" applyBorder="1" applyAlignment="1">
      <alignment horizontal="center" vertical="center" wrapText="1"/>
    </xf>
    <xf numFmtId="0" fontId="34" fillId="33" borderId="1" xfId="0" applyFont="1" applyFill="1" applyBorder="1" applyAlignment="1">
      <alignment horizontal="center" vertical="center" wrapText="1"/>
    </xf>
    <xf numFmtId="0" fontId="84" fillId="34" borderId="1" xfId="0" applyFont="1" applyFill="1" applyBorder="1" applyAlignment="1">
      <alignment horizontal="left" vertical="top" wrapText="1"/>
    </xf>
    <xf numFmtId="0" fontId="15" fillId="33" borderId="1" xfId="0" applyFont="1" applyFill="1" applyBorder="1" applyAlignment="1">
      <alignment horizontal="center" vertical="center" wrapText="1"/>
    </xf>
    <xf numFmtId="0" fontId="51" fillId="34" borderId="1" xfId="0" applyFont="1" applyFill="1" applyBorder="1" applyAlignment="1">
      <alignment horizontal="left" vertical="top" wrapText="1"/>
    </xf>
    <xf numFmtId="0" fontId="10" fillId="34" borderId="1" xfId="0" applyFont="1" applyFill="1" applyBorder="1" applyAlignment="1">
      <alignment horizontal="center" vertical="center" wrapText="1"/>
    </xf>
    <xf numFmtId="0" fontId="78" fillId="34" borderId="1" xfId="0" applyFont="1" applyFill="1" applyBorder="1" applyAlignment="1">
      <alignment horizontal="center" vertical="center" wrapText="1"/>
    </xf>
    <xf numFmtId="0" fontId="53" fillId="34" borderId="1" xfId="0" applyFont="1" applyFill="1" applyBorder="1" applyAlignment="1">
      <alignment horizontal="left" vertical="top" wrapText="1"/>
    </xf>
    <xf numFmtId="0" fontId="53" fillId="34" borderId="0" xfId="0" applyFont="1" applyFill="1" applyAlignment="1">
      <alignment horizontal="left" vertical="top" wrapText="1"/>
    </xf>
    <xf numFmtId="0" fontId="62" fillId="34" borderId="0" xfId="0" applyFont="1" applyFill="1" applyAlignment="1">
      <alignment horizontal="left" vertical="top" wrapText="1"/>
    </xf>
    <xf numFmtId="0" fontId="16" fillId="34" borderId="1" xfId="0" applyFont="1" applyFill="1" applyBorder="1" applyAlignment="1">
      <alignment horizontal="center" vertical="center" wrapText="1"/>
    </xf>
    <xf numFmtId="0" fontId="34" fillId="35" borderId="1" xfId="0" applyFont="1" applyFill="1" applyBorder="1" applyAlignment="1">
      <alignment horizontal="center" vertical="center" wrapText="1"/>
    </xf>
    <xf numFmtId="0" fontId="85" fillId="36" borderId="1" xfId="0" applyFont="1" applyFill="1" applyBorder="1" applyAlignment="1">
      <alignment horizontal="left" vertical="top" wrapText="1"/>
    </xf>
    <xf numFmtId="0" fontId="15" fillId="35" borderId="1" xfId="0" applyFont="1" applyFill="1" applyBorder="1" applyAlignment="1">
      <alignment horizontal="center" vertical="center" wrapText="1"/>
    </xf>
    <xf numFmtId="0" fontId="51" fillId="36" borderId="1" xfId="0" applyFont="1" applyFill="1" applyBorder="1" applyAlignment="1">
      <alignment horizontal="left" vertical="top" wrapText="1"/>
    </xf>
    <xf numFmtId="0" fontId="10" fillId="36" borderId="1" xfId="0" applyFont="1" applyFill="1" applyBorder="1" applyAlignment="1">
      <alignment horizontal="center" vertical="center" wrapText="1"/>
    </xf>
    <xf numFmtId="0" fontId="78" fillId="36" borderId="1" xfId="0" applyFont="1" applyFill="1" applyBorder="1" applyAlignment="1">
      <alignment horizontal="center" vertical="center" wrapText="1"/>
    </xf>
    <xf numFmtId="0" fontId="53" fillId="36" borderId="1" xfId="0" applyFont="1" applyFill="1" applyBorder="1" applyAlignment="1">
      <alignment horizontal="left" vertical="top" wrapText="1"/>
    </xf>
    <xf numFmtId="0" fontId="53" fillId="36" borderId="0" xfId="0" applyFont="1" applyFill="1" applyAlignment="1">
      <alignment horizontal="left" vertical="top" wrapText="1"/>
    </xf>
    <xf numFmtId="0" fontId="62" fillId="36" borderId="0" xfId="0" applyFont="1" applyFill="1" applyAlignment="1">
      <alignment horizontal="left" vertical="top" wrapText="1"/>
    </xf>
    <xf numFmtId="0" fontId="86" fillId="0" borderId="1" xfId="0" applyFont="1" applyBorder="1" applyAlignment="1">
      <alignment vertical="top" wrapText="1"/>
    </xf>
    <xf numFmtId="0" fontId="16" fillId="36" borderId="1" xfId="0" applyFont="1" applyFill="1" applyBorder="1" applyAlignment="1">
      <alignment horizontal="center" vertical="center" wrapText="1"/>
    </xf>
    <xf numFmtId="0" fontId="76" fillId="36" borderId="1" xfId="0" applyFont="1" applyFill="1" applyBorder="1" applyAlignment="1">
      <alignment horizontal="center" vertical="center" wrapText="1"/>
    </xf>
    <xf numFmtId="0" fontId="34" fillId="37" borderId="1" xfId="0" applyFont="1" applyFill="1" applyBorder="1" applyAlignment="1">
      <alignment horizontal="center" vertical="center" wrapText="1"/>
    </xf>
    <xf numFmtId="0" fontId="87" fillId="38" borderId="1" xfId="0" applyFont="1" applyFill="1" applyBorder="1" applyAlignment="1">
      <alignment horizontal="left" vertical="top" wrapText="1"/>
    </xf>
    <xf numFmtId="0" fontId="15" fillId="37" borderId="1" xfId="0" applyFont="1" applyFill="1" applyBorder="1" applyAlignment="1">
      <alignment horizontal="center" vertical="center" wrapText="1"/>
    </xf>
    <xf numFmtId="0" fontId="51" fillId="38" borderId="1" xfId="0" applyFont="1" applyFill="1" applyBorder="1" applyAlignment="1">
      <alignment horizontal="left" vertical="top" wrapText="1"/>
    </xf>
    <xf numFmtId="0" fontId="10" fillId="38" borderId="1" xfId="0" applyFont="1" applyFill="1" applyBorder="1" applyAlignment="1">
      <alignment horizontal="center" vertical="center" wrapText="1"/>
    </xf>
    <xf numFmtId="0" fontId="78" fillId="38" borderId="1" xfId="0" applyFont="1" applyFill="1" applyBorder="1" applyAlignment="1">
      <alignment horizontal="center" vertical="center" wrapText="1"/>
    </xf>
    <xf numFmtId="0" fontId="53" fillId="38" borderId="1" xfId="0" applyFont="1" applyFill="1" applyBorder="1" applyAlignment="1">
      <alignment horizontal="left" vertical="top" wrapText="1"/>
    </xf>
    <xf numFmtId="0" fontId="53" fillId="38" borderId="0" xfId="0" applyFont="1" applyFill="1" applyAlignment="1">
      <alignment horizontal="left" vertical="top" wrapText="1"/>
    </xf>
    <xf numFmtId="0" fontId="62" fillId="38" borderId="0" xfId="0" applyFont="1" applyFill="1" applyAlignment="1">
      <alignment horizontal="left" vertical="top" wrapText="1"/>
    </xf>
    <xf numFmtId="0" fontId="34" fillId="39" borderId="1" xfId="0" applyFont="1" applyFill="1" applyBorder="1" applyAlignment="1">
      <alignment horizontal="center" vertical="center" wrapText="1"/>
    </xf>
    <xf numFmtId="0" fontId="88" fillId="40" borderId="1" xfId="0" applyFont="1" applyFill="1" applyBorder="1" applyAlignment="1">
      <alignment horizontal="left" vertical="top" wrapText="1"/>
    </xf>
    <xf numFmtId="0" fontId="15" fillId="39" borderId="1" xfId="0" applyFont="1" applyFill="1" applyBorder="1" applyAlignment="1">
      <alignment horizontal="center" vertical="center" wrapText="1"/>
    </xf>
    <xf numFmtId="0" fontId="51" fillId="40" borderId="1" xfId="0" applyFont="1" applyFill="1" applyBorder="1" applyAlignment="1">
      <alignment horizontal="left" vertical="top" wrapText="1"/>
    </xf>
    <xf numFmtId="0" fontId="10" fillId="40" borderId="1" xfId="0" applyFont="1" applyFill="1" applyBorder="1" applyAlignment="1">
      <alignment horizontal="center" vertical="center" wrapText="1"/>
    </xf>
    <xf numFmtId="0" fontId="78" fillId="40" borderId="1" xfId="0" applyFont="1" applyFill="1" applyBorder="1" applyAlignment="1">
      <alignment horizontal="center" vertical="center" wrapText="1"/>
    </xf>
    <xf numFmtId="0" fontId="53" fillId="40" borderId="1" xfId="0" applyFont="1" applyFill="1" applyBorder="1" applyAlignment="1">
      <alignment horizontal="left" vertical="top" wrapText="1"/>
    </xf>
    <xf numFmtId="0" fontId="53" fillId="40" borderId="0" xfId="0" applyFont="1" applyFill="1" applyAlignment="1">
      <alignment horizontal="left" vertical="top" wrapText="1"/>
    </xf>
    <xf numFmtId="0" fontId="62" fillId="40" borderId="0" xfId="0" applyFont="1" applyFill="1" applyAlignment="1">
      <alignment horizontal="left" vertical="top" wrapText="1"/>
    </xf>
    <xf numFmtId="0" fontId="16" fillId="40" borderId="1" xfId="0" applyFont="1" applyFill="1" applyBorder="1" applyAlignment="1">
      <alignment horizontal="center" vertical="center" wrapText="1"/>
    </xf>
    <xf numFmtId="0" fontId="76" fillId="40" borderId="1" xfId="0" applyFont="1" applyFill="1" applyBorder="1" applyAlignment="1">
      <alignment horizontal="center" vertical="center" wrapText="1"/>
    </xf>
    <xf numFmtId="0" fontId="34" fillId="41" borderId="1" xfId="0" applyFont="1" applyFill="1" applyBorder="1" applyAlignment="1">
      <alignment horizontal="center" vertical="center" wrapText="1"/>
    </xf>
    <xf numFmtId="0" fontId="89" fillId="42" borderId="1" xfId="0" applyFont="1" applyFill="1" applyBorder="1" applyAlignment="1">
      <alignment horizontal="left" vertical="top" wrapText="1"/>
    </xf>
    <xf numFmtId="0" fontId="15" fillId="41" borderId="1" xfId="0" applyFont="1" applyFill="1" applyBorder="1" applyAlignment="1">
      <alignment horizontal="center" vertical="center" wrapText="1"/>
    </xf>
    <xf numFmtId="0" fontId="51" fillId="42" borderId="1" xfId="0" applyFont="1" applyFill="1" applyBorder="1" applyAlignment="1">
      <alignment horizontal="left" vertical="top" wrapText="1"/>
    </xf>
    <xf numFmtId="0" fontId="10" fillId="42" borderId="1" xfId="0" applyFont="1" applyFill="1" applyBorder="1" applyAlignment="1">
      <alignment horizontal="center" vertical="center" wrapText="1"/>
    </xf>
    <xf numFmtId="0" fontId="78" fillId="42" borderId="1" xfId="0" applyFont="1" applyFill="1" applyBorder="1" applyAlignment="1">
      <alignment horizontal="center" vertical="center" wrapText="1"/>
    </xf>
    <xf numFmtId="0" fontId="53" fillId="42" borderId="1" xfId="0" applyFont="1" applyFill="1" applyBorder="1" applyAlignment="1">
      <alignment horizontal="left" vertical="top" wrapText="1"/>
    </xf>
    <xf numFmtId="0" fontId="53" fillId="42" borderId="0" xfId="0" applyFont="1" applyFill="1" applyAlignment="1">
      <alignment horizontal="left" vertical="top" wrapText="1"/>
    </xf>
    <xf numFmtId="0" fontId="62" fillId="42" borderId="0" xfId="0" applyFont="1" applyFill="1" applyAlignment="1">
      <alignment horizontal="left" vertical="top" wrapText="1"/>
    </xf>
    <xf numFmtId="0" fontId="16" fillId="42" borderId="1" xfId="0" applyFont="1" applyFill="1" applyBorder="1" applyAlignment="1">
      <alignment horizontal="center" vertical="center" wrapText="1"/>
    </xf>
    <xf numFmtId="0" fontId="51" fillId="11" borderId="1" xfId="0" applyFont="1" applyFill="1" applyBorder="1" applyAlignment="1">
      <alignment horizontal="center" vertical="center" wrapText="1"/>
    </xf>
    <xf numFmtId="0" fontId="91" fillId="9" borderId="1" xfId="0" applyFont="1" applyFill="1" applyBorder="1" applyAlignment="1">
      <alignment horizontal="left" vertical="top" wrapText="1"/>
    </xf>
    <xf numFmtId="0" fontId="92" fillId="43" borderId="1" xfId="0" applyFont="1" applyFill="1" applyBorder="1" applyAlignment="1">
      <alignment horizontal="left" vertical="top" wrapText="1"/>
    </xf>
    <xf numFmtId="0" fontId="91" fillId="30" borderId="1" xfId="0" applyFont="1" applyFill="1" applyBorder="1" applyAlignment="1">
      <alignment horizontal="left" vertical="top" wrapText="1"/>
    </xf>
    <xf numFmtId="0" fontId="34" fillId="8" borderId="1" xfId="0" applyFont="1" applyFill="1" applyBorder="1" applyAlignment="1">
      <alignment horizontal="center" vertical="center" wrapText="1"/>
    </xf>
    <xf numFmtId="0" fontId="19" fillId="44" borderId="1" xfId="0" applyFont="1" applyFill="1" applyBorder="1" applyAlignment="1">
      <alignment horizontal="center" vertical="center" wrapText="1"/>
    </xf>
    <xf numFmtId="0" fontId="19" fillId="44" borderId="1" xfId="0" applyFont="1" applyFill="1" applyBorder="1" applyAlignment="1">
      <alignment horizontal="left" vertical="top" wrapText="1"/>
    </xf>
    <xf numFmtId="0" fontId="51" fillId="44" borderId="1" xfId="0" applyFont="1" applyFill="1" applyBorder="1" applyAlignment="1">
      <alignment horizontal="left" vertical="top" wrapText="1"/>
    </xf>
    <xf numFmtId="0" fontId="51" fillId="44" borderId="1" xfId="0" applyFont="1" applyFill="1" applyBorder="1" applyAlignment="1">
      <alignment horizontal="center" vertical="center" wrapText="1"/>
    </xf>
    <xf numFmtId="0" fontId="42" fillId="44" borderId="1" xfId="0" applyFont="1" applyFill="1" applyBorder="1" applyAlignment="1">
      <alignment horizontal="left" vertical="top" wrapText="1"/>
    </xf>
    <xf numFmtId="0" fontId="53" fillId="11" borderId="1" xfId="0" applyFont="1" applyFill="1" applyBorder="1" applyAlignment="1">
      <alignment horizontal="left" vertical="center" wrapText="1"/>
    </xf>
    <xf numFmtId="0" fontId="93" fillId="27" borderId="1" xfId="0" applyFont="1" applyFill="1" applyBorder="1" applyAlignment="1">
      <alignment horizontal="left" vertical="center" wrapText="1"/>
    </xf>
    <xf numFmtId="0" fontId="36" fillId="27" borderId="1" xfId="0" applyFont="1" applyFill="1" applyBorder="1" applyAlignment="1">
      <alignment horizontal="left" vertical="center" wrapText="1"/>
    </xf>
    <xf numFmtId="0" fontId="53" fillId="14" borderId="1" xfId="0" applyFont="1" applyFill="1" applyBorder="1" applyAlignment="1">
      <alignment horizontal="left" vertical="center" wrapText="1"/>
    </xf>
    <xf numFmtId="0" fontId="94" fillId="14" borderId="1" xfId="0" applyFont="1" applyFill="1" applyBorder="1" applyAlignment="1">
      <alignment horizontal="left" vertical="center" wrapText="1"/>
    </xf>
    <xf numFmtId="0" fontId="53" fillId="16" borderId="1" xfId="0" applyFont="1" applyFill="1" applyBorder="1" applyAlignment="1">
      <alignment horizontal="left" vertical="center" wrapText="1"/>
    </xf>
    <xf numFmtId="0" fontId="53" fillId="17" borderId="1" xfId="0" applyFont="1" applyFill="1" applyBorder="1" applyAlignment="1">
      <alignment horizontal="left" vertical="center" wrapText="1"/>
    </xf>
    <xf numFmtId="0" fontId="53" fillId="22" borderId="1" xfId="0" applyFont="1" applyFill="1" applyBorder="1" applyAlignment="1">
      <alignment horizontal="left" vertical="center" wrapText="1"/>
    </xf>
    <xf numFmtId="0" fontId="53" fillId="14" borderId="1" xfId="0" applyFont="1" applyFill="1" applyBorder="1" applyAlignment="1">
      <alignment vertical="top" wrapText="1"/>
    </xf>
    <xf numFmtId="0" fontId="36" fillId="2" borderId="1" xfId="0" applyFont="1" applyFill="1" applyBorder="1" applyAlignment="1">
      <alignment vertical="top" wrapText="1"/>
    </xf>
    <xf numFmtId="0" fontId="53" fillId="16" borderId="1" xfId="0" applyFont="1" applyFill="1" applyBorder="1" applyAlignment="1">
      <alignment vertical="top" wrapText="1"/>
    </xf>
    <xf numFmtId="0" fontId="53" fillId="19" borderId="1" xfId="0" applyFont="1" applyFill="1" applyBorder="1" applyAlignment="1">
      <alignment vertical="top" wrapText="1"/>
    </xf>
    <xf numFmtId="0" fontId="66" fillId="14" borderId="1" xfId="0" applyFont="1" applyFill="1" applyBorder="1" applyAlignment="1">
      <alignment vertical="top" wrapText="1"/>
    </xf>
    <xf numFmtId="0" fontId="53" fillId="18" borderId="1" xfId="0" applyFont="1" applyFill="1" applyBorder="1" applyAlignment="1">
      <alignment vertical="top" wrapText="1"/>
    </xf>
    <xf numFmtId="0" fontId="33" fillId="14" borderId="1" xfId="0" applyFont="1" applyFill="1" applyBorder="1" applyAlignment="1">
      <alignment vertical="top" wrapText="1"/>
    </xf>
    <xf numFmtId="0" fontId="0" fillId="4" borderId="1" xfId="0" applyFill="1" applyBorder="1" applyAlignment="1">
      <alignment horizontal="left" vertical="top" wrapText="1"/>
    </xf>
    <xf numFmtId="0" fontId="0" fillId="5" borderId="1" xfId="0" applyFill="1" applyBorder="1" applyAlignment="1">
      <alignment horizontal="left" vertical="top" wrapText="1"/>
    </xf>
    <xf numFmtId="0" fontId="69" fillId="14" borderId="0" xfId="0" applyFont="1" applyFill="1" applyAlignment="1">
      <alignment vertical="top" wrapText="1"/>
    </xf>
    <xf numFmtId="0" fontId="93" fillId="2" borderId="0" xfId="0" applyFont="1" applyFill="1" applyAlignment="1">
      <alignment vertical="top" wrapText="1"/>
    </xf>
    <xf numFmtId="0" fontId="36" fillId="2" borderId="0" xfId="0" applyFont="1" applyFill="1" applyAlignment="1">
      <alignment vertical="top" wrapText="1"/>
    </xf>
    <xf numFmtId="0" fontId="66" fillId="14" borderId="0" xfId="0" applyFont="1" applyFill="1" applyAlignment="1">
      <alignment vertical="top" wrapText="1"/>
    </xf>
    <xf numFmtId="0" fontId="95" fillId="22" borderId="0" xfId="0" applyFont="1" applyFill="1" applyAlignment="1">
      <alignment vertical="top" wrapText="1"/>
    </xf>
    <xf numFmtId="0" fontId="53" fillId="5" borderId="1" xfId="0" applyFont="1" applyFill="1" applyBorder="1" applyAlignment="1">
      <alignment horizontal="left" vertical="center" wrapText="1"/>
    </xf>
    <xf numFmtId="0" fontId="33" fillId="22" borderId="1" xfId="0" applyFont="1" applyFill="1" applyBorder="1" applyAlignment="1">
      <alignment horizontal="left" vertical="center" wrapText="1"/>
    </xf>
    <xf numFmtId="0" fontId="53" fillId="18" borderId="1" xfId="0" applyFont="1" applyFill="1" applyBorder="1" applyAlignment="1">
      <alignment horizontal="left" vertical="center" wrapText="1"/>
    </xf>
    <xf numFmtId="0" fontId="33" fillId="17" borderId="1" xfId="0" applyFont="1" applyFill="1" applyBorder="1" applyAlignment="1">
      <alignment horizontal="left" vertical="center" wrapText="1"/>
    </xf>
    <xf numFmtId="0" fontId="33" fillId="18" borderId="1" xfId="0" applyFont="1" applyFill="1" applyBorder="1" applyAlignment="1">
      <alignment horizontal="left" vertical="center" wrapText="1"/>
    </xf>
    <xf numFmtId="0" fontId="33" fillId="45" borderId="1" xfId="0" applyFont="1" applyFill="1" applyBorder="1" applyAlignment="1">
      <alignment horizontal="left" vertical="center" wrapText="1"/>
    </xf>
    <xf numFmtId="0" fontId="95" fillId="14" borderId="0" xfId="0" applyFont="1" applyFill="1" applyAlignment="1">
      <alignment vertical="center" wrapText="1"/>
    </xf>
    <xf numFmtId="0" fontId="69" fillId="14" borderId="0" xfId="0" applyFont="1" applyFill="1" applyAlignment="1">
      <alignment vertical="center" wrapText="1"/>
    </xf>
    <xf numFmtId="0" fontId="69" fillId="16" borderId="0" xfId="0" applyFont="1" applyFill="1" applyAlignment="1">
      <alignment vertical="center" wrapText="1"/>
    </xf>
    <xf numFmtId="0" fontId="69" fillId="19" borderId="0" xfId="0" applyFont="1" applyFill="1" applyAlignment="1">
      <alignment vertical="center" wrapText="1"/>
    </xf>
    <xf numFmtId="0" fontId="95" fillId="22" borderId="0" xfId="0" applyFont="1" applyFill="1" applyAlignment="1">
      <alignment vertical="center" wrapText="1"/>
    </xf>
    <xf numFmtId="0" fontId="69" fillId="18" borderId="0" xfId="0" applyFont="1" applyFill="1" applyAlignment="1">
      <alignment vertical="center" wrapText="1"/>
    </xf>
    <xf numFmtId="0" fontId="0" fillId="5" borderId="0" xfId="0" applyFill="1"/>
    <xf numFmtId="0" fontId="97" fillId="5" borderId="1" xfId="0" applyFont="1" applyFill="1" applyBorder="1" applyAlignment="1">
      <alignment horizontal="left" vertical="center" wrapText="1"/>
    </xf>
    <xf numFmtId="0" fontId="98" fillId="5" borderId="1" xfId="0" applyFont="1" applyFill="1" applyBorder="1" applyAlignment="1">
      <alignment horizontal="left" vertical="center" wrapText="1"/>
    </xf>
    <xf numFmtId="0" fontId="97" fillId="4" borderId="1" xfId="0" applyFont="1" applyFill="1" applyBorder="1" applyAlignment="1">
      <alignment horizontal="left" vertical="center" wrapText="1"/>
    </xf>
    <xf numFmtId="0" fontId="98" fillId="4" borderId="1" xfId="0" applyFont="1" applyFill="1" applyBorder="1" applyAlignment="1">
      <alignment horizontal="left" vertical="center" wrapText="1"/>
    </xf>
    <xf numFmtId="0" fontId="0" fillId="14" borderId="1" xfId="0" applyFill="1" applyBorder="1"/>
    <xf numFmtId="0" fontId="0" fillId="2" borderId="1" xfId="0" applyFill="1" applyBorder="1"/>
    <xf numFmtId="0" fontId="0" fillId="6" borderId="1" xfId="0" applyFill="1" applyBorder="1"/>
    <xf numFmtId="0" fontId="0" fillId="7" borderId="1" xfId="0" applyFill="1" applyBorder="1"/>
    <xf numFmtId="0" fontId="0" fillId="30" borderId="1" xfId="0" applyFill="1" applyBorder="1"/>
    <xf numFmtId="0" fontId="0" fillId="9" borderId="1" xfId="0" applyFill="1" applyBorder="1"/>
    <xf numFmtId="0" fontId="0" fillId="47" borderId="1" xfId="0" applyFill="1" applyBorder="1"/>
    <xf numFmtId="0" fontId="0" fillId="22" borderId="1" xfId="0" applyFill="1" applyBorder="1"/>
    <xf numFmtId="0" fontId="32" fillId="11" borderId="1" xfId="0" applyFont="1" applyFill="1" applyBorder="1" applyAlignment="1">
      <alignment horizontal="left" vertical="center" wrapText="1"/>
    </xf>
    <xf numFmtId="0" fontId="19" fillId="5" borderId="1" xfId="0" applyFont="1" applyFill="1" applyBorder="1" applyAlignment="1">
      <alignment horizontal="left" vertical="center" wrapText="1"/>
    </xf>
    <xf numFmtId="0" fontId="32" fillId="5" borderId="1" xfId="0" applyFont="1" applyFill="1" applyBorder="1" applyAlignment="1">
      <alignment horizontal="left" vertical="center" wrapText="1"/>
    </xf>
    <xf numFmtId="0" fontId="95" fillId="0" borderId="0" xfId="0" applyFont="1"/>
    <xf numFmtId="0" fontId="99" fillId="0" borderId="0" xfId="0" applyFont="1"/>
    <xf numFmtId="0" fontId="95" fillId="16" borderId="0" xfId="0" applyFont="1" applyFill="1"/>
    <xf numFmtId="0" fontId="53" fillId="5" borderId="0" xfId="0" applyFont="1" applyFill="1" applyAlignment="1">
      <alignment vertical="center" wrapText="1"/>
    </xf>
    <xf numFmtId="0" fontId="36" fillId="2" borderId="0" xfId="0" applyFont="1" applyFill="1" applyAlignment="1">
      <alignment vertical="center" wrapText="1"/>
    </xf>
    <xf numFmtId="0" fontId="95" fillId="45" borderId="0" xfId="0" applyFont="1" applyFill="1" applyAlignment="1">
      <alignment vertical="top" wrapText="1"/>
    </xf>
    <xf numFmtId="0" fontId="69" fillId="12" borderId="0" xfId="0" applyFont="1" applyFill="1" applyAlignment="1">
      <alignment vertical="top" wrapText="1"/>
    </xf>
    <xf numFmtId="0" fontId="102" fillId="16" borderId="0" xfId="0" applyFont="1" applyFill="1" applyAlignment="1">
      <alignment vertical="top" wrapText="1"/>
    </xf>
    <xf numFmtId="0" fontId="103" fillId="14" borderId="0" xfId="0" applyFont="1" applyFill="1" applyAlignment="1">
      <alignment vertical="top" wrapText="1"/>
    </xf>
    <xf numFmtId="0" fontId="69" fillId="19" borderId="0" xfId="0" applyFont="1" applyFill="1" applyAlignment="1">
      <alignment vertical="top" wrapText="1"/>
    </xf>
    <xf numFmtId="0" fontId="69" fillId="17" borderId="0" xfId="0" applyFont="1" applyFill="1" applyAlignment="1">
      <alignment vertical="top" wrapText="1"/>
    </xf>
    <xf numFmtId="0" fontId="36" fillId="27" borderId="0" xfId="0" applyFont="1" applyFill="1" applyAlignment="1">
      <alignment vertical="top" wrapText="1"/>
    </xf>
    <xf numFmtId="0" fontId="95" fillId="18" borderId="0" xfId="0" applyFont="1" applyFill="1" applyAlignment="1">
      <alignment vertical="top" wrapText="1"/>
    </xf>
    <xf numFmtId="0" fontId="95" fillId="19" borderId="0" xfId="0" applyFont="1" applyFill="1" applyAlignment="1">
      <alignment vertical="top" wrapText="1"/>
    </xf>
    <xf numFmtId="0" fontId="49" fillId="2" borderId="0" xfId="0" applyFont="1" applyFill="1" applyAlignment="1">
      <alignment vertical="top" wrapText="1"/>
    </xf>
    <xf numFmtId="0" fontId="104" fillId="12" borderId="0" xfId="0" applyFont="1" applyFill="1" applyAlignment="1">
      <alignment vertical="top" wrapText="1"/>
    </xf>
    <xf numFmtId="0" fontId="104" fillId="17" borderId="0" xfId="0" applyFont="1" applyFill="1" applyAlignment="1">
      <alignment vertical="top" wrapText="1"/>
    </xf>
    <xf numFmtId="0" fontId="105" fillId="18" borderId="0" xfId="0" applyFont="1" applyFill="1" applyAlignment="1">
      <alignment vertical="top" wrapText="1"/>
    </xf>
    <xf numFmtId="0" fontId="106" fillId="16" borderId="0" xfId="0" applyFont="1" applyFill="1" applyAlignment="1">
      <alignment vertical="top" wrapText="1"/>
    </xf>
    <xf numFmtId="0" fontId="107" fillId="16" borderId="0" xfId="0" applyFont="1" applyFill="1" applyAlignment="1">
      <alignment vertical="top" wrapText="1"/>
    </xf>
    <xf numFmtId="0" fontId="105" fillId="22" borderId="0" xfId="0" applyFont="1" applyFill="1" applyAlignment="1">
      <alignment vertical="top" wrapText="1"/>
    </xf>
    <xf numFmtId="0" fontId="95" fillId="16" borderId="0" xfId="0" applyFont="1" applyFill="1" applyAlignment="1">
      <alignment vertical="top" wrapText="1"/>
    </xf>
    <xf numFmtId="0" fontId="104" fillId="19" borderId="0" xfId="0" applyFont="1" applyFill="1" applyAlignment="1">
      <alignment vertical="top" wrapText="1"/>
    </xf>
    <xf numFmtId="0" fontId="106" fillId="17" borderId="0" xfId="0" applyFont="1" applyFill="1" applyAlignment="1">
      <alignment vertical="top" wrapText="1"/>
    </xf>
    <xf numFmtId="0" fontId="95" fillId="17" borderId="0" xfId="0" applyFont="1" applyFill="1" applyAlignment="1">
      <alignment vertical="top" wrapText="1"/>
    </xf>
    <xf numFmtId="0" fontId="69" fillId="16" borderId="0" xfId="0" applyFont="1" applyFill="1" applyAlignment="1">
      <alignment vertical="top" wrapText="1"/>
    </xf>
    <xf numFmtId="0" fontId="55" fillId="2" borderId="0" xfId="0" applyFont="1" applyFill="1" applyAlignment="1">
      <alignment horizontal="center" vertical="top" wrapText="1"/>
    </xf>
    <xf numFmtId="0" fontId="95" fillId="12" borderId="0" xfId="0" applyFont="1" applyFill="1" applyAlignment="1">
      <alignment horizontal="left" vertical="top" wrapText="1"/>
    </xf>
    <xf numFmtId="0" fontId="109" fillId="16" borderId="0" xfId="0" applyFont="1" applyFill="1" applyAlignment="1">
      <alignment horizontal="center" vertical="top" wrapText="1"/>
    </xf>
    <xf numFmtId="0" fontId="100" fillId="12" borderId="0" xfId="0" applyFont="1" applyFill="1" applyAlignment="1">
      <alignment horizontal="left" vertical="top" wrapText="1"/>
    </xf>
    <xf numFmtId="0" fontId="69" fillId="18" borderId="0" xfId="0" applyFont="1" applyFill="1" applyAlignment="1">
      <alignment horizontal="left" vertical="top" wrapText="1"/>
    </xf>
    <xf numFmtId="0" fontId="69" fillId="22" borderId="0" xfId="0" applyFont="1" applyFill="1" applyAlignment="1">
      <alignment horizontal="left" vertical="top" wrapText="1"/>
    </xf>
    <xf numFmtId="0" fontId="69" fillId="19" borderId="0" xfId="0" applyFont="1" applyFill="1" applyAlignment="1">
      <alignment horizontal="left" vertical="top" wrapText="1"/>
    </xf>
    <xf numFmtId="0" fontId="95" fillId="18" borderId="0" xfId="0" applyFont="1" applyFill="1" applyAlignment="1">
      <alignment horizontal="center" vertical="top" wrapText="1"/>
    </xf>
    <xf numFmtId="0" fontId="95" fillId="22" borderId="0" xfId="0" applyFont="1" applyFill="1" applyAlignment="1">
      <alignment horizontal="center" vertical="top" wrapText="1"/>
    </xf>
    <xf numFmtId="0" fontId="95" fillId="17" borderId="0" xfId="0" applyFont="1" applyFill="1" applyAlignment="1">
      <alignment horizontal="center" vertical="top" wrapText="1"/>
    </xf>
    <xf numFmtId="0" fontId="69" fillId="17" borderId="0" xfId="0" applyFont="1" applyFill="1" applyAlignment="1">
      <alignment horizontal="left" vertical="top" wrapText="1"/>
    </xf>
    <xf numFmtId="0" fontId="95" fillId="12" borderId="0" xfId="0" applyFont="1" applyFill="1" applyAlignment="1">
      <alignment horizontal="center" vertical="top" wrapText="1"/>
    </xf>
    <xf numFmtId="0" fontId="69" fillId="12" borderId="0" xfId="0" applyFont="1" applyFill="1" applyAlignment="1">
      <alignment horizontal="left" vertical="top" wrapText="1"/>
    </xf>
    <xf numFmtId="0" fontId="33" fillId="12" borderId="0" xfId="0" applyFont="1" applyFill="1" applyAlignment="1">
      <alignment horizontal="left" vertical="center" wrapText="1"/>
    </xf>
    <xf numFmtId="0" fontId="108" fillId="23" borderId="0" xfId="0" applyFont="1" applyFill="1" applyAlignment="1">
      <alignment horizontal="center" vertical="center" wrapText="1"/>
    </xf>
    <xf numFmtId="0" fontId="53" fillId="12" borderId="0" xfId="0" applyFont="1" applyFill="1" applyAlignment="1">
      <alignment horizontal="center" vertical="center" wrapText="1"/>
    </xf>
    <xf numFmtId="0" fontId="33" fillId="16" borderId="0" xfId="0" applyFont="1" applyFill="1" applyAlignment="1">
      <alignment horizontal="center" vertical="center" wrapText="1"/>
    </xf>
    <xf numFmtId="0" fontId="53" fillId="12" borderId="0" xfId="0" applyFont="1" applyFill="1" applyAlignment="1">
      <alignment horizontal="left" vertical="center" wrapText="1"/>
    </xf>
    <xf numFmtId="0" fontId="110" fillId="24" borderId="0" xfId="0" applyFont="1" applyFill="1" applyAlignment="1">
      <alignment horizontal="center" vertical="center" wrapText="1"/>
    </xf>
    <xf numFmtId="0" fontId="108" fillId="25" borderId="0" xfId="0" applyFont="1" applyFill="1" applyAlignment="1">
      <alignment horizontal="center" vertical="center" wrapText="1"/>
    </xf>
    <xf numFmtId="0" fontId="49" fillId="29" borderId="0" xfId="0" applyFont="1" applyFill="1" applyAlignment="1">
      <alignment horizontal="center" vertical="top" wrapText="1"/>
    </xf>
    <xf numFmtId="0" fontId="112" fillId="19" borderId="0" xfId="0" applyFont="1" applyFill="1" applyAlignment="1">
      <alignment horizontal="left" vertical="top" wrapText="1"/>
    </xf>
    <xf numFmtId="0" fontId="113" fillId="19" borderId="0" xfId="0" applyFont="1" applyFill="1" applyAlignment="1">
      <alignment horizontal="left" vertical="top" wrapText="1"/>
    </xf>
    <xf numFmtId="0" fontId="114" fillId="19" borderId="0" xfId="0" applyFont="1" applyFill="1" applyAlignment="1">
      <alignment horizontal="left" vertical="top" wrapText="1"/>
    </xf>
    <xf numFmtId="0" fontId="115" fillId="19" borderId="0" xfId="0" applyFont="1" applyFill="1" applyAlignment="1">
      <alignment horizontal="left" vertical="top" wrapText="1"/>
    </xf>
    <xf numFmtId="0" fontId="116" fillId="19" borderId="0" xfId="0" applyFont="1" applyFill="1" applyAlignment="1">
      <alignment horizontal="left" vertical="top" wrapText="1"/>
    </xf>
    <xf numFmtId="0" fontId="112" fillId="16" borderId="0" xfId="0" applyFont="1" applyFill="1" applyAlignment="1">
      <alignment horizontal="left" vertical="top" wrapText="1"/>
    </xf>
    <xf numFmtId="0" fontId="113" fillId="16" borderId="0" xfId="0" applyFont="1" applyFill="1" applyAlignment="1">
      <alignment horizontal="left" vertical="top" wrapText="1"/>
    </xf>
    <xf numFmtId="0" fontId="114" fillId="16" borderId="0" xfId="0" applyFont="1" applyFill="1" applyAlignment="1">
      <alignment horizontal="left" vertical="top" wrapText="1"/>
    </xf>
    <xf numFmtId="0" fontId="115" fillId="16" borderId="0" xfId="0" applyFont="1" applyFill="1" applyAlignment="1">
      <alignment horizontal="left" vertical="top" wrapText="1"/>
    </xf>
    <xf numFmtId="0" fontId="117" fillId="16" borderId="0" xfId="0" applyFont="1" applyFill="1" applyAlignment="1">
      <alignment horizontal="left" vertical="top" wrapText="1"/>
    </xf>
    <xf numFmtId="0" fontId="112" fillId="18" borderId="0" xfId="0" applyFont="1" applyFill="1" applyAlignment="1">
      <alignment horizontal="left" vertical="top" wrapText="1"/>
    </xf>
    <xf numFmtId="0" fontId="113" fillId="18" borderId="0" xfId="0" applyFont="1" applyFill="1" applyAlignment="1">
      <alignment horizontal="left" vertical="top" wrapText="1"/>
    </xf>
    <xf numFmtId="0" fontId="114" fillId="18" borderId="0" xfId="0" applyFont="1" applyFill="1" applyAlignment="1">
      <alignment horizontal="left" vertical="top" wrapText="1"/>
    </xf>
    <xf numFmtId="0" fontId="115" fillId="18" borderId="0" xfId="0" applyFont="1" applyFill="1" applyAlignment="1">
      <alignment horizontal="left" vertical="top" wrapText="1"/>
    </xf>
    <xf numFmtId="0" fontId="118" fillId="18" borderId="0" xfId="0" applyFont="1" applyFill="1" applyAlignment="1">
      <alignment horizontal="left" vertical="top" wrapText="1"/>
    </xf>
    <xf numFmtId="0" fontId="112" fillId="17" borderId="0" xfId="0" applyFont="1" applyFill="1" applyAlignment="1">
      <alignment horizontal="left" vertical="top" wrapText="1"/>
    </xf>
    <xf numFmtId="0" fontId="119" fillId="5" borderId="0" xfId="0" applyFont="1" applyFill="1" applyAlignment="1">
      <alignment horizontal="left" vertical="top" wrapText="1"/>
    </xf>
    <xf numFmtId="0" fontId="49" fillId="23" borderId="0" xfId="0" applyFont="1" applyFill="1" applyAlignment="1">
      <alignment horizontal="center" vertical="top" wrapText="1"/>
    </xf>
    <xf numFmtId="0" fontId="120" fillId="18" borderId="0" xfId="0" applyFont="1" applyFill="1" applyAlignment="1">
      <alignment horizontal="left" vertical="top" wrapText="1"/>
    </xf>
    <xf numFmtId="0" fontId="120" fillId="5" borderId="0" xfId="0" applyFont="1" applyFill="1" applyAlignment="1">
      <alignment horizontal="left" vertical="top" wrapText="1"/>
    </xf>
    <xf numFmtId="0" fontId="49" fillId="50" borderId="0" xfId="0" applyFont="1" applyFill="1" applyAlignment="1">
      <alignment horizontal="center" vertical="top" wrapText="1"/>
    </xf>
    <xf numFmtId="0" fontId="120" fillId="19" borderId="0" xfId="0" applyFont="1" applyFill="1" applyAlignment="1">
      <alignment horizontal="left" vertical="top" wrapText="1"/>
    </xf>
    <xf numFmtId="0" fontId="120" fillId="16" borderId="0" xfId="0" applyFont="1" applyFill="1" applyAlignment="1">
      <alignment horizontal="left" vertical="top" wrapText="1"/>
    </xf>
    <xf numFmtId="0" fontId="120" fillId="12" borderId="0" xfId="0" applyFont="1" applyFill="1" applyAlignment="1">
      <alignment horizontal="left" vertical="top" wrapText="1"/>
    </xf>
    <xf numFmtId="0" fontId="55" fillId="48" borderId="0" xfId="0" applyFont="1" applyFill="1" applyAlignment="1">
      <alignment horizontal="left" vertical="center" wrapText="1"/>
    </xf>
    <xf numFmtId="0" fontId="49" fillId="48" borderId="0" xfId="0" applyFont="1" applyFill="1" applyAlignment="1">
      <alignment horizontal="center" vertical="top" wrapText="1"/>
    </xf>
    <xf numFmtId="0" fontId="120" fillId="17" borderId="0" xfId="0" applyFont="1" applyFill="1" applyAlignment="1">
      <alignment horizontal="left" vertical="top" wrapText="1"/>
    </xf>
    <xf numFmtId="0" fontId="49" fillId="51" borderId="0" xfId="0" applyFont="1" applyFill="1" applyAlignment="1">
      <alignment horizontal="center" vertical="top" wrapText="1"/>
    </xf>
    <xf numFmtId="0" fontId="112" fillId="52" borderId="0" xfId="0" applyFont="1" applyFill="1" applyAlignment="1">
      <alignment horizontal="left" vertical="top" wrapText="1"/>
    </xf>
    <xf numFmtId="0" fontId="112" fillId="9" borderId="0" xfId="0" applyFont="1" applyFill="1" applyAlignment="1">
      <alignment horizontal="left" vertical="top" wrapText="1"/>
    </xf>
    <xf numFmtId="0" fontId="55" fillId="35" borderId="0" xfId="0" applyFont="1" applyFill="1" applyAlignment="1">
      <alignment horizontal="left" vertical="center" wrapText="1"/>
    </xf>
    <xf numFmtId="0" fontId="112" fillId="53" borderId="0" xfId="0" applyFont="1" applyFill="1" applyAlignment="1">
      <alignment horizontal="left" vertical="top" wrapText="1"/>
    </xf>
    <xf numFmtId="0" fontId="119" fillId="18" borderId="0" xfId="0" applyFont="1" applyFill="1" applyAlignment="1">
      <alignment horizontal="left" vertical="top" wrapText="1"/>
    </xf>
    <xf numFmtId="0" fontId="55" fillId="54" borderId="0" xfId="0" applyFont="1" applyFill="1" applyAlignment="1">
      <alignment horizontal="left" vertical="center" wrapText="1"/>
    </xf>
    <xf numFmtId="0" fontId="119" fillId="17" borderId="0" xfId="0" applyFont="1" applyFill="1" applyAlignment="1">
      <alignment horizontal="left" vertical="top" wrapText="1"/>
    </xf>
    <xf numFmtId="0" fontId="55" fillId="55" borderId="0" xfId="0" applyFont="1" applyFill="1" applyAlignment="1">
      <alignment horizontal="left" vertical="center" wrapText="1"/>
    </xf>
    <xf numFmtId="0" fontId="121" fillId="19" borderId="0" xfId="0" applyFont="1" applyFill="1" applyAlignment="1">
      <alignment horizontal="left" vertical="top" wrapText="1"/>
    </xf>
    <xf numFmtId="0" fontId="119" fillId="19" borderId="0" xfId="0" applyFont="1" applyFill="1" applyAlignment="1">
      <alignment horizontal="left" vertical="top" wrapText="1"/>
    </xf>
    <xf numFmtId="0" fontId="122" fillId="19" borderId="0" xfId="0" applyFont="1" applyFill="1" applyAlignment="1">
      <alignment horizontal="left" vertical="top" wrapText="1"/>
    </xf>
    <xf numFmtId="0" fontId="121" fillId="16" borderId="0" xfId="0" applyFont="1" applyFill="1" applyAlignment="1">
      <alignment horizontal="left" vertical="top" wrapText="1"/>
    </xf>
    <xf numFmtId="0" fontId="119" fillId="16" borderId="0" xfId="0" applyFont="1" applyFill="1" applyAlignment="1">
      <alignment horizontal="left" vertical="top" wrapText="1"/>
    </xf>
    <xf numFmtId="0" fontId="123" fillId="16" borderId="0" xfId="0" applyFont="1" applyFill="1" applyAlignment="1">
      <alignment horizontal="left" vertical="top" wrapText="1"/>
    </xf>
    <xf numFmtId="0" fontId="121" fillId="12" borderId="0" xfId="0" applyFont="1" applyFill="1" applyAlignment="1">
      <alignment horizontal="left" vertical="top" wrapText="1"/>
    </xf>
    <xf numFmtId="0" fontId="119" fillId="12" borderId="0" xfId="0" applyFont="1" applyFill="1" applyAlignment="1">
      <alignment horizontal="left" vertical="top" wrapText="1"/>
    </xf>
    <xf numFmtId="0" fontId="119" fillId="9" borderId="0" xfId="0" applyFont="1" applyFill="1" applyAlignment="1">
      <alignment horizontal="left" vertical="top" wrapText="1"/>
    </xf>
    <xf numFmtId="0" fontId="55" fillId="7" borderId="0" xfId="0" applyFont="1" applyFill="1" applyAlignment="1">
      <alignment horizontal="left" vertical="center" wrapText="1"/>
    </xf>
    <xf numFmtId="0" fontId="127" fillId="60" borderId="5" xfId="0" applyFont="1" applyFill="1" applyBorder="1" applyAlignment="1">
      <alignment horizontal="left" vertical="center" wrapText="1"/>
    </xf>
    <xf numFmtId="0" fontId="128" fillId="0" borderId="5" xfId="0" applyFont="1" applyBorder="1" applyAlignment="1">
      <alignment horizontal="left" vertical="top" wrapText="1"/>
    </xf>
    <xf numFmtId="0" fontId="128" fillId="61" borderId="5" xfId="0" applyFont="1" applyFill="1" applyBorder="1" applyAlignment="1">
      <alignment horizontal="left" vertical="top" wrapText="1"/>
    </xf>
    <xf numFmtId="0" fontId="129" fillId="0" borderId="0" xfId="0" applyFont="1"/>
    <xf numFmtId="0" fontId="6" fillId="11" borderId="1" xfId="0" applyFont="1" applyFill="1" applyBorder="1" applyAlignment="1">
      <alignment horizontal="center" vertical="center" wrapText="1"/>
    </xf>
    <xf numFmtId="0" fontId="0" fillId="0" borderId="0" xfId="0"/>
    <xf numFmtId="0" fontId="119" fillId="5" borderId="0" xfId="0" applyFont="1" applyFill="1" applyAlignment="1">
      <alignment horizontal="left" vertical="top" wrapText="1"/>
    </xf>
    <xf numFmtId="0" fontId="119" fillId="52" borderId="0" xfId="0" applyFont="1" applyFill="1" applyAlignment="1">
      <alignment horizontal="left" vertical="top" wrapText="1"/>
    </xf>
    <xf numFmtId="0" fontId="124" fillId="59" borderId="0" xfId="0" applyFont="1" applyFill="1" applyAlignment="1">
      <alignment horizontal="left" vertical="center" wrapText="1"/>
    </xf>
    <xf numFmtId="0" fontId="55" fillId="48" borderId="0" xfId="0" applyFont="1" applyFill="1" applyAlignment="1">
      <alignment horizontal="left" vertical="center" wrapText="1"/>
    </xf>
    <xf numFmtId="0" fontId="55" fillId="51" borderId="0" xfId="0" applyFont="1" applyFill="1" applyAlignment="1">
      <alignment horizontal="left" vertical="center" wrapText="1"/>
    </xf>
    <xf numFmtId="0" fontId="111" fillId="48" borderId="0" xfId="0" applyFont="1" applyFill="1" applyAlignment="1">
      <alignment horizontal="center" vertical="center" wrapText="1"/>
    </xf>
    <xf numFmtId="0" fontId="112" fillId="17" borderId="0" xfId="0" applyFont="1" applyFill="1" applyAlignment="1">
      <alignment horizontal="left" vertical="top" wrapText="1"/>
    </xf>
    <xf numFmtId="0" fontId="119" fillId="53" borderId="0" xfId="0" applyFont="1" applyFill="1" applyAlignment="1">
      <alignment horizontal="left" vertical="top" wrapText="1"/>
    </xf>
    <xf numFmtId="0" fontId="55" fillId="23" borderId="0" xfId="0" applyFont="1" applyFill="1" applyAlignment="1">
      <alignment horizontal="left" vertical="center" wrapText="1"/>
    </xf>
    <xf numFmtId="0" fontId="55" fillId="50" borderId="0" xfId="0" applyFont="1" applyFill="1" applyAlignment="1">
      <alignment horizontal="left" vertical="center" wrapText="1"/>
    </xf>
    <xf numFmtId="0" fontId="55" fillId="49" borderId="0" xfId="0" applyFont="1" applyFill="1" applyAlignment="1">
      <alignment horizontal="left" vertical="center" wrapText="1"/>
    </xf>
    <xf numFmtId="0" fontId="3" fillId="6" borderId="0" xfId="0" applyFont="1" applyFill="1" applyAlignment="1">
      <alignment horizontal="left" vertical="center" wrapText="1"/>
    </xf>
    <xf numFmtId="0" fontId="3" fillId="2" borderId="0" xfId="0" applyFont="1" applyFill="1" applyAlignment="1">
      <alignment horizontal="left" vertical="center" wrapText="1"/>
    </xf>
    <xf numFmtId="0" fontId="1" fillId="2" borderId="0" xfId="0" applyFont="1" applyFill="1" applyAlignment="1">
      <alignment horizontal="left" vertical="center" wrapText="1"/>
    </xf>
    <xf numFmtId="0" fontId="19" fillId="4" borderId="1" xfId="0" applyFont="1" applyFill="1" applyBorder="1" applyAlignment="1">
      <alignment horizontal="left" vertical="top" wrapText="1"/>
    </xf>
    <xf numFmtId="0" fontId="0" fillId="0" borderId="3" xfId="0" applyBorder="1"/>
    <xf numFmtId="0" fontId="0" fillId="0" borderId="4" xfId="0" applyBorder="1"/>
    <xf numFmtId="0" fontId="4" fillId="10" borderId="0" xfId="0" applyFont="1" applyFill="1" applyAlignment="1">
      <alignment horizontal="left" vertical="center" wrapText="1"/>
    </xf>
    <xf numFmtId="0" fontId="19" fillId="11" borderId="1" xfId="0" applyFont="1" applyFill="1" applyBorder="1" applyAlignment="1">
      <alignment horizontal="left" vertical="top" wrapText="1"/>
    </xf>
    <xf numFmtId="0" fontId="14" fillId="3" borderId="0" xfId="0" applyFont="1" applyFill="1" applyAlignment="1">
      <alignment horizontal="left" vertical="center" wrapText="1"/>
    </xf>
    <xf numFmtId="0" fontId="15" fillId="2" borderId="1" xfId="0" applyFont="1" applyFill="1" applyBorder="1" applyAlignment="1">
      <alignment horizontal="center" vertical="center" wrapText="1"/>
    </xf>
    <xf numFmtId="0" fontId="5" fillId="2" borderId="0" xfId="0" applyFont="1" applyFill="1" applyAlignment="1">
      <alignment horizontal="left" vertical="center" wrapText="1"/>
    </xf>
    <xf numFmtId="0" fontId="4" fillId="2" borderId="0" xfId="0" applyFont="1" applyFill="1" applyAlignment="1">
      <alignment horizontal="left" vertical="center" wrapText="1"/>
    </xf>
    <xf numFmtId="0" fontId="4" fillId="8" borderId="0" xfId="0" applyFont="1" applyFill="1" applyAlignment="1">
      <alignment horizontal="left" vertical="center" wrapText="1"/>
    </xf>
    <xf numFmtId="0" fontId="2" fillId="3" borderId="0" xfId="0" applyFont="1" applyFill="1" applyAlignment="1">
      <alignment horizontal="left" vertical="center" wrapText="1"/>
    </xf>
    <xf numFmtId="0" fontId="5" fillId="10" borderId="0" xfId="0" applyFont="1" applyFill="1" applyAlignment="1">
      <alignment horizontal="left" vertical="center" wrapText="1"/>
    </xf>
    <xf numFmtId="0" fontId="4" fillId="6" borderId="0" xfId="0" applyFont="1" applyFill="1" applyAlignment="1">
      <alignment horizontal="left" vertical="center" wrapText="1"/>
    </xf>
    <xf numFmtId="0" fontId="3" fillId="7" borderId="0" xfId="0" applyFont="1" applyFill="1" applyAlignment="1">
      <alignment horizontal="left" vertical="center" wrapText="1"/>
    </xf>
    <xf numFmtId="0" fontId="33" fillId="16" borderId="0" xfId="0" applyFont="1" applyFill="1" applyAlignment="1">
      <alignment horizontal="left" vertical="center" wrapText="1"/>
    </xf>
    <xf numFmtId="0" fontId="5" fillId="8" borderId="0" xfId="0" applyFont="1" applyFill="1" applyAlignment="1">
      <alignment horizontal="left" vertical="center" wrapText="1"/>
    </xf>
    <xf numFmtId="0" fontId="131" fillId="0" borderId="0" xfId="0" applyFont="1"/>
    <xf numFmtId="0" fontId="125" fillId="0" borderId="0" xfId="0" applyFont="1"/>
    <xf numFmtId="0" fontId="130" fillId="0" borderId="0" xfId="0" applyFont="1"/>
    <xf numFmtId="0" fontId="126" fillId="0" borderId="0" xfId="0" applyFont="1"/>
    <xf numFmtId="0" fontId="13" fillId="9" borderId="2" xfId="0" applyFont="1" applyFill="1" applyBorder="1" applyAlignment="1">
      <alignment horizontal="center" vertical="center" wrapText="1"/>
    </xf>
    <xf numFmtId="0" fontId="35" fillId="4" borderId="2" xfId="0" applyFont="1" applyFill="1" applyBorder="1" applyAlignment="1">
      <alignment horizontal="left" vertical="top" wrapText="1"/>
    </xf>
    <xf numFmtId="0" fontId="19" fillId="5" borderId="2" xfId="0" applyFont="1" applyFill="1" applyBorder="1" applyAlignment="1">
      <alignment horizontal="center" vertical="center" wrapText="1"/>
    </xf>
    <xf numFmtId="0" fontId="16" fillId="14" borderId="2" xfId="0" applyFont="1" applyFill="1" applyBorder="1" applyAlignment="1">
      <alignment horizontal="left" vertical="top" wrapText="1"/>
    </xf>
    <xf numFmtId="0" fontId="19" fillId="4" borderId="2" xfId="0" applyFont="1" applyFill="1" applyBorder="1" applyAlignment="1">
      <alignment horizontal="center" vertical="center" wrapText="1"/>
    </xf>
    <xf numFmtId="0" fontId="46" fillId="10" borderId="0" xfId="0" applyFont="1" applyFill="1" applyAlignment="1">
      <alignment horizontal="left" vertical="center" wrapText="1"/>
    </xf>
    <xf numFmtId="0" fontId="4" fillId="7" borderId="0" xfId="0" applyFont="1" applyFill="1" applyAlignment="1">
      <alignment horizontal="left" vertical="center" wrapText="1"/>
    </xf>
    <xf numFmtId="0" fontId="35" fillId="5" borderId="2" xfId="0" applyFont="1" applyFill="1" applyBorder="1" applyAlignment="1">
      <alignment horizontal="left" vertical="top" wrapText="1"/>
    </xf>
    <xf numFmtId="0" fontId="5" fillId="6" borderId="0" xfId="0" applyFont="1" applyFill="1" applyAlignment="1">
      <alignment horizontal="left" vertical="center" wrapText="1"/>
    </xf>
    <xf numFmtId="0" fontId="16" fillId="14" borderId="0" xfId="0" applyFont="1" applyFill="1" applyAlignment="1">
      <alignment horizontal="left" vertical="center" wrapText="1"/>
    </xf>
    <xf numFmtId="0" fontId="23" fillId="3" borderId="0" xfId="0" applyFont="1" applyFill="1" applyAlignment="1">
      <alignment horizontal="left" vertical="center" wrapText="1"/>
    </xf>
    <xf numFmtId="0" fontId="34" fillId="2" borderId="0" xfId="0" applyFont="1" applyFill="1" applyAlignment="1">
      <alignment horizontal="left" vertical="center" wrapText="1"/>
    </xf>
    <xf numFmtId="0" fontId="47" fillId="7" borderId="0" xfId="0" applyFont="1" applyFill="1" applyAlignment="1">
      <alignment horizontal="left" vertical="center" wrapText="1"/>
    </xf>
    <xf numFmtId="0" fontId="127" fillId="60" borderId="1" xfId="0" applyFont="1" applyFill="1" applyBorder="1" applyAlignment="1">
      <alignment horizontal="center" vertical="center"/>
    </xf>
    <xf numFmtId="0" fontId="1" fillId="8" borderId="0" xfId="0" applyFont="1" applyFill="1" applyAlignment="1">
      <alignment horizontal="left" vertical="center" wrapText="1"/>
    </xf>
    <xf numFmtId="0" fontId="19" fillId="11" borderId="0" xfId="0" applyFont="1" applyFill="1" applyAlignment="1">
      <alignment horizontal="left" vertical="center" wrapText="1"/>
    </xf>
    <xf numFmtId="0" fontId="90" fillId="14" borderId="0" xfId="0" applyFont="1" applyFill="1" applyAlignment="1">
      <alignment horizontal="left" vertical="center" wrapText="1"/>
    </xf>
    <xf numFmtId="0" fontId="27" fillId="4" borderId="1" xfId="0" applyFont="1" applyFill="1" applyBorder="1" applyAlignment="1">
      <alignment horizontal="left" vertical="top" wrapText="1"/>
    </xf>
    <xf numFmtId="0" fontId="100" fillId="9" borderId="0" xfId="0" applyFont="1" applyFill="1"/>
    <xf numFmtId="0" fontId="27" fillId="5" borderId="1" xfId="0" applyFont="1" applyFill="1" applyBorder="1" applyAlignment="1">
      <alignment horizontal="left" vertical="top" wrapText="1"/>
    </xf>
    <xf numFmtId="0" fontId="100" fillId="12" borderId="0" xfId="0" applyFont="1" applyFill="1"/>
    <xf numFmtId="0" fontId="34" fillId="2" borderId="1" xfId="0" applyFont="1" applyFill="1" applyBorder="1" applyAlignment="1">
      <alignment horizontal="left" vertical="center" wrapText="1"/>
    </xf>
    <xf numFmtId="0" fontId="34" fillId="46" borderId="1" xfId="0" applyFont="1" applyFill="1" applyBorder="1" applyAlignment="1">
      <alignment horizontal="left" vertical="center" wrapText="1"/>
    </xf>
    <xf numFmtId="0" fontId="34" fillId="6" borderId="1" xfId="0" applyFont="1" applyFill="1" applyBorder="1" applyAlignment="1">
      <alignment horizontal="left" vertical="center" wrapText="1"/>
    </xf>
    <xf numFmtId="0" fontId="75" fillId="8" borderId="0" xfId="0" applyFont="1" applyFill="1" applyAlignment="1">
      <alignment vertical="center"/>
    </xf>
    <xf numFmtId="0" fontId="34" fillId="13" borderId="1" xfId="0" applyFont="1" applyFill="1" applyBorder="1" applyAlignment="1">
      <alignment horizontal="left" vertical="center" wrapText="1"/>
    </xf>
    <xf numFmtId="0" fontId="3" fillId="8" borderId="0" xfId="0" applyFont="1" applyFill="1" applyAlignment="1">
      <alignment horizontal="left" vertical="center" wrapText="1"/>
    </xf>
    <xf numFmtId="0" fontId="34" fillId="10" borderId="1" xfId="0" applyFont="1" applyFill="1" applyBorder="1" applyAlignment="1">
      <alignment horizontal="left" vertical="center" wrapText="1"/>
    </xf>
    <xf numFmtId="0" fontId="96" fillId="4" borderId="1" xfId="0" applyFont="1" applyFill="1" applyBorder="1" applyAlignment="1">
      <alignment horizontal="left" vertical="top" wrapText="1"/>
    </xf>
    <xf numFmtId="0" fontId="75" fillId="21" borderId="0" xfId="0" applyFont="1" applyFill="1" applyAlignment="1">
      <alignment vertical="center"/>
    </xf>
    <xf numFmtId="0" fontId="101" fillId="2" borderId="0" xfId="0" applyFont="1" applyFill="1"/>
    <xf numFmtId="0" fontId="75" fillId="8" borderId="0" xfId="0" applyFont="1" applyFill="1"/>
    <xf numFmtId="0" fontId="55" fillId="2" borderId="0" xfId="0" applyFont="1" applyFill="1" applyAlignment="1">
      <alignment vertical="center"/>
    </xf>
    <xf numFmtId="0" fontId="33" fillId="16" borderId="0" xfId="0" applyFont="1" applyFill="1"/>
    <xf numFmtId="0" fontId="101" fillId="2" borderId="0" xfId="0" applyFont="1" applyFill="1" applyAlignment="1">
      <alignment horizontal="left" vertical="center"/>
    </xf>
    <xf numFmtId="0" fontId="108" fillId="2" borderId="0" xfId="0" applyFont="1" applyFill="1" applyAlignment="1">
      <alignment horizontal="left" vertical="center"/>
    </xf>
    <xf numFmtId="0" fontId="94" fillId="17" borderId="0" xfId="0" applyFont="1" applyFill="1" applyAlignment="1">
      <alignment horizontal="left" vertical="top" wrapText="1"/>
    </xf>
    <xf numFmtId="0" fontId="75" fillId="2" borderId="0" xfId="0" applyFont="1" applyFill="1" applyAlignment="1">
      <alignment horizontal="left" vertical="top" wrapText="1"/>
    </xf>
    <xf numFmtId="0" fontId="111" fillId="2" borderId="0" xfId="0" applyFont="1" applyFill="1" applyAlignment="1">
      <alignment horizontal="center" vertical="center" wrapText="1"/>
    </xf>
    <xf numFmtId="0" fontId="113" fillId="17" borderId="0" xfId="0" applyFont="1" applyFill="1" applyAlignment="1">
      <alignment horizontal="left" vertical="top" wrapText="1"/>
    </xf>
    <xf numFmtId="0" fontId="119" fillId="9" borderId="0" xfId="0" applyFont="1" applyFill="1" applyAlignment="1">
      <alignment horizontal="left" vertical="top" wrapText="1"/>
    </xf>
    <xf numFmtId="0" fontId="119" fillId="19" borderId="0" xfId="0" applyFont="1" applyFill="1" applyAlignment="1">
      <alignment horizontal="left" vertical="top" wrapText="1"/>
    </xf>
    <xf numFmtId="0" fontId="55" fillId="57" borderId="0" xfId="0" applyFont="1" applyFill="1" applyAlignment="1">
      <alignment horizontal="left" vertical="center" wrapText="1"/>
    </xf>
    <xf numFmtId="0" fontId="111" fillId="56" borderId="0" xfId="0" applyFont="1" applyFill="1" applyAlignment="1">
      <alignment horizontal="center" vertical="center" wrapText="1"/>
    </xf>
    <xf numFmtId="0" fontId="55" fillId="58" borderId="0" xfId="0" applyFont="1" applyFill="1" applyAlignment="1">
      <alignment horizontal="left" vertical="center" wrapText="1"/>
    </xf>
    <xf numFmtId="0" fontId="112" fillId="9" borderId="0" xfId="0" applyFont="1" applyFill="1" applyAlignment="1">
      <alignment horizontal="left" vertical="top" wrapText="1"/>
    </xf>
    <xf numFmtId="0" fontId="55" fillId="56"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EF9E7"/>
      <rgbColor rgb="FFF5F5F5"/>
      <rgbColor rgb="FF1A2A36"/>
      <rgbColor rgb="FFFFF0CC"/>
      <rgbColor rgb="FFF5EEF8"/>
      <rgbColor rgb="FFE8F4FD"/>
      <rgbColor rgb="FF920705"/>
      <rgbColor rgb="FF075D3A"/>
      <rgbColor rgb="FF151C24"/>
      <rgbColor rgb="FF7F6200"/>
      <rgbColor rgb="FF222222"/>
      <rgbColor rgb="FF0B8C7C"/>
      <rgbColor rgb="FFE2EFDA"/>
      <rgbColor rgb="FF115184"/>
      <rgbColor rgb="FFE8F0FA"/>
      <rgbColor rgb="FF7D3F00"/>
      <rgbColor rgb="FFFEFBD8"/>
      <rgbColor rgb="FFD6EAF8"/>
      <rgbColor rgb="FF3D2551"/>
      <rgbColor rgb="FFC45F00"/>
      <rgbColor rgb="FF0D61A9"/>
      <rgbColor rgb="FFD4D3E0"/>
      <rgbColor rgb="FF1A2A3C"/>
      <rgbColor rgb="FFFDF5F5"/>
      <rgbColor rgb="FFFFF8E1"/>
      <rgbColor rgb="FFEBF5FB"/>
      <rgbColor rgb="FF1B2631"/>
      <rgbColor rgb="FF9C2112"/>
      <rgbColor rgb="FF195EA4"/>
      <rgbColor rgb="FFF4F6F9"/>
      <rgbColor rgb="FFF2F3F4"/>
      <rgbColor rgb="FFEAFAF3"/>
      <rgbColor rgb="FFD4EDDA"/>
      <rgbColor rgb="FFFFF3CD"/>
      <rgbColor rgb="FFE8EAF6"/>
      <rgbColor rgb="FFFCE4D6"/>
      <rgbColor rgb="FFEDE9FE"/>
      <rgbColor rgb="FFFEE4D4"/>
      <rgbColor rgb="FF1F5C9E"/>
      <rgbColor rgb="FFEAF0F6"/>
      <rgbColor rgb="FFEAF3DE"/>
      <rgbColor rgb="FFFFC000"/>
      <rgbColor rgb="FFF39C12"/>
      <rgbColor rgb="FFE74C3C"/>
      <rgbColor rgb="FF484A4B"/>
      <rgbColor rgb="FF898D96"/>
      <rgbColor rgb="FF1A2B3C"/>
      <rgbColor rgb="FF3B6D11"/>
      <rgbColor rgb="FF17202A"/>
      <rgbColor rgb="FF343035"/>
      <rgbColor rgb="FF92400E"/>
      <rgbColor rgb="FFC05621"/>
      <rgbColor rgb="FF27266E"/>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62</xdr:row>
      <xdr:rowOff>0</xdr:rowOff>
    </xdr:from>
    <xdr:ext cx="7905750" cy="3771900"/>
    <xdr:pic>
      <xdr:nvPicPr>
        <xdr:cNvPr id="2" name="Image 1" descr="Picture">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24</xdr:row>
      <xdr:rowOff>0</xdr:rowOff>
    </xdr:from>
    <xdr:to>
      <xdr:col>5</xdr:col>
      <xdr:colOff>203200</xdr:colOff>
      <xdr:row>36</xdr:row>
      <xdr:rowOff>380967</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13347700"/>
          <a:ext cx="12560300" cy="5562567"/>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9"/>
  <sheetViews>
    <sheetView showGridLines="0" zoomScaleNormal="100" workbookViewId="0"/>
  </sheetViews>
  <sheetFormatPr baseColWidth="10" defaultColWidth="8.6640625" defaultRowHeight="15" x14ac:dyDescent="0.2"/>
  <cols>
    <col min="1" max="1" width="2" customWidth="1"/>
    <col min="2" max="2" width="28" customWidth="1"/>
    <col min="3" max="3" width="1" customWidth="1"/>
    <col min="4" max="5" width="12" customWidth="1"/>
    <col min="6" max="6" width="10" customWidth="1"/>
    <col min="7" max="7" width="14" customWidth="1"/>
    <col min="8" max="8" width="2" customWidth="1"/>
  </cols>
  <sheetData>
    <row r="1" spans="1:8" ht="45.75" customHeight="1" x14ac:dyDescent="0.2">
      <c r="A1" s="449" t="s">
        <v>312</v>
      </c>
      <c r="B1" s="435"/>
      <c r="C1" s="435"/>
      <c r="D1" s="435"/>
      <c r="E1" s="435"/>
      <c r="F1" s="435"/>
      <c r="G1" s="435"/>
      <c r="H1" s="435"/>
    </row>
    <row r="2" spans="1:8" ht="19.5" customHeight="1" x14ac:dyDescent="0.2">
      <c r="A2" s="460" t="s">
        <v>313</v>
      </c>
      <c r="B2" s="435"/>
      <c r="C2" s="435"/>
      <c r="D2" s="435"/>
      <c r="E2" s="435"/>
      <c r="F2" s="435"/>
      <c r="G2" s="435"/>
      <c r="H2" s="435"/>
    </row>
    <row r="3" spans="1:8" ht="30" customHeight="1" x14ac:dyDescent="0.2">
      <c r="B3" s="1" t="s">
        <v>314</v>
      </c>
      <c r="D3" s="1" t="s">
        <v>191</v>
      </c>
      <c r="E3" s="1" t="s">
        <v>315</v>
      </c>
      <c r="F3" s="1" t="s">
        <v>316</v>
      </c>
      <c r="G3" s="1" t="s">
        <v>83</v>
      </c>
    </row>
    <row r="4" spans="1:8" ht="9.75" customHeight="1" x14ac:dyDescent="0.2"/>
    <row r="5" spans="1:8" ht="31.5" customHeight="1" x14ac:dyDescent="0.2">
      <c r="B5" s="458" t="s">
        <v>317</v>
      </c>
      <c r="C5" s="435"/>
      <c r="D5" s="435"/>
      <c r="E5" s="435"/>
      <c r="F5" s="435"/>
      <c r="G5" s="435"/>
    </row>
    <row r="6" spans="1:8" ht="15.75" customHeight="1" x14ac:dyDescent="0.2">
      <c r="B6" s="457" t="s">
        <v>318</v>
      </c>
      <c r="C6" s="435"/>
      <c r="D6" s="435"/>
      <c r="E6" s="435"/>
      <c r="F6" s="435"/>
      <c r="G6" s="435"/>
    </row>
    <row r="7" spans="1:8" ht="6" customHeight="1" x14ac:dyDescent="0.2"/>
    <row r="8" spans="1:8" ht="21.75" customHeight="1" x14ac:dyDescent="0.2">
      <c r="B8" s="448" t="s">
        <v>319</v>
      </c>
      <c r="C8" s="435"/>
      <c r="D8" s="435"/>
      <c r="E8" s="435"/>
      <c r="F8" s="435"/>
      <c r="G8" s="435"/>
    </row>
    <row r="9" spans="1:8" ht="30" customHeight="1" x14ac:dyDescent="0.2">
      <c r="B9" s="3" t="s">
        <v>320</v>
      </c>
      <c r="C9" s="4"/>
      <c r="D9" s="5">
        <v>9</v>
      </c>
      <c r="E9" s="6">
        <f>COUNTIF('Track 1 · Franchisors'!D4:D12,"TIER 1")+COUNTIF('Track 1 · Franchisors'!D4:D12,"TIER 2")+COUNTIF('Track 1 · Franchisors'!D4:D12,"TIER 3")</f>
        <v>0</v>
      </c>
      <c r="F9" s="7">
        <f>IFERROR(E9/9,0)</f>
        <v>0</v>
      </c>
      <c r="G9" s="8" t="str">
        <f>IF(E9&gt;=9,"✅ On Track",IF(E9&gt;=9*0.7,"⚠️ At Risk","🔴 Behind"))</f>
        <v>🔴 Behind</v>
      </c>
    </row>
    <row r="10" spans="1:8" ht="30" customHeight="1" x14ac:dyDescent="0.2">
      <c r="B10" s="9" t="s">
        <v>321</v>
      </c>
      <c r="C10" s="10"/>
      <c r="D10" s="11">
        <v>27</v>
      </c>
      <c r="E10" s="12">
        <f>0</f>
        <v>0</v>
      </c>
      <c r="F10" s="13">
        <f>IFERROR(E10/27,0)</f>
        <v>0</v>
      </c>
      <c r="G10" s="14" t="str">
        <f>IF(E10&gt;=27,"✅ On Track",IF(E10&gt;=27*0.7,"⚠️ At Risk","🔴 Behind"))</f>
        <v>🔴 Behind</v>
      </c>
    </row>
    <row r="11" spans="1:8" ht="30" customHeight="1" x14ac:dyDescent="0.2">
      <c r="B11" s="15" t="s">
        <v>322</v>
      </c>
      <c r="C11" s="4"/>
      <c r="D11" s="5">
        <v>9</v>
      </c>
      <c r="E11" s="6">
        <f>COUNTIFS('Track 1 · Franchisors'!L4:L12,"Contacted")+COUNTIFS('Track 1 · Franchisors'!L4:L12,"Replied")+COUNTIFS('Track 1 · Franchisors'!L4:L12,"Call Scheduled")+COUNTIFS('Track 1 · Franchisors'!L4:L12,"Discovery Done")+COUNTIFS('Track 1 · Franchisors'!L4:L12,"Proposal Sent")+COUNTIFS('Track 1 · Franchisors'!L4:L12,"Negotiating")+COUNTIFS('Track 1 · Franchisors'!L4:L12,"Pilot Closed")</f>
        <v>0</v>
      </c>
      <c r="F11" s="7">
        <f>IFERROR(E11/9,0)</f>
        <v>0</v>
      </c>
      <c r="G11" s="8" t="str">
        <f>IF(E11&gt;=9,"✅ On Track",IF(E11&gt;=9*0.7,"⚠️ At Risk","🔴 Behind"))</f>
        <v>🔴 Behind</v>
      </c>
    </row>
    <row r="12" spans="1:8" ht="21.75" customHeight="1" x14ac:dyDescent="0.2">
      <c r="B12" s="447" t="s">
        <v>323</v>
      </c>
      <c r="C12" s="435"/>
      <c r="D12" s="435"/>
      <c r="E12" s="435"/>
      <c r="F12" s="435"/>
      <c r="G12" s="435"/>
    </row>
    <row r="13" spans="1:8" ht="30" customHeight="1" x14ac:dyDescent="0.2">
      <c r="B13" s="16" t="s">
        <v>324</v>
      </c>
      <c r="C13" s="10"/>
      <c r="D13" s="11">
        <v>85</v>
      </c>
      <c r="E13" s="12">
        <f>COUNTA('Track 2 · Franchisees'!B4:B88)-COUNTBLANK('Track 2 · Franchisees'!B4:B88)</f>
        <v>71</v>
      </c>
      <c r="F13" s="13">
        <f>IFERROR(E13/85,0)</f>
        <v>0.83529411764705885</v>
      </c>
      <c r="G13" s="14" t="str">
        <f>IF(E13&gt;=85,"✅ On Track",IF(E13&gt;=85*0.7,"⚠️ At Risk","🔴 Behind"))</f>
        <v>⚠️ At Risk</v>
      </c>
    </row>
    <row r="14" spans="1:8" ht="30" customHeight="1" x14ac:dyDescent="0.2">
      <c r="B14" s="15" t="s">
        <v>325</v>
      </c>
      <c r="C14" s="4"/>
      <c r="D14" s="5">
        <v>85</v>
      </c>
      <c r="E14" s="6">
        <f>COUNTA('Track 2 · Franchisees'!J4:J88)-COUNTIF('Track 2 · Franchisees'!J4:J88,"(Franchisee Owner)")-COUNTIF('Track 2 · Franchisees'!J4:J88,"(TBD — Research)")-COUNTIF('Track 2 · Franchisees'!J4:J88,"")</f>
        <v>71</v>
      </c>
      <c r="F14" s="7">
        <f>IFERROR(E14/85,0)</f>
        <v>0.83529411764705885</v>
      </c>
      <c r="G14" s="8" t="str">
        <f>IF(E14&gt;=85,"✅ On Track",IF(E14&gt;=85*0.7,"⚠️ At Risk","🔴 Behind"))</f>
        <v>⚠️ At Risk</v>
      </c>
    </row>
    <row r="15" spans="1:8" ht="30" customHeight="1" x14ac:dyDescent="0.2">
      <c r="B15" s="9" t="s">
        <v>326</v>
      </c>
      <c r="C15" s="10"/>
      <c r="D15" s="11">
        <v>85</v>
      </c>
      <c r="E15" s="12">
        <f>COUNTIFS('Track 2 · Franchisees'!L4:L88,"Contacted")+COUNTIFS('Track 2 · Franchisees'!L4:L88,"Replied")+COUNTIFS('Track 2 · Franchisees'!L4:L88,"Call Scheduled")+COUNTIFS('Track 2 · Franchisees'!L4:L88,"Discovery Done")+COUNTIFS('Track 2 · Franchisees'!L4:L88,"Proposal Sent")+COUNTIFS('Track 2 · Franchisees'!L4:L88,"Negotiating")+COUNTIFS('Track 2 · Franchisees'!L4:L88,"Pilot Closed")</f>
        <v>0</v>
      </c>
      <c r="F15" s="13">
        <f>IFERROR(E15/85,0)</f>
        <v>0</v>
      </c>
      <c r="G15" s="14" t="str">
        <f>IF(E15&gt;=85,"✅ On Track",IF(E15&gt;=85*0.7,"⚠️ At Risk","🔴 Behind"))</f>
        <v>🔴 Behind</v>
      </c>
    </row>
    <row r="16" spans="1:8" ht="21.75" customHeight="1" x14ac:dyDescent="0.2">
      <c r="B16" s="463" t="s">
        <v>327</v>
      </c>
      <c r="C16" s="435"/>
      <c r="D16" s="435"/>
      <c r="E16" s="435"/>
      <c r="F16" s="435"/>
      <c r="G16" s="435"/>
    </row>
    <row r="17" spans="2:7" ht="30" customHeight="1" x14ac:dyDescent="0.2">
      <c r="B17" s="15" t="s">
        <v>328</v>
      </c>
      <c r="C17" s="4"/>
      <c r="D17" s="5">
        <v>30</v>
      </c>
      <c r="E17" s="6">
        <f>COUNTA('Engagement Log'!B5:B80)-COUNTBLANK('Engagement Log'!B5:B80)</f>
        <v>-34</v>
      </c>
      <c r="F17" s="7">
        <f>IFERROR(E17/30,0)</f>
        <v>-1.1333333333333333</v>
      </c>
      <c r="G17" s="8" t="str">
        <f>IF(E17&gt;=30,"✅ On Track",IF(E17&gt;=30*0.7,"⚠️ At Risk","🔴 Behind"))</f>
        <v>🔴 Behind</v>
      </c>
    </row>
    <row r="18" spans="2:7" ht="30" customHeight="1" x14ac:dyDescent="0.2">
      <c r="B18" s="9" t="s">
        <v>329</v>
      </c>
      <c r="C18" s="10"/>
      <c r="D18" s="11">
        <v>5</v>
      </c>
      <c r="E18" s="12">
        <f>COUNTIF('Engagement Log'!I5:I80,"Replied – Positive")+COUNTIF('Engagement Log'!I5:I80,"Call Scheduled")+COUNTIF('Engagement Log'!I5:I80,"Call Complete")+COUNTIF('Engagement Log'!I5:I80,"Meeting Complete")+COUNTIF('Engagement Log'!I5:I80,"Pilot Agreed")</f>
        <v>2</v>
      </c>
      <c r="F18" s="13">
        <f>IFERROR(E18/5,0)</f>
        <v>0.4</v>
      </c>
      <c r="G18" s="14" t="str">
        <f>IF(E18&gt;=5,"✅ On Track",IF(E18&gt;=5*0.7,"⚠️ At Risk","🔴 Behind"))</f>
        <v>🔴 Behind</v>
      </c>
    </row>
    <row r="19" spans="2:7" ht="12" customHeight="1" x14ac:dyDescent="0.2"/>
    <row r="20" spans="2:7" ht="31.5" customHeight="1" x14ac:dyDescent="0.2">
      <c r="B20" s="459" t="s">
        <v>330</v>
      </c>
      <c r="C20" s="435"/>
      <c r="D20" s="435"/>
      <c r="E20" s="435"/>
      <c r="F20" s="435"/>
      <c r="G20" s="435"/>
    </row>
    <row r="21" spans="2:7" ht="15.75" customHeight="1" x14ac:dyDescent="0.2">
      <c r="B21" s="465" t="s">
        <v>331</v>
      </c>
      <c r="C21" s="435"/>
      <c r="D21" s="435"/>
      <c r="E21" s="435"/>
      <c r="F21" s="435"/>
      <c r="G21" s="435"/>
    </row>
    <row r="22" spans="2:7" ht="6" customHeight="1" x14ac:dyDescent="0.2"/>
    <row r="23" spans="2:7" ht="21.75" customHeight="1" x14ac:dyDescent="0.2">
      <c r="B23" s="448" t="s">
        <v>319</v>
      </c>
      <c r="C23" s="435"/>
      <c r="D23" s="435"/>
      <c r="E23" s="435"/>
      <c r="F23" s="435"/>
      <c r="G23" s="435"/>
    </row>
    <row r="24" spans="2:7" ht="30" customHeight="1" x14ac:dyDescent="0.2">
      <c r="B24" s="3" t="s">
        <v>332</v>
      </c>
      <c r="C24" s="4"/>
      <c r="D24" s="5">
        <v>3</v>
      </c>
      <c r="E24" s="6">
        <f>COUNTIFS('Track 1 · Franchisors'!L4:L12,"Discovery Done")+COUNTIFS('Track 1 · Franchisors'!L4:L12,"Proposal Sent")+COUNTIFS('Track 1 · Franchisors'!L4:L12,"Negotiating")+COUNTIFS('Track 1 · Franchisors'!L4:L12,"Pilot Closed")</f>
        <v>0</v>
      </c>
      <c r="F24" s="7">
        <f>IFERROR(E24/3,0)</f>
        <v>0</v>
      </c>
      <c r="G24" s="8" t="str">
        <f>IF(E24&gt;=3,"✅ On Track",IF(E24&gt;=3*0.7,"⚠️ At Risk","🔴 Behind"))</f>
        <v>🔴 Behind</v>
      </c>
    </row>
    <row r="25" spans="2:7" ht="30" customHeight="1" x14ac:dyDescent="0.2">
      <c r="B25" s="9" t="s">
        <v>333</v>
      </c>
      <c r="C25" s="10"/>
      <c r="D25" s="17" t="s">
        <v>334</v>
      </c>
      <c r="E25" s="12">
        <f>0</f>
        <v>0</v>
      </c>
      <c r="F25" s="18" t="s">
        <v>335</v>
      </c>
      <c r="G25" s="19" t="s">
        <v>336</v>
      </c>
    </row>
    <row r="26" spans="2:7" ht="30" customHeight="1" x14ac:dyDescent="0.2">
      <c r="B26" s="15" t="s">
        <v>337</v>
      </c>
      <c r="C26" s="4"/>
      <c r="D26" s="5">
        <v>3</v>
      </c>
      <c r="E26" s="6">
        <f>COUNTIF('Engagement Log'!H5:H80,"Discovery Call")</f>
        <v>2</v>
      </c>
      <c r="F26" s="7">
        <f>IFERROR(E26/3,0)</f>
        <v>0.66666666666666663</v>
      </c>
      <c r="G26" s="8" t="str">
        <f>IF(E26&gt;=3,"✅ On Track",IF(E26&gt;=3*0.7,"⚠️ At Risk","🔴 Behind"))</f>
        <v>🔴 Behind</v>
      </c>
    </row>
    <row r="27" spans="2:7" ht="30" customHeight="1" x14ac:dyDescent="0.2">
      <c r="B27" s="9" t="s">
        <v>338</v>
      </c>
      <c r="C27" s="10"/>
      <c r="D27" s="11">
        <v>1</v>
      </c>
      <c r="E27" s="12">
        <f>COUNTIFS('Track 1 · Franchisors'!L4:L12,"Proposal Sent")+COUNTIFS('Track 1 · Franchisors'!L4:L12,"Negotiating")</f>
        <v>0</v>
      </c>
      <c r="F27" s="13">
        <f>IFERROR(E27/1,0)</f>
        <v>0</v>
      </c>
      <c r="G27" s="14" t="str">
        <f>IF(E27&gt;=1,"✅ On Track",IF(E27&gt;=1*0.7,"⚠️ At Risk","🔴 Behind"))</f>
        <v>🔴 Behind</v>
      </c>
    </row>
    <row r="28" spans="2:7" ht="21.75" customHeight="1" x14ac:dyDescent="0.2">
      <c r="B28" s="447" t="s">
        <v>323</v>
      </c>
      <c r="C28" s="435"/>
      <c r="D28" s="435"/>
      <c r="E28" s="435"/>
      <c r="F28" s="435"/>
      <c r="G28" s="435"/>
    </row>
    <row r="29" spans="2:7" ht="30" customHeight="1" x14ac:dyDescent="0.2">
      <c r="B29" s="3" t="s">
        <v>339</v>
      </c>
      <c r="C29" s="4"/>
      <c r="D29" s="5">
        <v>25</v>
      </c>
      <c r="E29" s="6">
        <f>COUNTIFS('Track 2 · Franchisees'!L4:L88,"Replied")+COUNTIFS('Track 2 · Franchisees'!L4:L88,"Call Scheduled")+COUNTIFS('Track 2 · Franchisees'!L4:L88,"Discovery Done")+COUNTIFS('Track 2 · Franchisees'!L4:L88,"Proposal Sent")+COUNTIFS('Track 2 · Franchisees'!L4:L88,"Negotiating")+COUNTIFS('Track 2 · Franchisees'!L4:L88,"Pilot Closed")</f>
        <v>0</v>
      </c>
      <c r="F29" s="7">
        <f>IFERROR(E29/25,0)</f>
        <v>0</v>
      </c>
      <c r="G29" s="8" t="str">
        <f>IF(E29&gt;=25,"✅ On Track",IF(E29&gt;=25*0.7,"⚠️ At Risk","🔴 Behind"))</f>
        <v>🔴 Behind</v>
      </c>
    </row>
    <row r="30" spans="2:7" ht="30" customHeight="1" x14ac:dyDescent="0.2">
      <c r="B30" s="9" t="s">
        <v>340</v>
      </c>
      <c r="C30" s="10"/>
      <c r="D30" s="11">
        <v>10</v>
      </c>
      <c r="E30" s="12">
        <f>COUNTIFS('Track 2 · Franchisees'!L4:L88,"Call Scheduled")+COUNTIFS('Track 2 · Franchisees'!L4:L88,"Discovery Done")+COUNTIFS('Track 2 · Franchisees'!L4:L88,"Proposal Sent")+COUNTIFS('Track 2 · Franchisees'!L4:L88,"Negotiating")+COUNTIFS('Track 2 · Franchisees'!L4:L88,"Pilot Closed")</f>
        <v>0</v>
      </c>
      <c r="F30" s="13">
        <f>IFERROR(E30/10,0)</f>
        <v>0</v>
      </c>
      <c r="G30" s="14" t="str">
        <f>IF(E30&gt;=10,"✅ On Track",IF(E30&gt;=10*0.7,"⚠️ At Risk","🔴 Behind"))</f>
        <v>🔴 Behind</v>
      </c>
    </row>
    <row r="31" spans="2:7" ht="30" customHeight="1" x14ac:dyDescent="0.2">
      <c r="B31" s="15" t="s">
        <v>341</v>
      </c>
      <c r="C31" s="4"/>
      <c r="D31" s="20" t="s">
        <v>342</v>
      </c>
      <c r="E31" s="21">
        <f>COUNTIFS('Track 2 · Franchisees'!L4:L88,"Proposal Sent")+COUNTIFS('Track 2 · Franchisees'!L4:L88,"Negotiating")+COUNTIFS('Track 2 · Franchisees'!L4:L88,"Pilot Closed")</f>
        <v>0</v>
      </c>
      <c r="F31" s="22" t="s">
        <v>335</v>
      </c>
      <c r="G31" s="19" t="s">
        <v>336</v>
      </c>
    </row>
    <row r="32" spans="2:7" ht="30" customHeight="1" x14ac:dyDescent="0.2">
      <c r="B32" s="9" t="s">
        <v>343</v>
      </c>
      <c r="C32" s="10"/>
      <c r="D32" s="11">
        <v>15</v>
      </c>
      <c r="E32" s="12">
        <f>COUNTIFS('Track 2 · Franchisees'!I4:I88,"HIGH",'Track 2 · Franchisees'!L4:L88,"Contacted")+COUNTIFS('Track 2 · Franchisees'!I4:I88,"HIGH",'Track 2 · Franchisees'!L4:L88,"Replied")+COUNTIFS('Track 2 · Franchisees'!I4:I88,"HIGH",'Track 2 · Franchisees'!L4:L88,"Call Scheduled")+COUNTIFS('Track 2 · Franchisees'!I4:I88,"HIGH",'Track 2 · Franchisees'!L4:L88,"Discovery Done")+COUNTIFS('Track 2 · Franchisees'!I4:I88,"HIGH",'Track 2 · Franchisees'!L4:L88,"Proposal Sent")+COUNTIFS('Track 2 · Franchisees'!I4:I88,"HIGH",'Track 2 · Franchisees'!L4:L88,"Pilot Closed")</f>
        <v>0</v>
      </c>
      <c r="F32" s="13">
        <f>IFERROR(E32/15,0)</f>
        <v>0</v>
      </c>
      <c r="G32" s="14" t="str">
        <f>IF(E32&gt;=15,"✅ On Track",IF(E32&gt;=15*0.7,"⚠️ At Risk","🔴 Behind"))</f>
        <v>🔴 Behind</v>
      </c>
    </row>
    <row r="33" spans="2:7" ht="12" customHeight="1" x14ac:dyDescent="0.2"/>
    <row r="34" spans="2:7" ht="31.5" customHeight="1" x14ac:dyDescent="0.2">
      <c r="B34" s="453" t="s">
        <v>344</v>
      </c>
      <c r="C34" s="435"/>
      <c r="D34" s="435"/>
      <c r="E34" s="435"/>
      <c r="F34" s="435"/>
      <c r="G34" s="435"/>
    </row>
    <row r="35" spans="2:7" ht="15.75" customHeight="1" x14ac:dyDescent="0.2">
      <c r="B35" s="461" t="s">
        <v>345</v>
      </c>
      <c r="C35" s="435"/>
      <c r="D35" s="435"/>
      <c r="E35" s="435"/>
      <c r="F35" s="435"/>
      <c r="G35" s="435"/>
    </row>
    <row r="36" spans="2:7" ht="6" customHeight="1" x14ac:dyDescent="0.2"/>
    <row r="37" spans="2:7" ht="21.75" customHeight="1" x14ac:dyDescent="0.2">
      <c r="B37" s="448" t="s">
        <v>319</v>
      </c>
      <c r="C37" s="435"/>
      <c r="D37" s="435"/>
      <c r="E37" s="435"/>
      <c r="F37" s="435"/>
      <c r="G37" s="435"/>
    </row>
    <row r="38" spans="2:7" ht="30" customHeight="1" x14ac:dyDescent="0.2">
      <c r="B38" s="3" t="s">
        <v>346</v>
      </c>
      <c r="C38" s="4"/>
      <c r="D38" s="20" t="s">
        <v>347</v>
      </c>
      <c r="E38" s="21">
        <f>COUNTIFS('Track 1 · Franchisors'!L4:L12,"Negotiating")+COUNTIFS('Track 1 · Franchisors'!L4:L12,"Pilot Closed")</f>
        <v>0</v>
      </c>
      <c r="F38" s="22" t="s">
        <v>335</v>
      </c>
      <c r="G38" s="19" t="s">
        <v>336</v>
      </c>
    </row>
    <row r="39" spans="2:7" ht="30" customHeight="1" x14ac:dyDescent="0.2">
      <c r="B39" s="9" t="s">
        <v>348</v>
      </c>
      <c r="C39" s="10"/>
      <c r="D39" s="11">
        <v>1</v>
      </c>
      <c r="E39" s="12">
        <f>COUNTIFS('Track 1 · Franchisors'!L4:L12,"Pilot Closed")</f>
        <v>0</v>
      </c>
      <c r="F39" s="13">
        <f>IFERROR(E39/1,0)</f>
        <v>0</v>
      </c>
      <c r="G39" s="14" t="str">
        <f>IF(E39&gt;=1,"✅ On Track",IF(E39&gt;=1*0.7,"⚠️ At Risk","🔴 Behind"))</f>
        <v>🔴 Behind</v>
      </c>
    </row>
    <row r="40" spans="2:7" ht="30" customHeight="1" x14ac:dyDescent="0.2">
      <c r="B40" s="15" t="s">
        <v>349</v>
      </c>
      <c r="C40" s="4"/>
      <c r="D40" s="20" t="s">
        <v>336</v>
      </c>
      <c r="E40" s="6">
        <f>0</f>
        <v>0</v>
      </c>
      <c r="F40" s="22" t="s">
        <v>335</v>
      </c>
      <c r="G40" s="19" t="s">
        <v>336</v>
      </c>
    </row>
    <row r="41" spans="2:7" ht="30" customHeight="1" x14ac:dyDescent="0.2">
      <c r="B41" s="9" t="s">
        <v>350</v>
      </c>
      <c r="C41" s="10"/>
      <c r="D41" s="17" t="s">
        <v>351</v>
      </c>
      <c r="E41" s="12" t="s">
        <v>352</v>
      </c>
      <c r="F41" s="18" t="s">
        <v>335</v>
      </c>
      <c r="G41" s="19" t="s">
        <v>336</v>
      </c>
    </row>
    <row r="42" spans="2:7" ht="21.75" customHeight="1" x14ac:dyDescent="0.2">
      <c r="B42" s="447" t="s">
        <v>323</v>
      </c>
      <c r="C42" s="435"/>
      <c r="D42" s="435"/>
      <c r="E42" s="435"/>
      <c r="F42" s="435"/>
      <c r="G42" s="435"/>
    </row>
    <row r="43" spans="2:7" ht="30" customHeight="1" x14ac:dyDescent="0.2">
      <c r="B43" s="3" t="s">
        <v>353</v>
      </c>
      <c r="C43" s="4"/>
      <c r="D43" s="5">
        <v>2</v>
      </c>
      <c r="E43" s="6">
        <f>COUNTIFS('Track 2 · Franchisees'!L4:L88,"Pilot Closed")</f>
        <v>0</v>
      </c>
      <c r="F43" s="7">
        <f>IFERROR(E43/2,0)</f>
        <v>0</v>
      </c>
      <c r="G43" s="8" t="str">
        <f>IF(E43&gt;=2,"✅ On Track",IF(E43&gt;=2*0.7,"⚠️ At Risk","🔴 Behind"))</f>
        <v>🔴 Behind</v>
      </c>
    </row>
    <row r="44" spans="2:7" ht="30" customHeight="1" x14ac:dyDescent="0.2">
      <c r="B44" s="9" t="s">
        <v>354</v>
      </c>
      <c r="C44" s="10"/>
      <c r="D44" s="11">
        <v>3</v>
      </c>
      <c r="E44" s="12">
        <f>COUNTIFS('Track 2 · Franchisees'!L4:L88,"Negotiating")</f>
        <v>0</v>
      </c>
      <c r="F44" s="13">
        <f>IFERROR(E44/3,0)</f>
        <v>0</v>
      </c>
      <c r="G44" s="14" t="str">
        <f>IF(E44&gt;=3,"✅ On Track",IF(E44&gt;=3*0.7,"⚠️ At Risk","🔴 Behind"))</f>
        <v>🔴 Behind</v>
      </c>
    </row>
    <row r="45" spans="2:7" ht="30" customHeight="1" x14ac:dyDescent="0.2">
      <c r="B45" s="15" t="s">
        <v>355</v>
      </c>
      <c r="C45" s="4"/>
      <c r="D45" s="20" t="s">
        <v>356</v>
      </c>
      <c r="E45" s="6">
        <f>0</f>
        <v>0</v>
      </c>
      <c r="F45" s="22" t="s">
        <v>335</v>
      </c>
      <c r="G45" s="19" t="s">
        <v>336</v>
      </c>
    </row>
    <row r="46" spans="2:7" ht="30" customHeight="1" x14ac:dyDescent="0.2">
      <c r="B46" s="9" t="s">
        <v>357</v>
      </c>
      <c r="C46" s="10"/>
      <c r="D46" s="17" t="s">
        <v>351</v>
      </c>
      <c r="E46" s="12" t="s">
        <v>352</v>
      </c>
      <c r="F46" s="18" t="s">
        <v>335</v>
      </c>
      <c r="G46" s="19" t="s">
        <v>336</v>
      </c>
    </row>
    <row r="47" spans="2:7" ht="13.5" customHeight="1" x14ac:dyDescent="0.2"/>
    <row r="48" spans="2:7" ht="31.5" customHeight="1" x14ac:dyDescent="0.2">
      <c r="B48" s="458" t="s">
        <v>358</v>
      </c>
      <c r="C48" s="435"/>
      <c r="D48" s="435"/>
      <c r="E48" s="435"/>
      <c r="F48" s="435"/>
      <c r="G48" s="435"/>
    </row>
    <row r="49" spans="2:7" ht="15.75" customHeight="1" x14ac:dyDescent="0.2">
      <c r="B49" s="455" t="s">
        <v>359</v>
      </c>
      <c r="C49" s="435"/>
      <c r="D49" s="435"/>
      <c r="E49" s="435"/>
      <c r="F49" s="435"/>
      <c r="G49" s="435"/>
    </row>
    <row r="50" spans="2:7" ht="3.75" customHeight="1" x14ac:dyDescent="0.2"/>
    <row r="51" spans="2:7" ht="25.5" customHeight="1" x14ac:dyDescent="0.2">
      <c r="B51" s="1" t="s">
        <v>360</v>
      </c>
      <c r="D51" s="1" t="s">
        <v>361</v>
      </c>
      <c r="E51" s="1" t="s">
        <v>83</v>
      </c>
      <c r="F51" s="1" t="s">
        <v>362</v>
      </c>
      <c r="G51" s="1" t="s">
        <v>363</v>
      </c>
    </row>
    <row r="52" spans="2:7" ht="27.75" customHeight="1" x14ac:dyDescent="0.2">
      <c r="B52" s="23" t="s">
        <v>364</v>
      </c>
      <c r="C52" s="24"/>
      <c r="D52" s="25" t="s">
        <v>365</v>
      </c>
      <c r="E52" s="26">
        <f>'Track 1 · Franchisors'!L4</f>
        <v>0</v>
      </c>
      <c r="F52" s="27" t="str">
        <f>IFERROR(VLOOKUP("BELFOR",'Account Feedback'!A4:I28,9,0),"❄ Cold")</f>
        <v>🌡 Warming</v>
      </c>
      <c r="G52" s="28" t="str">
        <f>'Track 1 · Franchisors'!Q4</f>
        <v>Gagan Sinha = CIO (joined Sep 2025). ST renewal window 2025–2027. PE play only.</v>
      </c>
    </row>
    <row r="53" spans="2:7" ht="27.75" customHeight="1" x14ac:dyDescent="0.2">
      <c r="B53" s="23" t="s">
        <v>366</v>
      </c>
      <c r="C53" s="24"/>
      <c r="D53" s="25" t="s">
        <v>365</v>
      </c>
      <c r="E53" s="26">
        <f>'Track 1 · Franchisors'!L5</f>
        <v>0</v>
      </c>
      <c r="F53" s="27" t="str">
        <f>IFERROR(VLOOKUP("THRESHOLD BRANDS",'Account Feedback'!A4:I28,9,0),"❄ Cold")</f>
        <v>❄ Cold</v>
      </c>
      <c r="G53" s="28" t="str">
        <f>'Track 1 · Franchisors'!Q5</f>
        <v>9 of 12 brands have no ServiceTitan. No displacement. Ryan Bowes = Chief Dev Officer.</v>
      </c>
    </row>
    <row r="54" spans="2:7" ht="27.75" customHeight="1" x14ac:dyDescent="0.2">
      <c r="B54" s="23" t="s">
        <v>367</v>
      </c>
      <c r="C54" s="24"/>
      <c r="D54" s="25" t="s">
        <v>365</v>
      </c>
      <c r="E54" s="26">
        <f>'Track 1 · Franchisors'!L6</f>
        <v>0</v>
      </c>
      <c r="F54" s="27" t="str">
        <f>IFERROR(VLOOKUP("EMPOWER BRANDS",'Account Feedback'!A4:I28,9,0),"❄ Cold")</f>
        <v>❄ Cold</v>
      </c>
      <c r="G54" s="28" t="str">
        <f>'Track 1 · Franchisors'!Q6</f>
        <v>Gary Bauer (JAN-PRO Brand President) is brand-level wedge. EBITDA before exit window.</v>
      </c>
    </row>
    <row r="55" spans="2:7" ht="27.75" customHeight="1" x14ac:dyDescent="0.2">
      <c r="B55" s="3" t="s">
        <v>368</v>
      </c>
      <c r="C55" s="4"/>
      <c r="D55" s="29" t="s">
        <v>369</v>
      </c>
      <c r="E55" s="30">
        <f>'Track 1 · Franchisors'!L7</f>
        <v>0</v>
      </c>
      <c r="F55" s="31" t="str">
        <f>IFERROR(VLOOKUP("PREMIUM SERVICE BRANDS",'Account Feedback'!A4:I28,9,0),"❄ Cold")</f>
        <v>❄ Cold</v>
      </c>
      <c r="G55" s="32" t="str">
        <f>'Track 1 · Franchisors'!Q7</f>
        <v>Founder-backed. No PE committee. One conversation closes this. $1.67/tech/day message.</v>
      </c>
    </row>
    <row r="56" spans="2:7" ht="27.75" customHeight="1" x14ac:dyDescent="0.2">
      <c r="B56" s="3" t="s">
        <v>370</v>
      </c>
      <c r="C56" s="4"/>
      <c r="D56" s="29" t="s">
        <v>369</v>
      </c>
      <c r="E56" s="30">
        <f>'Track 1 · Franchisors'!L8</f>
        <v>0</v>
      </c>
      <c r="F56" s="31" t="str">
        <f>IFERROR(VLOOKUP("RESIBRANDS",'Account Feedback'!A4:I28,9,0),"❄ Cold")</f>
        <v>🔥 Hot</v>
      </c>
      <c r="G56" s="32" t="str">
        <f>'Track 1 · Franchisors'!Q8</f>
        <v>Princeton Equity Year 5. EBITDA story lands immediately. Greenfield — no incumbent.</v>
      </c>
    </row>
    <row r="57" spans="2:7" ht="27.75" customHeight="1" x14ac:dyDescent="0.2">
      <c r="B57" s="3" t="s">
        <v>371</v>
      </c>
      <c r="C57" s="4"/>
      <c r="D57" s="29" t="s">
        <v>369</v>
      </c>
      <c r="E57" s="30">
        <f>'Track 1 · Franchisors'!L9</f>
        <v>0</v>
      </c>
      <c r="F57" s="31" t="str">
        <f>IFERROR(VLOOKUP("FIVE STAR FRANCHISING",'Account Feedback'!A4:I28,9,0),"❄ Cold")</f>
        <v>❄ Cold</v>
      </c>
      <c r="G57" s="32" t="str">
        <f>'Track 1 · Franchisors'!Q9</f>
        <v>RooterMan brand president (name TBD) is 300-loc plumbing wedge into PSB portfolio.</v>
      </c>
    </row>
    <row r="58" spans="2:7" ht="27.75" customHeight="1" x14ac:dyDescent="0.2">
      <c r="B58" s="3" t="s">
        <v>372</v>
      </c>
      <c r="C58" s="4"/>
      <c r="D58" s="29" t="s">
        <v>369</v>
      </c>
      <c r="E58" s="30">
        <f>'Track 1 · Franchisors'!L10</f>
        <v>0</v>
      </c>
      <c r="F58" s="31" t="str">
        <f>IFERROR(VLOOKUP("HOMEFRONT BRANDS",'Account Feedback'!A4:I28,9,0),"❄ Cold")</f>
        <v>❄ Cold</v>
      </c>
      <c r="G58" s="32" t="str">
        <f>'Track 1 · Franchisors'!Q10</f>
        <v>Jeff Dudan is a podcaster + Forbes contributor — accessible. Tyler Kirk (Window Hero) is wedge.</v>
      </c>
    </row>
    <row r="59" spans="2:7" ht="27.75" customHeight="1" x14ac:dyDescent="0.2">
      <c r="B59" s="33" t="s">
        <v>373</v>
      </c>
      <c r="C59" s="34"/>
      <c r="D59" s="35" t="s">
        <v>374</v>
      </c>
      <c r="E59" s="36">
        <f>'Track 1 · Franchisors'!L11</f>
        <v>0</v>
      </c>
      <c r="F59" s="37" t="str">
        <f>IFERROR(VLOOKUP("AUTHORITY BRANDS",'Account Feedback'!A4:I28,9,0),"❄ Cold")</f>
        <v>❄ Cold</v>
      </c>
      <c r="G59" s="38">
        <f>'Track 1 · Franchisors'!Q11</f>
        <v>0</v>
      </c>
    </row>
    <row r="60" spans="2:7" ht="27.75" customHeight="1" x14ac:dyDescent="0.2">
      <c r="B60" s="33" t="s">
        <v>375</v>
      </c>
      <c r="C60" s="34"/>
      <c r="D60" s="35" t="s">
        <v>374</v>
      </c>
      <c r="E60" s="36">
        <f>'Track 1 · Franchisors'!L12</f>
        <v>0</v>
      </c>
      <c r="F60" s="37" t="str">
        <f>IFERROR(VLOOKUP("NEIGHBORLY",'Account Feedback'!A4:I28,9,0),"❄ Cold")</f>
        <v>🌡 Warming</v>
      </c>
      <c r="G60" s="38" t="str">
        <f>'Track 1 · Franchisors'!Q12</f>
        <v>═ P2 · DE-FACTO ANCHOR ═ Year 6 hold — American Securities exit window 2026-2027. HOODZ + DUCTZ at 94% SB de facto. Convert de facto into mandate before exit. | Zero FSM mandate. 30 new territories Dec 2024. Start here.</v>
      </c>
    </row>
    <row r="61" spans="2:7" ht="13.5" customHeight="1" x14ac:dyDescent="0.2"/>
    <row r="62" spans="2:7" ht="31.5" customHeight="1" x14ac:dyDescent="0.2">
      <c r="B62" s="462" t="s">
        <v>376</v>
      </c>
      <c r="C62" s="435"/>
      <c r="D62" s="435"/>
      <c r="E62" s="435"/>
      <c r="F62" s="435"/>
      <c r="G62" s="435"/>
    </row>
    <row r="63" spans="2:7" ht="15.75" customHeight="1" x14ac:dyDescent="0.2">
      <c r="B63" s="455" t="s">
        <v>377</v>
      </c>
      <c r="C63" s="435"/>
      <c r="D63" s="435"/>
      <c r="E63" s="435"/>
      <c r="F63" s="435"/>
      <c r="G63" s="435"/>
    </row>
    <row r="64" spans="2:7" ht="3.75" customHeight="1" x14ac:dyDescent="0.2"/>
    <row r="65" spans="2:7" ht="21.75" customHeight="1" x14ac:dyDescent="0.2">
      <c r="B65" s="39" t="s">
        <v>378</v>
      </c>
      <c r="D65" s="39" t="s">
        <v>191</v>
      </c>
      <c r="E65" s="39" t="s">
        <v>379</v>
      </c>
      <c r="F65" s="39" t="s">
        <v>380</v>
      </c>
      <c r="G65" s="39" t="s">
        <v>83</v>
      </c>
    </row>
    <row r="66" spans="2:7" ht="25.5" customHeight="1" x14ac:dyDescent="0.2">
      <c r="B66" s="40" t="s">
        <v>381</v>
      </c>
      <c r="C66" s="10"/>
      <c r="D66" s="41">
        <v>85</v>
      </c>
      <c r="E66" s="42">
        <f>COUNTA('Track 2 · Franchisees'!B4:B88)-COUNTBLANK('Track 2 · Franchisees'!B4:B88)</f>
        <v>71</v>
      </c>
      <c r="F66" s="43">
        <f t="shared" ref="F66:F77" si="0">IFERROR(E66/85,0)</f>
        <v>0.83529411764705885</v>
      </c>
      <c r="G66" s="44" t="s">
        <v>382</v>
      </c>
    </row>
    <row r="67" spans="2:7" ht="25.5" customHeight="1" x14ac:dyDescent="0.2">
      <c r="B67" s="45" t="s">
        <v>383</v>
      </c>
      <c r="C67" s="4"/>
      <c r="D67" s="46">
        <v>30</v>
      </c>
      <c r="E67" s="47">
        <f>COUNTIF('Track 2 · Franchisees'!I4:I88,"HIGH")</f>
        <v>0</v>
      </c>
      <c r="F67" s="48">
        <f t="shared" si="0"/>
        <v>0</v>
      </c>
      <c r="G67" s="49" t="s">
        <v>382</v>
      </c>
    </row>
    <row r="68" spans="2:7" ht="25.5" customHeight="1" x14ac:dyDescent="0.2">
      <c r="B68" s="50" t="s">
        <v>384</v>
      </c>
      <c r="C68" s="10"/>
      <c r="D68" s="41">
        <v>40</v>
      </c>
      <c r="E68" s="51">
        <f>COUNTIF('Track 2 · Franchisees'!I4:I88,"MED")</f>
        <v>36</v>
      </c>
      <c r="F68" s="43">
        <f t="shared" si="0"/>
        <v>0.42352941176470588</v>
      </c>
      <c r="G68" s="44" t="s">
        <v>382</v>
      </c>
    </row>
    <row r="69" spans="2:7" ht="25.5" customHeight="1" x14ac:dyDescent="0.2">
      <c r="B69" s="52" t="s">
        <v>385</v>
      </c>
      <c r="C69" s="4"/>
      <c r="D69" s="46">
        <v>10</v>
      </c>
      <c r="E69" s="6">
        <f>COUNTIF('Track 2 · Franchisees'!H4:H88,"YES")</f>
        <v>7</v>
      </c>
      <c r="F69" s="48">
        <f t="shared" si="0"/>
        <v>8.2352941176470587E-2</v>
      </c>
      <c r="G69" s="49" t="s">
        <v>382</v>
      </c>
    </row>
    <row r="70" spans="2:7" ht="25.5" customHeight="1" x14ac:dyDescent="0.2">
      <c r="B70" s="53" t="s">
        <v>386</v>
      </c>
      <c r="C70" s="10"/>
      <c r="D70" s="54">
        <v>10</v>
      </c>
      <c r="E70" s="12">
        <f>COUNTIF('Track 2 · Franchisees'!L4:L88,"Researching")</f>
        <v>0</v>
      </c>
      <c r="F70" s="43">
        <f t="shared" si="0"/>
        <v>0</v>
      </c>
      <c r="G70" s="14" t="str">
        <f>IF(E70&gt;=10,"✅ On Track",IF(E70&gt;=10*0.6,"⚠️ At Risk","🔴 Behind"))</f>
        <v>🔴 Behind</v>
      </c>
    </row>
    <row r="71" spans="2:7" ht="25.5" customHeight="1" x14ac:dyDescent="0.2">
      <c r="B71" s="55" t="s">
        <v>387</v>
      </c>
      <c r="C71" s="4"/>
      <c r="D71" s="56">
        <v>40</v>
      </c>
      <c r="E71" s="6">
        <f>COUNTIF('Track 2 · Franchisees'!L4:L88,"Contacted")</f>
        <v>0</v>
      </c>
      <c r="F71" s="48">
        <f t="shared" si="0"/>
        <v>0</v>
      </c>
      <c r="G71" s="8" t="str">
        <f>IF(E71&gt;=40,"✅ On Track",IF(E71&gt;=40*0.6,"⚠️ At Risk","🔴 Behind"))</f>
        <v>🔴 Behind</v>
      </c>
    </row>
    <row r="72" spans="2:7" ht="25.5" customHeight="1" x14ac:dyDescent="0.2">
      <c r="B72" s="53" t="s">
        <v>388</v>
      </c>
      <c r="C72" s="10"/>
      <c r="D72" s="54">
        <v>10</v>
      </c>
      <c r="E72" s="12">
        <f>COUNTIF('Track 2 · Franchisees'!L4:L88,"Replied")</f>
        <v>0</v>
      </c>
      <c r="F72" s="43">
        <f t="shared" si="0"/>
        <v>0</v>
      </c>
      <c r="G72" s="14" t="str">
        <f>IF(E72&gt;=10,"✅ On Track",IF(E72&gt;=10*0.6,"⚠️ At Risk","🔴 Behind"))</f>
        <v>🔴 Behind</v>
      </c>
    </row>
    <row r="73" spans="2:7" ht="25.5" customHeight="1" x14ac:dyDescent="0.2">
      <c r="B73" s="55" t="s">
        <v>389</v>
      </c>
      <c r="C73" s="4"/>
      <c r="D73" s="56">
        <v>5</v>
      </c>
      <c r="E73" s="6">
        <f>COUNTIF('Track 2 · Franchisees'!L4:L88,"Call Scheduled")</f>
        <v>0</v>
      </c>
      <c r="F73" s="48">
        <f t="shared" si="0"/>
        <v>0</v>
      </c>
      <c r="G73" s="8" t="str">
        <f>IF(E73&gt;=5,"✅ On Track",IF(E73&gt;=5*0.6,"⚠️ At Risk","🔴 Behind"))</f>
        <v>🔴 Behind</v>
      </c>
    </row>
    <row r="74" spans="2:7" ht="25.5" customHeight="1" x14ac:dyDescent="0.2">
      <c r="B74" s="53" t="s">
        <v>390</v>
      </c>
      <c r="C74" s="10"/>
      <c r="D74" s="54">
        <v>3</v>
      </c>
      <c r="E74" s="12">
        <f>COUNTIF('Track 2 · Franchisees'!L4:L88,"Discovery Done")</f>
        <v>0</v>
      </c>
      <c r="F74" s="43">
        <f t="shared" si="0"/>
        <v>0</v>
      </c>
      <c r="G74" s="14" t="str">
        <f>IF(E74&gt;=3,"✅ On Track",IF(E74&gt;=3*0.6,"⚠️ At Risk","🔴 Behind"))</f>
        <v>🔴 Behind</v>
      </c>
    </row>
    <row r="75" spans="2:7" ht="25.5" customHeight="1" x14ac:dyDescent="0.2">
      <c r="B75" s="55" t="s">
        <v>391</v>
      </c>
      <c r="C75" s="4"/>
      <c r="D75" s="56">
        <v>3</v>
      </c>
      <c r="E75" s="6">
        <f>COUNTIF('Track 2 · Franchisees'!L4:L88,"Proposal Sent")+COUNTIF('Track 2 · Franchisees'!L4:L88,"Negotiating")</f>
        <v>0</v>
      </c>
      <c r="F75" s="48">
        <f t="shared" si="0"/>
        <v>0</v>
      </c>
      <c r="G75" s="8" t="str">
        <f>IF(E75&gt;=3,"✅ On Track",IF(E75&gt;=3*0.6,"⚠️ At Risk","🔴 Behind"))</f>
        <v>🔴 Behind</v>
      </c>
    </row>
    <row r="76" spans="2:7" ht="25.5" customHeight="1" x14ac:dyDescent="0.2">
      <c r="B76" s="53" t="s">
        <v>392</v>
      </c>
      <c r="C76" s="10"/>
      <c r="D76" s="54">
        <v>2</v>
      </c>
      <c r="E76" s="12">
        <f>COUNTIF('Track 2 · Franchisees'!L4:L88,"Pilot Closed")</f>
        <v>0</v>
      </c>
      <c r="F76" s="43">
        <f t="shared" si="0"/>
        <v>0</v>
      </c>
      <c r="G76" s="14" t="str">
        <f>IF(E76&gt;=2,"✅ On Track",IF(E76&gt;=2*0.6,"⚠️ At Risk","🔴 Behind"))</f>
        <v>🔴 Behind</v>
      </c>
    </row>
    <row r="77" spans="2:7" ht="25.5" customHeight="1" x14ac:dyDescent="0.2">
      <c r="B77" s="55" t="s">
        <v>393</v>
      </c>
      <c r="C77" s="4"/>
      <c r="D77" s="56">
        <v>5</v>
      </c>
      <c r="E77" s="6">
        <f>COUNTIF('Track 2 · Franchisees'!L4:L88,"Stalled")</f>
        <v>0</v>
      </c>
      <c r="F77" s="48">
        <f t="shared" si="0"/>
        <v>0</v>
      </c>
      <c r="G77" s="8" t="str">
        <f>IF(E77&gt;=5,"✅ On Track",IF(E77&gt;=5*0.6,"⚠️ At Risk","🔴 Behind"))</f>
        <v>🔴 Behind</v>
      </c>
    </row>
    <row r="78" spans="2:7" ht="13.5" customHeight="1" x14ac:dyDescent="0.2"/>
    <row r="79" spans="2:7" ht="13.5" customHeight="1" x14ac:dyDescent="0.2">
      <c r="B79" s="435"/>
      <c r="C79" s="435"/>
      <c r="D79" s="435"/>
      <c r="E79" s="435"/>
      <c r="F79" s="435"/>
      <c r="G79" s="435"/>
    </row>
    <row r="80" spans="2:7" ht="31.5" customHeight="1" x14ac:dyDescent="0.2">
      <c r="B80" s="458" t="s">
        <v>394</v>
      </c>
      <c r="C80" s="435"/>
      <c r="D80" s="435"/>
      <c r="E80" s="435"/>
      <c r="F80" s="435"/>
      <c r="G80" s="435"/>
    </row>
    <row r="81" spans="1:8" ht="18" customHeight="1" x14ac:dyDescent="0.2">
      <c r="B81" s="455" t="s">
        <v>395</v>
      </c>
      <c r="C81" s="435"/>
      <c r="D81" s="435"/>
      <c r="E81" s="435"/>
      <c r="F81" s="435"/>
      <c r="G81" s="435"/>
    </row>
    <row r="82" spans="1:8" ht="6" customHeight="1" x14ac:dyDescent="0.2">
      <c r="B82" s="435"/>
      <c r="C82" s="435"/>
      <c r="D82" s="435"/>
      <c r="E82" s="435"/>
      <c r="F82" s="435"/>
      <c r="G82" s="435"/>
    </row>
    <row r="83" spans="1:8" ht="25.5" customHeight="1" x14ac:dyDescent="0.2">
      <c r="B83" s="456" t="s">
        <v>396</v>
      </c>
      <c r="C83" s="451"/>
      <c r="D83" s="451"/>
      <c r="E83" s="451"/>
      <c r="F83" s="451"/>
      <c r="G83" s="452"/>
    </row>
    <row r="84" spans="1:8" ht="51.75" customHeight="1" x14ac:dyDescent="0.2">
      <c r="B84" s="454" t="s">
        <v>397</v>
      </c>
      <c r="C84" s="451"/>
      <c r="D84" s="451"/>
      <c r="E84" s="451"/>
      <c r="F84" s="451"/>
      <c r="G84" s="452"/>
    </row>
    <row r="85" spans="1:8" ht="51.75" customHeight="1" x14ac:dyDescent="0.2">
      <c r="B85" s="450" t="s">
        <v>398</v>
      </c>
      <c r="C85" s="451"/>
      <c r="D85" s="451"/>
      <c r="E85" s="451"/>
      <c r="F85" s="451"/>
      <c r="G85" s="452"/>
    </row>
    <row r="86" spans="1:8" ht="51.75" customHeight="1" x14ac:dyDescent="0.2">
      <c r="B86" s="454" t="s">
        <v>399</v>
      </c>
      <c r="C86" s="451"/>
      <c r="D86" s="451"/>
      <c r="E86" s="451"/>
      <c r="F86" s="451"/>
      <c r="G86" s="452"/>
    </row>
    <row r="87" spans="1:8" ht="51.75" customHeight="1" x14ac:dyDescent="0.2">
      <c r="B87" s="450" t="s">
        <v>400</v>
      </c>
      <c r="C87" s="451"/>
      <c r="D87" s="451"/>
      <c r="E87" s="451"/>
      <c r="F87" s="451"/>
      <c r="G87" s="452"/>
    </row>
    <row r="88" spans="1:8" ht="51.75" customHeight="1" x14ac:dyDescent="0.2">
      <c r="B88" s="57" t="s">
        <v>401</v>
      </c>
      <c r="C88" s="24"/>
      <c r="D88" s="59" t="s">
        <v>402</v>
      </c>
      <c r="E88" s="60" t="s">
        <v>403</v>
      </c>
      <c r="F88" s="61">
        <f>IFERROR('PE Relationship Map'!I15,"Not Started")</f>
        <v>0</v>
      </c>
      <c r="G88" s="62" t="s">
        <v>404</v>
      </c>
    </row>
    <row r="89" spans="1:8" ht="51.75" customHeight="1" x14ac:dyDescent="0.2">
      <c r="A89" s="435"/>
      <c r="B89" s="435"/>
      <c r="C89" s="435"/>
      <c r="D89" s="435"/>
      <c r="E89" s="435"/>
      <c r="F89" s="435"/>
      <c r="G89" s="435"/>
      <c r="H89" s="435"/>
    </row>
    <row r="90" spans="1:8" ht="51.75" customHeight="1" x14ac:dyDescent="0.2">
      <c r="B90" s="57" t="s">
        <v>405</v>
      </c>
      <c r="C90" s="24"/>
      <c r="D90" s="63" t="s">
        <v>406</v>
      </c>
      <c r="E90" s="60" t="s">
        <v>407</v>
      </c>
      <c r="F90" s="61" t="s">
        <v>408</v>
      </c>
      <c r="G90" s="62" t="s">
        <v>409</v>
      </c>
    </row>
    <row r="91" spans="1:8" ht="51.75" customHeight="1" x14ac:dyDescent="0.2">
      <c r="B91" s="58" t="s">
        <v>410</v>
      </c>
      <c r="C91" s="4"/>
      <c r="D91" s="59" t="s">
        <v>402</v>
      </c>
      <c r="E91" s="60" t="s">
        <v>411</v>
      </c>
      <c r="F91" s="61" t="s">
        <v>408</v>
      </c>
      <c r="G91" s="62" t="s">
        <v>412</v>
      </c>
    </row>
    <row r="92" spans="1:8" ht="51.75" customHeight="1" x14ac:dyDescent="0.2">
      <c r="B92" s="57" t="s">
        <v>413</v>
      </c>
      <c r="C92" s="24"/>
      <c r="D92" s="59" t="s">
        <v>402</v>
      </c>
      <c r="E92" s="60" t="s">
        <v>403</v>
      </c>
      <c r="F92" s="61" t="str">
        <f>IFERROR('PE Relationship Map'!I27,"Not Started")</f>
        <v>Not Started</v>
      </c>
      <c r="G92" s="62" t="s">
        <v>414</v>
      </c>
    </row>
    <row r="93" spans="1:8" ht="51.75" customHeight="1" x14ac:dyDescent="0.2">
      <c r="B93" s="58" t="s">
        <v>415</v>
      </c>
      <c r="C93" s="4"/>
      <c r="D93" s="64" t="s">
        <v>416</v>
      </c>
      <c r="E93" s="60" t="s">
        <v>403</v>
      </c>
      <c r="F93" s="61">
        <f>IFERROR('PE Relationship Map'!I23,"Not Started")</f>
        <v>0</v>
      </c>
      <c r="G93" s="62" t="s">
        <v>417</v>
      </c>
    </row>
    <row r="94" spans="1:8" ht="13.5" customHeight="1" x14ac:dyDescent="0.2"/>
    <row r="97" spans="1:8" ht="32.25" customHeight="1" x14ac:dyDescent="0.2">
      <c r="B97" s="2" t="s">
        <v>418</v>
      </c>
    </row>
    <row r="98" spans="1:8" ht="23.25" customHeight="1" x14ac:dyDescent="0.2">
      <c r="B98" s="65" t="s">
        <v>419</v>
      </c>
      <c r="C98" s="66"/>
      <c r="D98" s="66"/>
      <c r="E98" s="66"/>
      <c r="F98" s="66"/>
      <c r="G98" s="66"/>
    </row>
    <row r="100" spans="1:8" ht="15" customHeight="1" x14ac:dyDescent="0.2">
      <c r="B100" s="2" t="s">
        <v>420</v>
      </c>
    </row>
    <row r="101" spans="1:8" ht="42.75" customHeight="1" x14ac:dyDescent="0.2">
      <c r="B101" s="67" t="s">
        <v>421</v>
      </c>
      <c r="C101" s="66"/>
      <c r="D101" s="66"/>
      <c r="E101" s="66"/>
      <c r="F101" s="66"/>
      <c r="G101" s="66"/>
    </row>
    <row r="102" spans="1:8" ht="42.75" customHeight="1" x14ac:dyDescent="0.2">
      <c r="B102" s="68" t="s">
        <v>422</v>
      </c>
      <c r="C102" s="66"/>
      <c r="D102" s="66"/>
      <c r="E102" s="66"/>
      <c r="F102" s="66"/>
      <c r="G102" s="66"/>
    </row>
    <row r="103" spans="1:8" ht="42.75" customHeight="1" x14ac:dyDescent="0.2">
      <c r="B103" s="67" t="s">
        <v>423</v>
      </c>
      <c r="C103" s="66"/>
      <c r="D103" s="66"/>
      <c r="E103" s="66"/>
      <c r="F103" s="66"/>
      <c r="G103" s="66"/>
    </row>
    <row r="104" spans="1:8" ht="42.75" customHeight="1" x14ac:dyDescent="0.2">
      <c r="B104" s="68" t="s">
        <v>424</v>
      </c>
      <c r="C104" s="66"/>
      <c r="D104" s="66"/>
      <c r="E104" s="66"/>
      <c r="F104" s="66"/>
      <c r="G104" s="66"/>
    </row>
    <row r="105" spans="1:8" ht="42.75" customHeight="1" x14ac:dyDescent="0.2">
      <c r="B105" s="67" t="s">
        <v>425</v>
      </c>
      <c r="C105" s="66"/>
      <c r="D105" s="66"/>
      <c r="E105" s="66"/>
      <c r="F105" s="66"/>
      <c r="G105" s="66"/>
    </row>
    <row r="107" spans="1:8" ht="409.5" customHeight="1" x14ac:dyDescent="0.2">
      <c r="A107" s="69" t="s">
        <v>426</v>
      </c>
    </row>
    <row r="109" spans="1:8" ht="30" customHeight="1" x14ac:dyDescent="0.2">
      <c r="A109" s="464" t="s">
        <v>427</v>
      </c>
      <c r="B109" s="435"/>
      <c r="C109" s="435"/>
      <c r="D109" s="435"/>
      <c r="E109" s="435"/>
      <c r="F109" s="435"/>
      <c r="G109" s="435"/>
      <c r="H109" s="435"/>
    </row>
  </sheetData>
  <mergeCells count="30">
    <mergeCell ref="A109:H109"/>
    <mergeCell ref="B12:G12"/>
    <mergeCell ref="B21:G21"/>
    <mergeCell ref="B48:G48"/>
    <mergeCell ref="A89:H89"/>
    <mergeCell ref="B6:G6"/>
    <mergeCell ref="B80:G80"/>
    <mergeCell ref="B20:G20"/>
    <mergeCell ref="B85:G85"/>
    <mergeCell ref="B63:G63"/>
    <mergeCell ref="B79:G79"/>
    <mergeCell ref="B35:G35"/>
    <mergeCell ref="B86:G86"/>
    <mergeCell ref="B62:G62"/>
    <mergeCell ref="B16:G16"/>
    <mergeCell ref="B81:G81"/>
    <mergeCell ref="B87:G87"/>
    <mergeCell ref="B34:G34"/>
    <mergeCell ref="B28:G28"/>
    <mergeCell ref="B37:G37"/>
    <mergeCell ref="B84:G84"/>
    <mergeCell ref="B49:G49"/>
    <mergeCell ref="B83:G83"/>
    <mergeCell ref="B42:G42"/>
    <mergeCell ref="B23:G23"/>
    <mergeCell ref="B8:G8"/>
    <mergeCell ref="A1:H1"/>
    <mergeCell ref="B82:G82"/>
    <mergeCell ref="B5:G5"/>
    <mergeCell ref="A2:H2"/>
  </mergeCells>
  <dataValidations count="1">
    <dataValidation type="list" allowBlank="1" sqref="F86 F90:F91" xr:uid="{00000000-0002-0000-0000-000000000000}">
      <formula1>"Not Started,GPS Ask Sent,Intro Requested,Intro Confirmed,Call Scheduled,Call Complete,Warm – Active,Warm – Stalled,No Path"</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2"/>
  <sheetViews>
    <sheetView workbookViewId="0"/>
  </sheetViews>
  <sheetFormatPr baseColWidth="10" defaultColWidth="8.83203125" defaultRowHeight="15" x14ac:dyDescent="0.2"/>
  <cols>
    <col min="1" max="1" width="16" customWidth="1"/>
    <col min="2" max="2" width="6" customWidth="1"/>
    <col min="3" max="3" width="28" customWidth="1"/>
    <col min="4" max="4" width="22" customWidth="1"/>
    <col min="5" max="5" width="30" customWidth="1"/>
    <col min="6" max="6" width="35" customWidth="1"/>
    <col min="7" max="7" width="50" customWidth="1"/>
  </cols>
  <sheetData>
    <row r="1" spans="1:7" ht="18" x14ac:dyDescent="0.2">
      <c r="A1" s="467" t="s">
        <v>428</v>
      </c>
      <c r="B1" s="435"/>
      <c r="C1" s="435"/>
      <c r="D1" s="435"/>
      <c r="E1" s="435"/>
      <c r="F1" s="435"/>
      <c r="G1" s="435"/>
    </row>
    <row r="2" spans="1:7" x14ac:dyDescent="0.2">
      <c r="A2" s="469" t="s">
        <v>429</v>
      </c>
      <c r="B2" s="435"/>
      <c r="C2" s="435"/>
      <c r="D2" s="435"/>
      <c r="E2" s="435"/>
      <c r="F2" s="435"/>
      <c r="G2" s="435"/>
    </row>
    <row r="4" spans="1:7" ht="22" customHeight="1" x14ac:dyDescent="0.2">
      <c r="A4" s="430" t="s">
        <v>430</v>
      </c>
      <c r="B4" s="430" t="s">
        <v>431</v>
      </c>
      <c r="C4" s="430" t="s">
        <v>432</v>
      </c>
      <c r="D4" s="430" t="s">
        <v>433</v>
      </c>
      <c r="E4" s="430" t="s">
        <v>434</v>
      </c>
      <c r="F4" s="430" t="s">
        <v>435</v>
      </c>
      <c r="G4" s="430" t="s">
        <v>436</v>
      </c>
    </row>
    <row r="5" spans="1:7" ht="60" customHeight="1" x14ac:dyDescent="0.2">
      <c r="A5" s="431" t="s">
        <v>437</v>
      </c>
      <c r="B5" s="431">
        <v>40</v>
      </c>
      <c r="C5" s="431" t="s">
        <v>438</v>
      </c>
      <c r="D5" s="431" t="s">
        <v>439</v>
      </c>
      <c r="E5" s="431" t="s">
        <v>440</v>
      </c>
      <c r="F5" s="431" t="s">
        <v>441</v>
      </c>
      <c r="G5" s="431" t="s">
        <v>442</v>
      </c>
    </row>
    <row r="6" spans="1:7" ht="60" customHeight="1" x14ac:dyDescent="0.2">
      <c r="A6" s="432" t="s">
        <v>437</v>
      </c>
      <c r="B6" s="432">
        <v>40</v>
      </c>
      <c r="C6" s="432" t="s">
        <v>438</v>
      </c>
      <c r="D6" s="432" t="s">
        <v>443</v>
      </c>
      <c r="E6" s="432" t="s">
        <v>444</v>
      </c>
      <c r="F6" s="432" t="s">
        <v>445</v>
      </c>
      <c r="G6" s="432" t="s">
        <v>446</v>
      </c>
    </row>
    <row r="7" spans="1:7" ht="60" customHeight="1" x14ac:dyDescent="0.2">
      <c r="A7" s="431" t="s">
        <v>437</v>
      </c>
      <c r="B7" s="431">
        <v>40</v>
      </c>
      <c r="C7" s="431" t="s">
        <v>438</v>
      </c>
      <c r="D7" s="431" t="s">
        <v>447</v>
      </c>
      <c r="E7" s="431" t="s">
        <v>448</v>
      </c>
      <c r="F7" s="431" t="s">
        <v>449</v>
      </c>
      <c r="G7" s="431" t="s">
        <v>450</v>
      </c>
    </row>
    <row r="8" spans="1:7" ht="60" customHeight="1" x14ac:dyDescent="0.2">
      <c r="A8" s="432" t="s">
        <v>437</v>
      </c>
      <c r="B8" s="432">
        <v>40</v>
      </c>
      <c r="C8" s="432" t="s">
        <v>438</v>
      </c>
      <c r="D8" s="432" t="s">
        <v>451</v>
      </c>
      <c r="E8" s="432" t="s">
        <v>452</v>
      </c>
      <c r="F8" s="432" t="s">
        <v>453</v>
      </c>
      <c r="G8" s="432" t="s">
        <v>454</v>
      </c>
    </row>
    <row r="9" spans="1:7" ht="60" customHeight="1" x14ac:dyDescent="0.2">
      <c r="A9" s="431" t="s">
        <v>437</v>
      </c>
      <c r="B9" s="431">
        <v>37</v>
      </c>
      <c r="C9" s="431" t="s">
        <v>455</v>
      </c>
      <c r="D9" s="431" t="s">
        <v>439</v>
      </c>
      <c r="E9" s="431" t="s">
        <v>440</v>
      </c>
      <c r="F9" s="431" t="s">
        <v>456</v>
      </c>
      <c r="G9" s="431" t="s">
        <v>457</v>
      </c>
    </row>
    <row r="10" spans="1:7" ht="60" customHeight="1" x14ac:dyDescent="0.2">
      <c r="A10" s="432" t="s">
        <v>437</v>
      </c>
      <c r="B10" s="432">
        <v>37</v>
      </c>
      <c r="C10" s="432" t="s">
        <v>455</v>
      </c>
      <c r="D10" s="432" t="s">
        <v>443</v>
      </c>
      <c r="E10" s="432" t="s">
        <v>444</v>
      </c>
      <c r="F10" s="432" t="s">
        <v>458</v>
      </c>
      <c r="G10" s="432" t="s">
        <v>459</v>
      </c>
    </row>
    <row r="11" spans="1:7" ht="60" customHeight="1" x14ac:dyDescent="0.2">
      <c r="A11" s="431" t="s">
        <v>437</v>
      </c>
      <c r="B11" s="431">
        <v>37</v>
      </c>
      <c r="C11" s="431" t="s">
        <v>455</v>
      </c>
      <c r="D11" s="431" t="s">
        <v>451</v>
      </c>
      <c r="E11" s="431" t="s">
        <v>460</v>
      </c>
      <c r="F11" s="431" t="s">
        <v>461</v>
      </c>
      <c r="G11" s="431" t="s">
        <v>462</v>
      </c>
    </row>
    <row r="12" spans="1:7" ht="60" customHeight="1" x14ac:dyDescent="0.2">
      <c r="A12" s="432" t="s">
        <v>437</v>
      </c>
      <c r="B12" s="432">
        <v>37</v>
      </c>
      <c r="C12" s="432" t="s">
        <v>455</v>
      </c>
      <c r="D12" s="432" t="s">
        <v>447</v>
      </c>
      <c r="E12" s="432" t="s">
        <v>463</v>
      </c>
      <c r="F12" s="432" t="s">
        <v>464</v>
      </c>
      <c r="G12" s="432" t="s">
        <v>465</v>
      </c>
    </row>
    <row r="13" spans="1:7" ht="60" customHeight="1" x14ac:dyDescent="0.2">
      <c r="A13" s="431" t="s">
        <v>437</v>
      </c>
      <c r="B13" s="431">
        <v>2</v>
      </c>
      <c r="C13" s="431" t="s">
        <v>466</v>
      </c>
      <c r="D13" s="431" t="s">
        <v>467</v>
      </c>
      <c r="E13" s="431" t="s">
        <v>468</v>
      </c>
      <c r="F13" s="431" t="s">
        <v>469</v>
      </c>
      <c r="G13" s="431" t="s">
        <v>470</v>
      </c>
    </row>
    <row r="16" spans="1:7" ht="16" x14ac:dyDescent="0.2">
      <c r="A16" s="433" t="s">
        <v>471</v>
      </c>
    </row>
    <row r="17" spans="1:7" x14ac:dyDescent="0.2">
      <c r="A17" s="468" t="s">
        <v>472</v>
      </c>
      <c r="B17" s="435"/>
      <c r="C17" s="435"/>
      <c r="D17" s="435"/>
      <c r="E17" s="435"/>
      <c r="F17" s="435"/>
      <c r="G17" s="435"/>
    </row>
    <row r="18" spans="1:7" x14ac:dyDescent="0.2">
      <c r="A18" s="468" t="s">
        <v>473</v>
      </c>
      <c r="B18" s="435"/>
      <c r="C18" s="435"/>
      <c r="D18" s="435"/>
      <c r="E18" s="435"/>
      <c r="F18" s="435"/>
      <c r="G18" s="435"/>
    </row>
    <row r="19" spans="1:7" x14ac:dyDescent="0.2">
      <c r="A19" s="468" t="s">
        <v>474</v>
      </c>
      <c r="B19" s="435"/>
      <c r="C19" s="435"/>
      <c r="D19" s="435"/>
      <c r="E19" s="435"/>
      <c r="F19" s="435"/>
      <c r="G19" s="435"/>
    </row>
    <row r="20" spans="1:7" x14ac:dyDescent="0.2">
      <c r="A20" s="468" t="s">
        <v>475</v>
      </c>
      <c r="B20" s="435"/>
      <c r="C20" s="435"/>
      <c r="D20" s="435"/>
      <c r="E20" s="435"/>
      <c r="F20" s="435"/>
      <c r="G20" s="435"/>
    </row>
    <row r="21" spans="1:7" x14ac:dyDescent="0.2">
      <c r="A21" s="468" t="s">
        <v>476</v>
      </c>
      <c r="B21" s="435"/>
      <c r="C21" s="435"/>
      <c r="D21" s="435"/>
      <c r="E21" s="435"/>
      <c r="F21" s="435"/>
      <c r="G21" s="435"/>
    </row>
    <row r="22" spans="1:7" x14ac:dyDescent="0.2">
      <c r="A22" s="468" t="s">
        <v>477</v>
      </c>
      <c r="B22" s="435"/>
      <c r="C22" s="435"/>
      <c r="D22" s="435"/>
      <c r="E22" s="435"/>
      <c r="F22" s="435"/>
      <c r="G22" s="435"/>
    </row>
    <row r="23" spans="1:7" x14ac:dyDescent="0.2">
      <c r="A23" s="468" t="s">
        <v>478</v>
      </c>
      <c r="B23" s="435"/>
      <c r="C23" s="435"/>
      <c r="D23" s="435"/>
      <c r="E23" s="435"/>
      <c r="F23" s="435"/>
      <c r="G23" s="435"/>
    </row>
    <row r="24" spans="1:7" x14ac:dyDescent="0.2">
      <c r="A24" s="468" t="s">
        <v>479</v>
      </c>
      <c r="B24" s="435"/>
      <c r="C24" s="435"/>
      <c r="D24" s="435"/>
      <c r="E24" s="435"/>
      <c r="F24" s="435"/>
      <c r="G24" s="435"/>
    </row>
    <row r="25" spans="1:7" x14ac:dyDescent="0.2">
      <c r="A25" s="468"/>
      <c r="B25" s="435"/>
      <c r="C25" s="435"/>
      <c r="D25" s="435"/>
      <c r="E25" s="435"/>
      <c r="F25" s="435"/>
      <c r="G25" s="435"/>
    </row>
    <row r="26" spans="1:7" x14ac:dyDescent="0.2">
      <c r="A26" s="468" t="s">
        <v>480</v>
      </c>
      <c r="B26" s="435"/>
      <c r="C26" s="435"/>
      <c r="D26" s="435"/>
      <c r="E26" s="435"/>
      <c r="F26" s="435"/>
      <c r="G26" s="435"/>
    </row>
    <row r="27" spans="1:7" x14ac:dyDescent="0.2">
      <c r="A27" s="468" t="s">
        <v>481</v>
      </c>
      <c r="B27" s="435"/>
      <c r="C27" s="435"/>
      <c r="D27" s="435"/>
      <c r="E27" s="435"/>
      <c r="F27" s="435"/>
      <c r="G27" s="435"/>
    </row>
    <row r="28" spans="1:7" x14ac:dyDescent="0.2">
      <c r="A28" s="468" t="s">
        <v>482</v>
      </c>
      <c r="B28" s="435"/>
      <c r="C28" s="435"/>
      <c r="D28" s="435"/>
      <c r="E28" s="435"/>
      <c r="F28" s="435"/>
      <c r="G28" s="435"/>
    </row>
    <row r="29" spans="1:7" x14ac:dyDescent="0.2">
      <c r="A29" s="468" t="s">
        <v>483</v>
      </c>
      <c r="B29" s="435"/>
      <c r="C29" s="435"/>
      <c r="D29" s="435"/>
      <c r="E29" s="435"/>
      <c r="F29" s="435"/>
      <c r="G29" s="435"/>
    </row>
    <row r="30" spans="1:7" x14ac:dyDescent="0.2">
      <c r="A30" s="468" t="s">
        <v>484</v>
      </c>
      <c r="B30" s="435"/>
      <c r="C30" s="435"/>
      <c r="D30" s="435"/>
      <c r="E30" s="435"/>
      <c r="F30" s="435"/>
      <c r="G30" s="435"/>
    </row>
    <row r="32" spans="1:7" x14ac:dyDescent="0.2">
      <c r="A32" s="466" t="s">
        <v>485</v>
      </c>
      <c r="B32" s="435"/>
      <c r="C32" s="435"/>
      <c r="D32" s="435"/>
      <c r="E32" s="435"/>
      <c r="F32" s="435"/>
      <c r="G32" s="435"/>
    </row>
    <row r="33" spans="1:7" ht="60" customHeight="1" x14ac:dyDescent="0.2">
      <c r="A33" s="432" t="s">
        <v>486</v>
      </c>
      <c r="B33" s="432" t="s">
        <v>487</v>
      </c>
      <c r="C33" s="432" t="s">
        <v>488</v>
      </c>
      <c r="D33" s="432" t="s">
        <v>489</v>
      </c>
      <c r="E33" s="432" t="s">
        <v>490</v>
      </c>
      <c r="F33" s="432" t="s">
        <v>36</v>
      </c>
      <c r="G33" s="432" t="s">
        <v>491</v>
      </c>
    </row>
    <row r="34" spans="1:7" ht="60" customHeight="1" x14ac:dyDescent="0.2">
      <c r="A34" s="431" t="s">
        <v>486</v>
      </c>
      <c r="B34" s="431" t="s">
        <v>487</v>
      </c>
      <c r="C34" s="431" t="s">
        <v>488</v>
      </c>
      <c r="D34" s="431" t="s">
        <v>492</v>
      </c>
      <c r="E34" s="431" t="s">
        <v>374</v>
      </c>
      <c r="F34" s="431" t="s">
        <v>493</v>
      </c>
      <c r="G34" s="431" t="s">
        <v>494</v>
      </c>
    </row>
    <row r="35" spans="1:7" ht="60" customHeight="1" x14ac:dyDescent="0.2">
      <c r="A35" s="432" t="s">
        <v>486</v>
      </c>
      <c r="B35" s="432" t="s">
        <v>487</v>
      </c>
      <c r="C35" s="432" t="s">
        <v>488</v>
      </c>
      <c r="D35" s="432" t="s">
        <v>495</v>
      </c>
      <c r="E35" s="432" t="s">
        <v>496</v>
      </c>
      <c r="F35" s="432" t="s">
        <v>497</v>
      </c>
      <c r="G35" s="432" t="s">
        <v>498</v>
      </c>
    </row>
    <row r="36" spans="1:7" ht="60" customHeight="1" x14ac:dyDescent="0.2">
      <c r="A36" s="431" t="s">
        <v>486</v>
      </c>
      <c r="B36" s="431" t="s">
        <v>487</v>
      </c>
      <c r="C36" s="431" t="s">
        <v>499</v>
      </c>
      <c r="D36" s="431" t="s">
        <v>489</v>
      </c>
      <c r="E36" s="431" t="s">
        <v>500</v>
      </c>
      <c r="F36" s="431" t="s">
        <v>43</v>
      </c>
      <c r="G36" s="431" t="s">
        <v>491</v>
      </c>
    </row>
    <row r="37" spans="1:7" ht="60" customHeight="1" x14ac:dyDescent="0.2">
      <c r="A37" s="432" t="s">
        <v>486</v>
      </c>
      <c r="B37" s="432" t="s">
        <v>487</v>
      </c>
      <c r="C37" s="432" t="s">
        <v>499</v>
      </c>
      <c r="D37" s="432" t="s">
        <v>492</v>
      </c>
      <c r="E37" s="432" t="s">
        <v>374</v>
      </c>
      <c r="F37" s="432" t="s">
        <v>501</v>
      </c>
      <c r="G37" s="432" t="s">
        <v>494</v>
      </c>
    </row>
    <row r="38" spans="1:7" ht="60" customHeight="1" x14ac:dyDescent="0.2">
      <c r="A38" s="431" t="s">
        <v>486</v>
      </c>
      <c r="B38" s="431" t="s">
        <v>487</v>
      </c>
      <c r="C38" s="431" t="s">
        <v>499</v>
      </c>
      <c r="D38" s="431" t="s">
        <v>495</v>
      </c>
      <c r="E38" s="431" t="s">
        <v>502</v>
      </c>
      <c r="F38" s="431" t="s">
        <v>503</v>
      </c>
      <c r="G38" s="431" t="s">
        <v>498</v>
      </c>
    </row>
    <row r="39" spans="1:7" ht="60" customHeight="1" x14ac:dyDescent="0.2">
      <c r="A39" s="432" t="s">
        <v>486</v>
      </c>
      <c r="B39" s="432" t="s">
        <v>487</v>
      </c>
      <c r="C39" s="432" t="s">
        <v>504</v>
      </c>
      <c r="D39" s="432" t="s">
        <v>489</v>
      </c>
      <c r="E39" s="432" t="s">
        <v>50</v>
      </c>
      <c r="F39" s="432" t="s">
        <v>50</v>
      </c>
      <c r="G39" s="432" t="s">
        <v>491</v>
      </c>
    </row>
    <row r="40" spans="1:7" ht="60" customHeight="1" x14ac:dyDescent="0.2">
      <c r="A40" s="431" t="s">
        <v>486</v>
      </c>
      <c r="B40" s="431" t="s">
        <v>487</v>
      </c>
      <c r="C40" s="431" t="s">
        <v>504</v>
      </c>
      <c r="D40" s="431" t="s">
        <v>492</v>
      </c>
      <c r="E40" s="431" t="s">
        <v>365</v>
      </c>
      <c r="F40" s="431" t="s">
        <v>505</v>
      </c>
      <c r="G40" s="431" t="s">
        <v>494</v>
      </c>
    </row>
    <row r="41" spans="1:7" ht="60" customHeight="1" x14ac:dyDescent="0.2">
      <c r="A41" s="432" t="s">
        <v>486</v>
      </c>
      <c r="B41" s="432" t="s">
        <v>487</v>
      </c>
      <c r="C41" s="432" t="s">
        <v>504</v>
      </c>
      <c r="D41" s="432" t="s">
        <v>495</v>
      </c>
      <c r="E41" s="432" t="s">
        <v>506</v>
      </c>
      <c r="F41" s="432" t="s">
        <v>507</v>
      </c>
      <c r="G41" s="432" t="s">
        <v>498</v>
      </c>
    </row>
    <row r="42" spans="1:7" ht="60" customHeight="1" x14ac:dyDescent="0.2">
      <c r="A42" s="431" t="s">
        <v>486</v>
      </c>
      <c r="B42" s="431" t="s">
        <v>487</v>
      </c>
      <c r="C42" s="431" t="s">
        <v>508</v>
      </c>
      <c r="D42" s="431" t="s">
        <v>489</v>
      </c>
      <c r="E42" s="431" t="s">
        <v>63</v>
      </c>
      <c r="F42" s="431" t="s">
        <v>56</v>
      </c>
      <c r="G42" s="431" t="s">
        <v>491</v>
      </c>
    </row>
    <row r="43" spans="1:7" ht="60" customHeight="1" x14ac:dyDescent="0.2">
      <c r="A43" s="432" t="s">
        <v>486</v>
      </c>
      <c r="B43" s="432" t="s">
        <v>487</v>
      </c>
      <c r="C43" s="432" t="s">
        <v>508</v>
      </c>
      <c r="D43" s="432" t="s">
        <v>492</v>
      </c>
      <c r="E43" s="432" t="s">
        <v>369</v>
      </c>
      <c r="F43" s="432" t="s">
        <v>509</v>
      </c>
      <c r="G43" s="432" t="s">
        <v>494</v>
      </c>
    </row>
    <row r="44" spans="1:7" ht="60" customHeight="1" x14ac:dyDescent="0.2">
      <c r="A44" s="431" t="s">
        <v>486</v>
      </c>
      <c r="B44" s="431" t="s">
        <v>487</v>
      </c>
      <c r="C44" s="431" t="s">
        <v>508</v>
      </c>
      <c r="D44" s="431" t="s">
        <v>495</v>
      </c>
      <c r="E44" s="431" t="s">
        <v>510</v>
      </c>
      <c r="F44" s="431" t="s">
        <v>511</v>
      </c>
      <c r="G44" s="431" t="s">
        <v>498</v>
      </c>
    </row>
    <row r="45" spans="1:7" ht="60" customHeight="1" x14ac:dyDescent="0.2">
      <c r="A45" s="432" t="s">
        <v>486</v>
      </c>
      <c r="B45" s="432" t="s">
        <v>487</v>
      </c>
      <c r="C45" s="432" t="s">
        <v>512</v>
      </c>
      <c r="D45" s="432" t="s">
        <v>489</v>
      </c>
      <c r="E45" s="432" t="s">
        <v>69</v>
      </c>
      <c r="F45" s="432" t="s">
        <v>63</v>
      </c>
      <c r="G45" s="432" t="s">
        <v>491</v>
      </c>
    </row>
    <row r="46" spans="1:7" ht="60" customHeight="1" x14ac:dyDescent="0.2">
      <c r="A46" s="431" t="s">
        <v>486</v>
      </c>
      <c r="B46" s="431" t="s">
        <v>487</v>
      </c>
      <c r="C46" s="431" t="s">
        <v>512</v>
      </c>
      <c r="D46" s="431" t="s">
        <v>492</v>
      </c>
      <c r="E46" s="431" t="s">
        <v>369</v>
      </c>
      <c r="F46" s="431" t="s">
        <v>513</v>
      </c>
      <c r="G46" s="431" t="s">
        <v>494</v>
      </c>
    </row>
    <row r="47" spans="1:7" ht="60" customHeight="1" x14ac:dyDescent="0.2">
      <c r="A47" s="432" t="s">
        <v>486</v>
      </c>
      <c r="B47" s="432" t="s">
        <v>487</v>
      </c>
      <c r="C47" s="432" t="s">
        <v>512</v>
      </c>
      <c r="D47" s="432" t="s">
        <v>495</v>
      </c>
      <c r="E47" s="432" t="s">
        <v>514</v>
      </c>
      <c r="F47" s="432" t="s">
        <v>515</v>
      </c>
      <c r="G47" s="432" t="s">
        <v>498</v>
      </c>
    </row>
    <row r="48" spans="1:7" ht="60" customHeight="1" x14ac:dyDescent="0.2">
      <c r="A48" s="431" t="s">
        <v>486</v>
      </c>
      <c r="B48" s="431" t="s">
        <v>487</v>
      </c>
      <c r="C48" s="431" t="s">
        <v>516</v>
      </c>
      <c r="D48" s="431" t="s">
        <v>489</v>
      </c>
      <c r="E48" s="431" t="s">
        <v>56</v>
      </c>
      <c r="F48" s="431" t="s">
        <v>69</v>
      </c>
      <c r="G48" s="431" t="s">
        <v>491</v>
      </c>
    </row>
    <row r="49" spans="1:7" ht="60" customHeight="1" x14ac:dyDescent="0.2">
      <c r="A49" s="432" t="s">
        <v>486</v>
      </c>
      <c r="B49" s="432" t="s">
        <v>487</v>
      </c>
      <c r="C49" s="432" t="s">
        <v>516</v>
      </c>
      <c r="D49" s="432" t="s">
        <v>492</v>
      </c>
      <c r="E49" s="432" t="s">
        <v>369</v>
      </c>
      <c r="F49" s="432" t="s">
        <v>517</v>
      </c>
      <c r="G49" s="432" t="s">
        <v>494</v>
      </c>
    </row>
    <row r="50" spans="1:7" ht="60" customHeight="1" x14ac:dyDescent="0.2">
      <c r="A50" s="431" t="s">
        <v>486</v>
      </c>
      <c r="B50" s="431" t="s">
        <v>487</v>
      </c>
      <c r="C50" s="431" t="s">
        <v>516</v>
      </c>
      <c r="D50" s="431" t="s">
        <v>495</v>
      </c>
      <c r="E50" s="431" t="s">
        <v>502</v>
      </c>
      <c r="F50" s="431" t="s">
        <v>518</v>
      </c>
      <c r="G50" s="431" t="s">
        <v>498</v>
      </c>
    </row>
    <row r="51" spans="1:7" ht="60" customHeight="1" x14ac:dyDescent="0.2">
      <c r="A51" s="432" t="s">
        <v>486</v>
      </c>
      <c r="B51" s="432" t="s">
        <v>487</v>
      </c>
      <c r="C51" s="432" t="s">
        <v>519</v>
      </c>
      <c r="D51" s="432" t="s">
        <v>489</v>
      </c>
      <c r="E51" s="432" t="s">
        <v>520</v>
      </c>
      <c r="F51" s="432" t="s">
        <v>520</v>
      </c>
      <c r="G51" s="432" t="s">
        <v>491</v>
      </c>
    </row>
    <row r="52" spans="1:7" ht="60" customHeight="1" x14ac:dyDescent="0.2">
      <c r="A52" s="431" t="s">
        <v>486</v>
      </c>
      <c r="B52" s="431" t="s">
        <v>487</v>
      </c>
      <c r="C52" s="431" t="s">
        <v>519</v>
      </c>
      <c r="D52" s="431" t="s">
        <v>492</v>
      </c>
      <c r="E52" s="431" t="s">
        <v>369</v>
      </c>
      <c r="F52" s="431" t="s">
        <v>521</v>
      </c>
      <c r="G52" s="431" t="s">
        <v>494</v>
      </c>
    </row>
    <row r="53" spans="1:7" ht="60" customHeight="1" x14ac:dyDescent="0.2">
      <c r="A53" s="432" t="s">
        <v>486</v>
      </c>
      <c r="B53" s="432" t="s">
        <v>487</v>
      </c>
      <c r="C53" s="432" t="s">
        <v>519</v>
      </c>
      <c r="D53" s="432" t="s">
        <v>495</v>
      </c>
      <c r="E53" s="432" t="s">
        <v>510</v>
      </c>
      <c r="F53" s="432" t="s">
        <v>522</v>
      </c>
      <c r="G53" s="432" t="s">
        <v>498</v>
      </c>
    </row>
    <row r="54" spans="1:7" ht="60" customHeight="1" x14ac:dyDescent="0.2">
      <c r="A54" s="431" t="s">
        <v>486</v>
      </c>
      <c r="B54" s="431" t="s">
        <v>487</v>
      </c>
      <c r="C54" s="431" t="s">
        <v>523</v>
      </c>
      <c r="D54" s="431" t="s">
        <v>524</v>
      </c>
      <c r="E54" s="431" t="s">
        <v>525</v>
      </c>
      <c r="F54" s="431" t="s">
        <v>526</v>
      </c>
      <c r="G54" s="431" t="s">
        <v>527</v>
      </c>
    </row>
    <row r="55" spans="1:7" ht="60" customHeight="1" x14ac:dyDescent="0.2">
      <c r="A55" s="432" t="s">
        <v>486</v>
      </c>
      <c r="B55" s="432" t="s">
        <v>487</v>
      </c>
      <c r="C55" s="432" t="s">
        <v>523</v>
      </c>
      <c r="D55" s="432" t="s">
        <v>492</v>
      </c>
      <c r="E55" s="432" t="s">
        <v>365</v>
      </c>
      <c r="F55" s="432" t="s">
        <v>528</v>
      </c>
      <c r="G55" s="432" t="s">
        <v>529</v>
      </c>
    </row>
    <row r="56" spans="1:7" ht="60" customHeight="1" x14ac:dyDescent="0.2">
      <c r="A56" s="431" t="s">
        <v>486</v>
      </c>
      <c r="B56" s="431" t="s">
        <v>487</v>
      </c>
      <c r="C56" s="431" t="s">
        <v>523</v>
      </c>
      <c r="D56" s="431" t="s">
        <v>495</v>
      </c>
      <c r="E56" s="431" t="s">
        <v>530</v>
      </c>
      <c r="F56" s="431" t="s">
        <v>531</v>
      </c>
      <c r="G56" s="431" t="s">
        <v>532</v>
      </c>
    </row>
    <row r="57" spans="1:7" ht="60" customHeight="1" x14ac:dyDescent="0.2">
      <c r="A57" s="432" t="s">
        <v>486</v>
      </c>
      <c r="B57" s="432" t="s">
        <v>487</v>
      </c>
      <c r="C57" s="432" t="s">
        <v>533</v>
      </c>
      <c r="D57" s="432" t="s">
        <v>534</v>
      </c>
      <c r="E57" s="432" t="s">
        <v>535</v>
      </c>
      <c r="F57" s="432" t="s">
        <v>536</v>
      </c>
      <c r="G57" s="432" t="s">
        <v>537</v>
      </c>
    </row>
    <row r="58" spans="1:7" ht="60" customHeight="1" x14ac:dyDescent="0.2">
      <c r="A58" s="431" t="s">
        <v>486</v>
      </c>
      <c r="B58" s="431" t="s">
        <v>487</v>
      </c>
      <c r="C58" s="431" t="s">
        <v>538</v>
      </c>
      <c r="D58" s="431" t="s">
        <v>524</v>
      </c>
      <c r="E58" s="431" t="s">
        <v>539</v>
      </c>
      <c r="F58" s="431" t="s">
        <v>540</v>
      </c>
      <c r="G58" s="431" t="s">
        <v>541</v>
      </c>
    </row>
    <row r="59" spans="1:7" ht="60" customHeight="1" x14ac:dyDescent="0.2">
      <c r="A59" s="432" t="s">
        <v>486</v>
      </c>
      <c r="B59" s="432" t="s">
        <v>487</v>
      </c>
      <c r="C59" s="432" t="s">
        <v>538</v>
      </c>
      <c r="D59" s="432" t="s">
        <v>492</v>
      </c>
      <c r="E59" s="432" t="s">
        <v>365</v>
      </c>
      <c r="F59" s="432" t="s">
        <v>542</v>
      </c>
      <c r="G59" s="432" t="s">
        <v>529</v>
      </c>
    </row>
    <row r="60" spans="1:7" ht="60" customHeight="1" x14ac:dyDescent="0.2">
      <c r="A60" s="431" t="s">
        <v>486</v>
      </c>
      <c r="B60" s="431" t="s">
        <v>487</v>
      </c>
      <c r="C60" s="431" t="s">
        <v>538</v>
      </c>
      <c r="D60" s="431" t="s">
        <v>495</v>
      </c>
      <c r="E60" s="431" t="s">
        <v>530</v>
      </c>
      <c r="F60" s="431" t="s">
        <v>531</v>
      </c>
      <c r="G60" s="431" t="s">
        <v>543</v>
      </c>
    </row>
    <row r="62" spans="1:7" x14ac:dyDescent="0.2">
      <c r="A62" s="466" t="s">
        <v>544</v>
      </c>
      <c r="B62" s="435"/>
      <c r="C62" s="435"/>
      <c r="D62" s="435"/>
      <c r="E62" s="435"/>
      <c r="F62" s="435"/>
      <c r="G62" s="435"/>
    </row>
    <row r="63" spans="1:7" ht="60" customHeight="1" x14ac:dyDescent="0.2">
      <c r="A63" s="432" t="s">
        <v>486</v>
      </c>
      <c r="B63" s="432" t="s">
        <v>545</v>
      </c>
      <c r="C63" s="432" t="s">
        <v>523</v>
      </c>
      <c r="D63" s="432" t="s">
        <v>546</v>
      </c>
      <c r="E63" s="432" t="s">
        <v>547</v>
      </c>
      <c r="F63" s="432" t="s">
        <v>548</v>
      </c>
      <c r="G63" s="432" t="s">
        <v>549</v>
      </c>
    </row>
    <row r="64" spans="1:7" ht="60" customHeight="1" x14ac:dyDescent="0.2">
      <c r="A64" s="431" t="s">
        <v>486</v>
      </c>
      <c r="B64" s="431" t="s">
        <v>545</v>
      </c>
      <c r="C64" s="431" t="s">
        <v>550</v>
      </c>
      <c r="D64" s="431" t="s">
        <v>546</v>
      </c>
      <c r="E64" s="431" t="s">
        <v>551</v>
      </c>
      <c r="F64" s="431" t="s">
        <v>552</v>
      </c>
      <c r="G64" s="431" t="s">
        <v>549</v>
      </c>
    </row>
    <row r="65" spans="1:7" ht="60" customHeight="1" x14ac:dyDescent="0.2">
      <c r="A65" s="432" t="s">
        <v>486</v>
      </c>
      <c r="B65" s="432" t="s">
        <v>545</v>
      </c>
      <c r="C65" s="432" t="s">
        <v>504</v>
      </c>
      <c r="D65" s="432" t="s">
        <v>546</v>
      </c>
      <c r="E65" s="432" t="s">
        <v>553</v>
      </c>
      <c r="F65" s="432" t="s">
        <v>554</v>
      </c>
      <c r="G65" s="432" t="s">
        <v>549</v>
      </c>
    </row>
    <row r="66" spans="1:7" ht="60" customHeight="1" x14ac:dyDescent="0.2">
      <c r="A66" s="431" t="s">
        <v>486</v>
      </c>
      <c r="B66" s="431" t="s">
        <v>545</v>
      </c>
      <c r="C66" s="431" t="s">
        <v>508</v>
      </c>
      <c r="D66" s="431" t="s">
        <v>546</v>
      </c>
      <c r="E66" s="431" t="s">
        <v>547</v>
      </c>
      <c r="F66" s="431" t="s">
        <v>555</v>
      </c>
      <c r="G66" s="431" t="s">
        <v>549</v>
      </c>
    </row>
    <row r="67" spans="1:7" ht="60" customHeight="1" x14ac:dyDescent="0.2">
      <c r="A67" s="432" t="s">
        <v>486</v>
      </c>
      <c r="B67" s="432" t="s">
        <v>545</v>
      </c>
      <c r="C67" s="432" t="s">
        <v>512</v>
      </c>
      <c r="D67" s="432" t="s">
        <v>546</v>
      </c>
      <c r="E67" s="432" t="s">
        <v>556</v>
      </c>
      <c r="F67" s="432" t="s">
        <v>557</v>
      </c>
      <c r="G67" s="432" t="s">
        <v>549</v>
      </c>
    </row>
    <row r="68" spans="1:7" ht="60" customHeight="1" x14ac:dyDescent="0.2">
      <c r="A68" s="431" t="s">
        <v>486</v>
      </c>
      <c r="B68" s="431" t="s">
        <v>545</v>
      </c>
      <c r="C68" s="431" t="s">
        <v>519</v>
      </c>
      <c r="D68" s="431" t="s">
        <v>546</v>
      </c>
      <c r="E68" s="431" t="s">
        <v>558</v>
      </c>
      <c r="F68" s="431" t="s">
        <v>559</v>
      </c>
      <c r="G68" s="431" t="s">
        <v>549</v>
      </c>
    </row>
    <row r="69" spans="1:7" ht="60" customHeight="1" x14ac:dyDescent="0.2">
      <c r="A69" s="432" t="s">
        <v>486</v>
      </c>
      <c r="B69" s="432" t="s">
        <v>545</v>
      </c>
      <c r="C69" s="432" t="s">
        <v>499</v>
      </c>
      <c r="D69" s="432" t="s">
        <v>546</v>
      </c>
      <c r="E69" s="432" t="s">
        <v>560</v>
      </c>
      <c r="F69" s="432" t="s">
        <v>561</v>
      </c>
      <c r="G69" s="432" t="s">
        <v>549</v>
      </c>
    </row>
    <row r="70" spans="1:7" ht="60" customHeight="1" x14ac:dyDescent="0.2">
      <c r="A70" s="431" t="s">
        <v>486</v>
      </c>
      <c r="B70" s="431" t="s">
        <v>545</v>
      </c>
      <c r="C70" s="431" t="s">
        <v>488</v>
      </c>
      <c r="D70" s="431" t="s">
        <v>546</v>
      </c>
      <c r="E70" s="431" t="s">
        <v>562</v>
      </c>
      <c r="F70" s="431" t="s">
        <v>563</v>
      </c>
      <c r="G70" s="431" t="s">
        <v>549</v>
      </c>
    </row>
    <row r="71" spans="1:7" ht="60" customHeight="1" x14ac:dyDescent="0.2">
      <c r="A71" s="432" t="s">
        <v>486</v>
      </c>
      <c r="B71" s="432" t="s">
        <v>545</v>
      </c>
      <c r="C71" s="432" t="s">
        <v>516</v>
      </c>
      <c r="D71" s="432" t="s">
        <v>546</v>
      </c>
      <c r="E71" s="432" t="s">
        <v>564</v>
      </c>
      <c r="F71" s="432" t="s">
        <v>565</v>
      </c>
      <c r="G71" s="432" t="s">
        <v>549</v>
      </c>
    </row>
    <row r="72" spans="1:7" ht="60" customHeight="1" x14ac:dyDescent="0.2">
      <c r="A72" s="431" t="s">
        <v>486</v>
      </c>
      <c r="B72" s="431" t="s">
        <v>566</v>
      </c>
      <c r="C72" s="431" t="s">
        <v>466</v>
      </c>
      <c r="D72" s="431" t="s">
        <v>567</v>
      </c>
      <c r="E72" s="431" t="s">
        <v>568</v>
      </c>
      <c r="F72" s="431" t="s">
        <v>569</v>
      </c>
      <c r="G72" s="431" t="s">
        <v>570</v>
      </c>
    </row>
    <row r="73" spans="1:7" ht="60" customHeight="1" x14ac:dyDescent="0.2">
      <c r="A73" s="432" t="s">
        <v>486</v>
      </c>
      <c r="B73" s="432" t="s">
        <v>566</v>
      </c>
      <c r="C73" s="432" t="s">
        <v>571</v>
      </c>
      <c r="D73" s="432" t="s">
        <v>572</v>
      </c>
      <c r="E73" s="432" t="s">
        <v>573</v>
      </c>
      <c r="F73" s="432" t="s">
        <v>574</v>
      </c>
      <c r="G73" s="432" t="s">
        <v>575</v>
      </c>
    </row>
    <row r="74" spans="1:7" ht="60" customHeight="1" x14ac:dyDescent="0.2">
      <c r="A74" s="431" t="s">
        <v>486</v>
      </c>
      <c r="B74" s="431" t="s">
        <v>566</v>
      </c>
      <c r="C74" s="431" t="s">
        <v>571</v>
      </c>
      <c r="D74" s="431" t="s">
        <v>576</v>
      </c>
      <c r="E74" s="431" t="s">
        <v>577</v>
      </c>
      <c r="F74" s="431" t="s">
        <v>578</v>
      </c>
      <c r="G74" s="431" t="s">
        <v>579</v>
      </c>
    </row>
    <row r="75" spans="1:7" ht="60" customHeight="1" x14ac:dyDescent="0.2">
      <c r="A75" s="432" t="s">
        <v>486</v>
      </c>
      <c r="B75" s="432" t="s">
        <v>566</v>
      </c>
      <c r="C75" s="432" t="s">
        <v>580</v>
      </c>
      <c r="D75" s="432" t="s">
        <v>576</v>
      </c>
      <c r="E75" s="432" t="s">
        <v>581</v>
      </c>
      <c r="F75" s="432" t="s">
        <v>582</v>
      </c>
      <c r="G75" s="432" t="s">
        <v>583</v>
      </c>
    </row>
    <row r="76" spans="1:7" ht="60" customHeight="1" x14ac:dyDescent="0.2">
      <c r="A76" s="431" t="s">
        <v>486</v>
      </c>
      <c r="B76" s="431" t="s">
        <v>566</v>
      </c>
      <c r="C76" s="431" t="s">
        <v>584</v>
      </c>
      <c r="D76" s="431" t="s">
        <v>576</v>
      </c>
      <c r="E76" s="431" t="s">
        <v>585</v>
      </c>
      <c r="F76" s="431" t="s">
        <v>586</v>
      </c>
      <c r="G76" s="431" t="s">
        <v>579</v>
      </c>
    </row>
    <row r="77" spans="1:7" ht="60" customHeight="1" x14ac:dyDescent="0.2">
      <c r="A77" s="432" t="s">
        <v>486</v>
      </c>
      <c r="B77" s="432" t="s">
        <v>566</v>
      </c>
      <c r="C77" s="432" t="s">
        <v>587</v>
      </c>
      <c r="D77" s="432" t="s">
        <v>588</v>
      </c>
      <c r="E77" s="432" t="s">
        <v>589</v>
      </c>
      <c r="F77" s="432" t="s">
        <v>590</v>
      </c>
      <c r="G77" s="432" t="s">
        <v>591</v>
      </c>
    </row>
    <row r="78" spans="1:7" ht="60" customHeight="1" x14ac:dyDescent="0.2">
      <c r="A78" s="431" t="s">
        <v>486</v>
      </c>
      <c r="B78" s="431" t="s">
        <v>566</v>
      </c>
      <c r="C78" s="431" t="s">
        <v>592</v>
      </c>
      <c r="D78" s="431" t="s">
        <v>588</v>
      </c>
      <c r="E78" s="431" t="s">
        <v>593</v>
      </c>
      <c r="F78" s="431" t="s">
        <v>594</v>
      </c>
      <c r="G78" s="431" t="s">
        <v>591</v>
      </c>
    </row>
    <row r="79" spans="1:7" ht="60" customHeight="1" x14ac:dyDescent="0.2">
      <c r="A79" s="432" t="s">
        <v>486</v>
      </c>
      <c r="B79" s="432" t="s">
        <v>566</v>
      </c>
      <c r="C79" s="432" t="s">
        <v>595</v>
      </c>
      <c r="D79" s="432" t="s">
        <v>588</v>
      </c>
      <c r="E79" s="432" t="s">
        <v>596</v>
      </c>
      <c r="F79" s="432" t="s">
        <v>597</v>
      </c>
      <c r="G79" s="432" t="s">
        <v>591</v>
      </c>
    </row>
    <row r="80" spans="1:7" ht="60" customHeight="1" x14ac:dyDescent="0.2">
      <c r="A80" s="431" t="s">
        <v>486</v>
      </c>
      <c r="B80" s="431" t="s">
        <v>566</v>
      </c>
      <c r="C80" s="431" t="s">
        <v>598</v>
      </c>
      <c r="D80" s="431" t="s">
        <v>588</v>
      </c>
      <c r="E80" s="431" t="s">
        <v>599</v>
      </c>
      <c r="F80" s="431" t="s">
        <v>600</v>
      </c>
      <c r="G80" s="431" t="s">
        <v>591</v>
      </c>
    </row>
    <row r="81" spans="1:7" ht="60" customHeight="1" x14ac:dyDescent="0.2">
      <c r="A81" s="432" t="s">
        <v>486</v>
      </c>
      <c r="B81" s="432" t="s">
        <v>566</v>
      </c>
      <c r="C81" s="432" t="s">
        <v>601</v>
      </c>
      <c r="D81" s="432" t="s">
        <v>588</v>
      </c>
      <c r="E81" s="432" t="s">
        <v>602</v>
      </c>
      <c r="F81" s="432" t="s">
        <v>603</v>
      </c>
      <c r="G81" s="432" t="s">
        <v>591</v>
      </c>
    </row>
    <row r="82" spans="1:7" ht="60" customHeight="1" x14ac:dyDescent="0.2">
      <c r="A82" s="431" t="s">
        <v>486</v>
      </c>
      <c r="B82" s="431" t="s">
        <v>566</v>
      </c>
      <c r="C82" s="431" t="s">
        <v>604</v>
      </c>
      <c r="D82" s="431" t="s">
        <v>588</v>
      </c>
      <c r="E82" s="431" t="s">
        <v>605</v>
      </c>
      <c r="F82" s="431" t="s">
        <v>606</v>
      </c>
      <c r="G82" s="431" t="s">
        <v>591</v>
      </c>
    </row>
    <row r="83" spans="1:7" ht="60" customHeight="1" x14ac:dyDescent="0.2">
      <c r="A83" s="432" t="s">
        <v>486</v>
      </c>
      <c r="B83" s="432" t="s">
        <v>566</v>
      </c>
      <c r="C83" s="432" t="s">
        <v>607</v>
      </c>
      <c r="D83" s="432" t="s">
        <v>588</v>
      </c>
      <c r="E83" s="432" t="s">
        <v>608</v>
      </c>
      <c r="F83" s="432" t="s">
        <v>609</v>
      </c>
      <c r="G83" s="432" t="s">
        <v>591</v>
      </c>
    </row>
    <row r="84" spans="1:7" ht="60" customHeight="1" x14ac:dyDescent="0.2">
      <c r="A84" s="431" t="s">
        <v>486</v>
      </c>
      <c r="B84" s="431" t="s">
        <v>566</v>
      </c>
      <c r="C84" s="431" t="s">
        <v>610</v>
      </c>
      <c r="D84" s="431" t="s">
        <v>611</v>
      </c>
      <c r="E84" s="431" t="s">
        <v>589</v>
      </c>
      <c r="F84" s="431" t="s">
        <v>612</v>
      </c>
      <c r="G84" s="431" t="s">
        <v>613</v>
      </c>
    </row>
    <row r="85" spans="1:7" ht="60" customHeight="1" x14ac:dyDescent="0.2">
      <c r="A85" s="432" t="s">
        <v>486</v>
      </c>
      <c r="B85" s="432" t="s">
        <v>566</v>
      </c>
      <c r="C85" s="432" t="s">
        <v>614</v>
      </c>
      <c r="D85" s="432" t="s">
        <v>611</v>
      </c>
      <c r="E85" s="432" t="s">
        <v>615</v>
      </c>
      <c r="F85" s="432" t="s">
        <v>594</v>
      </c>
      <c r="G85" s="432" t="s">
        <v>613</v>
      </c>
    </row>
    <row r="86" spans="1:7" ht="60" customHeight="1" x14ac:dyDescent="0.2">
      <c r="A86" s="431" t="s">
        <v>486</v>
      </c>
      <c r="B86" s="431" t="s">
        <v>566</v>
      </c>
      <c r="C86" s="431" t="s">
        <v>616</v>
      </c>
      <c r="D86" s="431" t="s">
        <v>611</v>
      </c>
      <c r="E86" s="431" t="s">
        <v>605</v>
      </c>
      <c r="F86" s="431" t="s">
        <v>617</v>
      </c>
      <c r="G86" s="431" t="s">
        <v>613</v>
      </c>
    </row>
    <row r="87" spans="1:7" ht="60" customHeight="1" x14ac:dyDescent="0.2">
      <c r="A87" s="432" t="s">
        <v>486</v>
      </c>
      <c r="B87" s="432" t="s">
        <v>566</v>
      </c>
      <c r="C87" s="432" t="s">
        <v>618</v>
      </c>
      <c r="D87" s="432" t="s">
        <v>611</v>
      </c>
      <c r="E87" s="432" t="s">
        <v>619</v>
      </c>
      <c r="F87" s="432" t="s">
        <v>600</v>
      </c>
      <c r="G87" s="432" t="s">
        <v>613</v>
      </c>
    </row>
    <row r="88" spans="1:7" ht="60" customHeight="1" x14ac:dyDescent="0.2">
      <c r="A88" s="431" t="s">
        <v>486</v>
      </c>
      <c r="B88" s="431" t="s">
        <v>566</v>
      </c>
      <c r="C88" s="431" t="s">
        <v>620</v>
      </c>
      <c r="D88" s="431" t="s">
        <v>611</v>
      </c>
      <c r="E88" s="431" t="s">
        <v>621</v>
      </c>
      <c r="F88" s="431" t="s">
        <v>603</v>
      </c>
      <c r="G88" s="431" t="s">
        <v>613</v>
      </c>
    </row>
    <row r="89" spans="1:7" ht="60" customHeight="1" x14ac:dyDescent="0.2">
      <c r="A89" s="432" t="s">
        <v>486</v>
      </c>
      <c r="B89" s="432" t="s">
        <v>566</v>
      </c>
      <c r="C89" s="432" t="s">
        <v>622</v>
      </c>
      <c r="D89" s="432" t="s">
        <v>611</v>
      </c>
      <c r="E89" s="432" t="s">
        <v>623</v>
      </c>
      <c r="F89" s="432" t="s">
        <v>624</v>
      </c>
      <c r="G89" s="432" t="s">
        <v>613</v>
      </c>
    </row>
    <row r="90" spans="1:7" ht="60" customHeight="1" x14ac:dyDescent="0.2">
      <c r="A90" s="431" t="s">
        <v>486</v>
      </c>
      <c r="B90" s="431" t="s">
        <v>566</v>
      </c>
      <c r="C90" s="431" t="s">
        <v>625</v>
      </c>
      <c r="D90" s="431" t="s">
        <v>611</v>
      </c>
      <c r="E90" s="431" t="s">
        <v>626</v>
      </c>
      <c r="F90" s="431" t="s">
        <v>609</v>
      </c>
      <c r="G90" s="431" t="s">
        <v>613</v>
      </c>
    </row>
    <row r="91" spans="1:7" ht="60" customHeight="1" x14ac:dyDescent="0.2">
      <c r="A91" s="432" t="s">
        <v>486</v>
      </c>
      <c r="B91" s="432" t="s">
        <v>566</v>
      </c>
      <c r="C91" s="432" t="s">
        <v>488</v>
      </c>
      <c r="D91" s="432" t="s">
        <v>627</v>
      </c>
      <c r="E91" s="432" t="s">
        <v>628</v>
      </c>
      <c r="F91" s="432" t="s">
        <v>629</v>
      </c>
      <c r="G91" s="432" t="s">
        <v>491</v>
      </c>
    </row>
    <row r="92" spans="1:7" ht="60" customHeight="1" x14ac:dyDescent="0.2">
      <c r="A92" s="431" t="s">
        <v>486</v>
      </c>
      <c r="B92" s="431" t="s">
        <v>566</v>
      </c>
      <c r="C92" s="431" t="s">
        <v>499</v>
      </c>
      <c r="D92" s="431" t="s">
        <v>630</v>
      </c>
      <c r="E92" s="431" t="s">
        <v>631</v>
      </c>
      <c r="F92" s="431" t="s">
        <v>632</v>
      </c>
      <c r="G92" s="431" t="s">
        <v>491</v>
      </c>
    </row>
    <row r="93" spans="1:7" ht="60" customHeight="1" x14ac:dyDescent="0.2">
      <c r="A93" s="432" t="s">
        <v>486</v>
      </c>
      <c r="B93" s="432" t="s">
        <v>566</v>
      </c>
      <c r="C93" s="432" t="s">
        <v>504</v>
      </c>
      <c r="D93" s="432" t="s">
        <v>633</v>
      </c>
      <c r="E93" s="432" t="s">
        <v>634</v>
      </c>
      <c r="F93" s="432" t="s">
        <v>635</v>
      </c>
      <c r="G93" s="432" t="s">
        <v>491</v>
      </c>
    </row>
    <row r="94" spans="1:7" ht="60" customHeight="1" x14ac:dyDescent="0.2">
      <c r="A94" s="431" t="s">
        <v>486</v>
      </c>
      <c r="B94" s="431" t="s">
        <v>566</v>
      </c>
      <c r="C94" s="431" t="s">
        <v>508</v>
      </c>
      <c r="D94" s="431" t="s">
        <v>636</v>
      </c>
      <c r="E94" s="431" t="s">
        <v>637</v>
      </c>
      <c r="F94" s="431" t="s">
        <v>638</v>
      </c>
      <c r="G94" s="431" t="s">
        <v>491</v>
      </c>
    </row>
    <row r="95" spans="1:7" ht="60" customHeight="1" x14ac:dyDescent="0.2">
      <c r="A95" s="432" t="s">
        <v>486</v>
      </c>
      <c r="B95" s="432" t="s">
        <v>566</v>
      </c>
      <c r="C95" s="432" t="s">
        <v>512</v>
      </c>
      <c r="D95" s="432" t="s">
        <v>639</v>
      </c>
      <c r="E95" s="432" t="s">
        <v>640</v>
      </c>
      <c r="F95" s="432" t="s">
        <v>641</v>
      </c>
      <c r="G95" s="432" t="s">
        <v>491</v>
      </c>
    </row>
    <row r="96" spans="1:7" ht="60" customHeight="1" x14ac:dyDescent="0.2">
      <c r="A96" s="431" t="s">
        <v>486</v>
      </c>
      <c r="B96" s="431" t="s">
        <v>566</v>
      </c>
      <c r="C96" s="431" t="s">
        <v>516</v>
      </c>
      <c r="D96" s="431" t="s">
        <v>642</v>
      </c>
      <c r="E96" s="431" t="s">
        <v>643</v>
      </c>
      <c r="F96" s="431" t="s">
        <v>644</v>
      </c>
      <c r="G96" s="431" t="s">
        <v>491</v>
      </c>
    </row>
    <row r="97" spans="1:7" ht="60" customHeight="1" x14ac:dyDescent="0.2">
      <c r="A97" s="432" t="s">
        <v>486</v>
      </c>
      <c r="B97" s="432" t="s">
        <v>566</v>
      </c>
      <c r="C97" s="432" t="s">
        <v>519</v>
      </c>
      <c r="D97" s="432" t="s">
        <v>645</v>
      </c>
      <c r="E97" s="432" t="s">
        <v>646</v>
      </c>
      <c r="F97" s="432" t="s">
        <v>647</v>
      </c>
      <c r="G97" s="432" t="s">
        <v>491</v>
      </c>
    </row>
    <row r="98" spans="1:7" ht="60" customHeight="1" x14ac:dyDescent="0.2">
      <c r="A98" s="431" t="s">
        <v>486</v>
      </c>
      <c r="B98" s="431" t="s">
        <v>566</v>
      </c>
      <c r="C98" s="431" t="s">
        <v>648</v>
      </c>
      <c r="D98" s="431" t="s">
        <v>649</v>
      </c>
      <c r="E98" s="431" t="s">
        <v>650</v>
      </c>
      <c r="F98" s="431" t="s">
        <v>651</v>
      </c>
      <c r="G98" s="431" t="s">
        <v>652</v>
      </c>
    </row>
    <row r="99" spans="1:7" ht="60" customHeight="1" x14ac:dyDescent="0.2">
      <c r="A99" s="432" t="s">
        <v>486</v>
      </c>
      <c r="B99" s="432" t="s">
        <v>566</v>
      </c>
      <c r="C99" s="432" t="s">
        <v>533</v>
      </c>
      <c r="D99" s="432" t="s">
        <v>653</v>
      </c>
      <c r="E99" s="432" t="s">
        <v>650</v>
      </c>
      <c r="F99" s="432" t="s">
        <v>654</v>
      </c>
      <c r="G99" s="432" t="s">
        <v>652</v>
      </c>
    </row>
    <row r="100" spans="1:7" ht="60" customHeight="1" x14ac:dyDescent="0.2">
      <c r="A100" s="431" t="s">
        <v>486</v>
      </c>
      <c r="B100" s="431" t="s">
        <v>566</v>
      </c>
      <c r="C100" s="431" t="s">
        <v>550</v>
      </c>
      <c r="D100" s="431" t="s">
        <v>655</v>
      </c>
      <c r="E100" s="431" t="s">
        <v>650</v>
      </c>
      <c r="F100" s="431" t="s">
        <v>656</v>
      </c>
      <c r="G100" s="431" t="s">
        <v>652</v>
      </c>
    </row>
    <row r="101" spans="1:7" ht="60" customHeight="1" x14ac:dyDescent="0.2">
      <c r="A101" s="432" t="s">
        <v>486</v>
      </c>
      <c r="B101" s="432" t="s">
        <v>657</v>
      </c>
      <c r="C101" s="432" t="s">
        <v>523</v>
      </c>
      <c r="D101" s="432" t="s">
        <v>658</v>
      </c>
      <c r="E101" s="432" t="s">
        <v>659</v>
      </c>
      <c r="F101" s="432" t="s">
        <v>660</v>
      </c>
      <c r="G101" s="432" t="s">
        <v>661</v>
      </c>
    </row>
    <row r="102" spans="1:7" ht="60" customHeight="1" x14ac:dyDescent="0.2">
      <c r="A102" s="431" t="s">
        <v>486</v>
      </c>
      <c r="B102" s="431" t="s">
        <v>657</v>
      </c>
      <c r="C102" s="431" t="s">
        <v>550</v>
      </c>
      <c r="D102" s="431" t="s">
        <v>658</v>
      </c>
      <c r="E102" s="431" t="s">
        <v>659</v>
      </c>
      <c r="F102" s="431" t="s">
        <v>660</v>
      </c>
      <c r="G102" s="431" t="s">
        <v>662</v>
      </c>
    </row>
    <row r="103" spans="1:7" ht="60" customHeight="1" x14ac:dyDescent="0.2">
      <c r="A103" s="432" t="s">
        <v>486</v>
      </c>
      <c r="B103" s="432" t="s">
        <v>657</v>
      </c>
      <c r="C103" s="432" t="s">
        <v>438</v>
      </c>
      <c r="D103" s="432" t="s">
        <v>447</v>
      </c>
      <c r="E103" s="432" t="s">
        <v>663</v>
      </c>
      <c r="F103" s="432" t="s">
        <v>664</v>
      </c>
      <c r="G103" s="432" t="s">
        <v>665</v>
      </c>
    </row>
    <row r="104" spans="1:7" ht="60" customHeight="1" x14ac:dyDescent="0.2">
      <c r="A104" s="431" t="s">
        <v>486</v>
      </c>
      <c r="B104" s="431" t="s">
        <v>666</v>
      </c>
      <c r="C104" s="431" t="s">
        <v>523</v>
      </c>
      <c r="D104" s="431" t="s">
        <v>667</v>
      </c>
      <c r="E104" s="431" t="s">
        <v>523</v>
      </c>
      <c r="F104" s="431" t="s">
        <v>668</v>
      </c>
      <c r="G104" s="431" t="s">
        <v>669</v>
      </c>
    </row>
    <row r="105" spans="1:7" ht="60" customHeight="1" x14ac:dyDescent="0.2">
      <c r="A105" s="432" t="s">
        <v>486</v>
      </c>
      <c r="B105" s="432" t="s">
        <v>666</v>
      </c>
      <c r="C105" s="432" t="s">
        <v>550</v>
      </c>
      <c r="D105" s="432" t="s">
        <v>667</v>
      </c>
      <c r="E105" s="432" t="s">
        <v>550</v>
      </c>
      <c r="F105" s="432" t="s">
        <v>670</v>
      </c>
      <c r="G105" s="432" t="s">
        <v>669</v>
      </c>
    </row>
    <row r="106" spans="1:7" ht="60" customHeight="1" x14ac:dyDescent="0.2">
      <c r="A106" s="431" t="s">
        <v>486</v>
      </c>
      <c r="B106" s="431" t="s">
        <v>666</v>
      </c>
      <c r="C106" s="431" t="s">
        <v>504</v>
      </c>
      <c r="D106" s="431" t="s">
        <v>667</v>
      </c>
      <c r="E106" s="431" t="s">
        <v>504</v>
      </c>
      <c r="F106" s="431" t="s">
        <v>671</v>
      </c>
      <c r="G106" s="431" t="s">
        <v>669</v>
      </c>
    </row>
    <row r="107" spans="1:7" ht="60" customHeight="1" x14ac:dyDescent="0.2">
      <c r="A107" s="432" t="s">
        <v>486</v>
      </c>
      <c r="B107" s="432" t="s">
        <v>666</v>
      </c>
      <c r="C107" s="432" t="s">
        <v>516</v>
      </c>
      <c r="D107" s="432" t="s">
        <v>667</v>
      </c>
      <c r="E107" s="432" t="s">
        <v>516</v>
      </c>
      <c r="F107" s="432" t="s">
        <v>672</v>
      </c>
      <c r="G107" s="432" t="s">
        <v>669</v>
      </c>
    </row>
    <row r="108" spans="1:7" ht="60" customHeight="1" x14ac:dyDescent="0.2">
      <c r="A108" s="431" t="s">
        <v>486</v>
      </c>
      <c r="B108" s="431" t="s">
        <v>666</v>
      </c>
      <c r="C108" s="431" t="s">
        <v>508</v>
      </c>
      <c r="D108" s="431" t="s">
        <v>667</v>
      </c>
      <c r="E108" s="431" t="s">
        <v>508</v>
      </c>
      <c r="F108" s="431" t="s">
        <v>673</v>
      </c>
      <c r="G108" s="431" t="s">
        <v>669</v>
      </c>
    </row>
    <row r="109" spans="1:7" ht="60" customHeight="1" x14ac:dyDescent="0.2">
      <c r="A109" s="432" t="s">
        <v>486</v>
      </c>
      <c r="B109" s="432" t="s">
        <v>666</v>
      </c>
      <c r="C109" s="432" t="s">
        <v>512</v>
      </c>
      <c r="D109" s="432" t="s">
        <v>667</v>
      </c>
      <c r="E109" s="432" t="s">
        <v>512</v>
      </c>
      <c r="F109" s="432" t="s">
        <v>674</v>
      </c>
      <c r="G109" s="432" t="s">
        <v>669</v>
      </c>
    </row>
    <row r="110" spans="1:7" ht="60" customHeight="1" x14ac:dyDescent="0.2">
      <c r="A110" s="431" t="s">
        <v>486</v>
      </c>
      <c r="B110" s="431" t="s">
        <v>666</v>
      </c>
      <c r="C110" s="431" t="s">
        <v>519</v>
      </c>
      <c r="D110" s="431" t="s">
        <v>667</v>
      </c>
      <c r="E110" s="431" t="s">
        <v>519</v>
      </c>
      <c r="F110" s="431" t="s">
        <v>675</v>
      </c>
      <c r="G110" s="431" t="s">
        <v>669</v>
      </c>
    </row>
    <row r="111" spans="1:7" ht="60" customHeight="1" x14ac:dyDescent="0.2">
      <c r="A111" s="432" t="s">
        <v>486</v>
      </c>
      <c r="B111" s="432" t="s">
        <v>666</v>
      </c>
      <c r="C111" s="432" t="s">
        <v>499</v>
      </c>
      <c r="D111" s="432" t="s">
        <v>667</v>
      </c>
      <c r="E111" s="432" t="s">
        <v>499</v>
      </c>
      <c r="F111" s="432" t="s">
        <v>676</v>
      </c>
      <c r="G111" s="432" t="s">
        <v>669</v>
      </c>
    </row>
    <row r="112" spans="1:7" ht="60" customHeight="1" x14ac:dyDescent="0.2">
      <c r="A112" s="431" t="s">
        <v>486</v>
      </c>
      <c r="B112" s="431" t="s">
        <v>666</v>
      </c>
      <c r="C112" s="431" t="s">
        <v>488</v>
      </c>
      <c r="D112" s="431" t="s">
        <v>667</v>
      </c>
      <c r="E112" s="431" t="s">
        <v>488</v>
      </c>
      <c r="F112" s="431" t="s">
        <v>677</v>
      </c>
      <c r="G112" s="431" t="s">
        <v>669</v>
      </c>
    </row>
  </sheetData>
  <mergeCells count="18">
    <mergeCell ref="A62:G62"/>
    <mergeCell ref="A20:G20"/>
    <mergeCell ref="A24:G24"/>
    <mergeCell ref="A2:G2"/>
    <mergeCell ref="A26:G26"/>
    <mergeCell ref="A29:G29"/>
    <mergeCell ref="A30:G30"/>
    <mergeCell ref="A25:G25"/>
    <mergeCell ref="A19:G19"/>
    <mergeCell ref="A28:G28"/>
    <mergeCell ref="A23:G23"/>
    <mergeCell ref="A32:G32"/>
    <mergeCell ref="A1:G1"/>
    <mergeCell ref="A17:G17"/>
    <mergeCell ref="A18:G18"/>
    <mergeCell ref="A27:G27"/>
    <mergeCell ref="A21:G21"/>
    <mergeCell ref="A22:G2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0"/>
  <sheetViews>
    <sheetView showGridLines="0" zoomScaleNormal="100" workbookViewId="0"/>
  </sheetViews>
  <sheetFormatPr baseColWidth="10" defaultColWidth="8.6640625" defaultRowHeight="15" x14ac:dyDescent="0.2"/>
  <cols>
    <col min="1" max="1" width="2" customWidth="1"/>
    <col min="2" max="2" width="22" customWidth="1"/>
    <col min="3" max="3" width="14" customWidth="1"/>
    <col min="4" max="5" width="18" customWidth="1"/>
    <col min="6" max="6" width="20" customWidth="1"/>
    <col min="7" max="7" width="16" customWidth="1"/>
    <col min="8" max="8" width="12" customWidth="1"/>
    <col min="9" max="9" width="14" customWidth="1"/>
    <col min="10" max="10" width="12" customWidth="1"/>
    <col min="11" max="11" width="20" customWidth="1"/>
    <col min="12" max="12" width="10" customWidth="1"/>
    <col min="13" max="13" width="28" customWidth="1"/>
    <col min="14" max="14" width="48" customWidth="1"/>
  </cols>
  <sheetData>
    <row r="1" spans="1:14" ht="45.75" customHeight="1" x14ac:dyDescent="0.2">
      <c r="A1" s="449" t="s">
        <v>678</v>
      </c>
      <c r="B1" s="435"/>
      <c r="C1" s="435"/>
      <c r="D1" s="435"/>
      <c r="E1" s="435"/>
      <c r="F1" s="435"/>
      <c r="G1" s="435"/>
      <c r="H1" s="435"/>
      <c r="I1" s="435"/>
      <c r="J1" s="435"/>
      <c r="K1" s="435"/>
      <c r="L1" s="435"/>
      <c r="M1" s="435"/>
      <c r="N1" s="435"/>
    </row>
    <row r="2" spans="1:14" ht="19.5" customHeight="1" x14ac:dyDescent="0.2">
      <c r="A2" s="460" t="s">
        <v>679</v>
      </c>
      <c r="B2" s="435"/>
      <c r="C2" s="435"/>
      <c r="D2" s="435"/>
      <c r="E2" s="435"/>
      <c r="F2" s="435"/>
      <c r="G2" s="435"/>
      <c r="H2" s="435"/>
      <c r="I2" s="435"/>
      <c r="J2" s="435"/>
      <c r="K2" s="435"/>
      <c r="L2" s="435"/>
      <c r="M2" s="435"/>
      <c r="N2" s="435"/>
    </row>
    <row r="3" spans="1:14" ht="21.75" customHeight="1" x14ac:dyDescent="0.2">
      <c r="A3" s="479" t="s">
        <v>680</v>
      </c>
      <c r="B3" s="435"/>
      <c r="C3" s="435"/>
      <c r="D3" s="435"/>
      <c r="E3" s="435"/>
      <c r="F3" s="435"/>
      <c r="G3" s="435"/>
      <c r="H3" s="435"/>
      <c r="I3" s="435"/>
      <c r="J3" s="435"/>
      <c r="K3" s="435"/>
      <c r="L3" s="435"/>
      <c r="M3" s="435"/>
      <c r="N3" s="435"/>
    </row>
    <row r="4" spans="1:14" ht="9.75" customHeight="1" x14ac:dyDescent="0.2"/>
    <row r="5" spans="1:14" ht="19.5" customHeight="1" x14ac:dyDescent="0.2">
      <c r="B5" s="481" t="s">
        <v>681</v>
      </c>
      <c r="C5" s="435"/>
      <c r="D5" s="435"/>
      <c r="E5" s="435"/>
      <c r="F5" s="435"/>
      <c r="G5" s="435"/>
      <c r="H5" s="435"/>
      <c r="I5" s="435"/>
      <c r="J5" s="435"/>
      <c r="K5" s="435"/>
      <c r="L5" s="435"/>
      <c r="M5" s="435"/>
    </row>
    <row r="6" spans="1:14" ht="55.5" customHeight="1" x14ac:dyDescent="0.2">
      <c r="B6" s="471" t="s">
        <v>682</v>
      </c>
      <c r="C6" s="451"/>
      <c r="D6" s="451"/>
      <c r="E6" s="451"/>
      <c r="F6" s="451"/>
      <c r="G6" s="451"/>
      <c r="H6" s="451"/>
      <c r="I6" s="451"/>
      <c r="J6" s="451"/>
      <c r="K6" s="451"/>
      <c r="L6" s="451"/>
      <c r="M6" s="451"/>
    </row>
    <row r="7" spans="1:14" ht="12" customHeight="1" x14ac:dyDescent="0.2"/>
    <row r="8" spans="1:14" ht="39.75" customHeight="1" x14ac:dyDescent="0.2">
      <c r="B8" s="25" t="s">
        <v>683</v>
      </c>
      <c r="C8" s="25" t="s">
        <v>684</v>
      </c>
      <c r="D8" s="25" t="s">
        <v>685</v>
      </c>
      <c r="E8" s="25" t="s">
        <v>686</v>
      </c>
      <c r="F8" s="70" t="s">
        <v>687</v>
      </c>
      <c r="G8" s="25" t="s">
        <v>688</v>
      </c>
      <c r="H8" s="25" t="s">
        <v>84</v>
      </c>
      <c r="I8" s="25" t="s">
        <v>689</v>
      </c>
      <c r="J8" s="25" t="s">
        <v>690</v>
      </c>
      <c r="K8" s="25" t="s">
        <v>691</v>
      </c>
      <c r="L8" s="25" t="s">
        <v>692</v>
      </c>
      <c r="M8" s="25" t="s">
        <v>693</v>
      </c>
      <c r="N8" s="71" t="s">
        <v>694</v>
      </c>
    </row>
    <row r="9" spans="1:14" ht="7.5" customHeight="1" x14ac:dyDescent="0.2"/>
    <row r="10" spans="1:14" ht="27.75" customHeight="1" x14ac:dyDescent="0.2">
      <c r="B10" s="458" t="s">
        <v>695</v>
      </c>
      <c r="C10" s="435"/>
      <c r="D10" s="435"/>
      <c r="E10" s="435"/>
      <c r="F10" s="435"/>
      <c r="G10" s="435"/>
      <c r="H10" s="435"/>
      <c r="I10" s="435"/>
      <c r="J10" s="435"/>
      <c r="K10" s="435"/>
      <c r="L10" s="435"/>
      <c r="M10" s="435"/>
    </row>
    <row r="11" spans="1:14" ht="15.75" customHeight="1" x14ac:dyDescent="0.2">
      <c r="B11" s="457" t="s">
        <v>696</v>
      </c>
      <c r="C11" s="435"/>
      <c r="D11" s="435"/>
      <c r="E11" s="435"/>
      <c r="F11" s="435"/>
      <c r="G11" s="435"/>
      <c r="H11" s="435"/>
      <c r="I11" s="435"/>
      <c r="J11" s="435"/>
      <c r="K11" s="435"/>
      <c r="L11" s="435"/>
      <c r="M11" s="435"/>
    </row>
    <row r="12" spans="1:14" ht="3.75" customHeight="1" x14ac:dyDescent="0.2"/>
    <row r="13" spans="1:14" ht="109.5" customHeight="1" x14ac:dyDescent="0.2">
      <c r="B13" s="72" t="s">
        <v>697</v>
      </c>
      <c r="C13" s="73" t="s">
        <v>698</v>
      </c>
      <c r="D13" s="57" t="s">
        <v>699</v>
      </c>
      <c r="E13" s="74" t="s">
        <v>403</v>
      </c>
      <c r="F13" s="75" t="s">
        <v>700</v>
      </c>
      <c r="G13" s="76" t="s">
        <v>701</v>
      </c>
      <c r="H13" s="77" t="s">
        <v>702</v>
      </c>
      <c r="I13" s="78" t="s">
        <v>703</v>
      </c>
      <c r="J13" s="79"/>
      <c r="K13" s="62" t="s">
        <v>704</v>
      </c>
      <c r="L13" s="80" t="s">
        <v>705</v>
      </c>
      <c r="M13" s="81" t="s">
        <v>706</v>
      </c>
      <c r="N13" s="82" t="s">
        <v>707</v>
      </c>
    </row>
    <row r="14" spans="1:14" ht="109.5" customHeight="1" x14ac:dyDescent="0.2">
      <c r="B14" s="72" t="s">
        <v>708</v>
      </c>
      <c r="C14" s="73" t="s">
        <v>709</v>
      </c>
      <c r="D14" s="58" t="s">
        <v>710</v>
      </c>
      <c r="E14" s="74" t="s">
        <v>403</v>
      </c>
      <c r="F14" s="83" t="s">
        <v>711</v>
      </c>
      <c r="G14" s="76" t="s">
        <v>712</v>
      </c>
      <c r="H14" s="77" t="s">
        <v>702</v>
      </c>
      <c r="I14" s="78" t="s">
        <v>703</v>
      </c>
      <c r="J14" s="84"/>
      <c r="K14" s="62" t="s">
        <v>713</v>
      </c>
      <c r="L14" s="85" t="s">
        <v>705</v>
      </c>
      <c r="M14" s="86" t="s">
        <v>714</v>
      </c>
      <c r="N14" s="87" t="s">
        <v>715</v>
      </c>
    </row>
    <row r="15" spans="1:14" ht="12" customHeight="1" x14ac:dyDescent="0.2"/>
    <row r="16" spans="1:14" ht="27.75" customHeight="1" x14ac:dyDescent="0.2">
      <c r="B16" s="453" t="s">
        <v>716</v>
      </c>
      <c r="C16" s="435"/>
      <c r="D16" s="435"/>
      <c r="E16" s="435"/>
      <c r="F16" s="435"/>
      <c r="G16" s="435"/>
      <c r="H16" s="435"/>
      <c r="I16" s="435"/>
      <c r="J16" s="435"/>
      <c r="K16" s="435"/>
      <c r="L16" s="435"/>
      <c r="M16" s="435"/>
    </row>
    <row r="17" spans="2:14" ht="15.75" customHeight="1" x14ac:dyDescent="0.2">
      <c r="B17" s="475" t="s">
        <v>717</v>
      </c>
      <c r="C17" s="435"/>
      <c r="D17" s="435"/>
      <c r="E17" s="435"/>
      <c r="F17" s="435"/>
      <c r="G17" s="435"/>
      <c r="H17" s="435"/>
      <c r="I17" s="435"/>
      <c r="J17" s="435"/>
      <c r="K17" s="435"/>
      <c r="L17" s="435"/>
      <c r="M17" s="435"/>
    </row>
    <row r="18" spans="2:14" ht="3.75" customHeight="1" x14ac:dyDescent="0.2"/>
    <row r="19" spans="2:14" ht="109.5" customHeight="1" x14ac:dyDescent="0.2">
      <c r="B19" s="88" t="s">
        <v>718</v>
      </c>
      <c r="C19" s="89" t="s">
        <v>719</v>
      </c>
      <c r="D19" s="57" t="s">
        <v>720</v>
      </c>
      <c r="E19" s="74" t="s">
        <v>403</v>
      </c>
      <c r="F19" s="83" t="s">
        <v>721</v>
      </c>
      <c r="G19" s="76" t="s">
        <v>722</v>
      </c>
      <c r="H19" s="77" t="s">
        <v>702</v>
      </c>
      <c r="I19" s="78" t="s">
        <v>703</v>
      </c>
      <c r="J19" s="79"/>
      <c r="K19" s="62" t="s">
        <v>723</v>
      </c>
      <c r="L19" s="80" t="s">
        <v>705</v>
      </c>
      <c r="M19" s="81" t="s">
        <v>724</v>
      </c>
      <c r="N19" s="82" t="s">
        <v>725</v>
      </c>
    </row>
    <row r="20" spans="2:14" ht="109.5" customHeight="1" x14ac:dyDescent="0.2">
      <c r="B20" s="88" t="s">
        <v>726</v>
      </c>
      <c r="C20" s="89" t="s">
        <v>727</v>
      </c>
      <c r="D20" s="58" t="s">
        <v>728</v>
      </c>
      <c r="E20" s="74" t="s">
        <v>403</v>
      </c>
      <c r="F20" s="83" t="s">
        <v>729</v>
      </c>
      <c r="G20" s="76" t="s">
        <v>730</v>
      </c>
      <c r="H20" s="90" t="s">
        <v>731</v>
      </c>
      <c r="I20" s="78" t="s">
        <v>703</v>
      </c>
      <c r="J20" s="84"/>
      <c r="K20" s="62" t="s">
        <v>732</v>
      </c>
      <c r="L20" s="85" t="s">
        <v>733</v>
      </c>
      <c r="M20" s="86" t="s">
        <v>734</v>
      </c>
      <c r="N20" s="82" t="s">
        <v>735</v>
      </c>
    </row>
    <row r="21" spans="2:14" ht="109.5" customHeight="1" x14ac:dyDescent="0.2">
      <c r="B21" s="88" t="s">
        <v>736</v>
      </c>
      <c r="C21" s="89" t="s">
        <v>737</v>
      </c>
      <c r="D21" s="57" t="s">
        <v>738</v>
      </c>
      <c r="E21" s="74" t="s">
        <v>403</v>
      </c>
      <c r="F21" s="83" t="s">
        <v>739</v>
      </c>
      <c r="G21" s="76" t="s">
        <v>740</v>
      </c>
      <c r="H21" s="90" t="s">
        <v>731</v>
      </c>
      <c r="I21" s="78" t="s">
        <v>703</v>
      </c>
      <c r="J21" s="79"/>
      <c r="K21" s="62" t="s">
        <v>741</v>
      </c>
      <c r="L21" s="80" t="s">
        <v>733</v>
      </c>
      <c r="M21" s="81" t="s">
        <v>742</v>
      </c>
      <c r="N21" s="82" t="s">
        <v>743</v>
      </c>
    </row>
    <row r="22" spans="2:14" ht="12" customHeight="1" x14ac:dyDescent="0.2"/>
    <row r="23" spans="2:14" ht="27.75" customHeight="1" x14ac:dyDescent="0.2">
      <c r="B23" s="462" t="s">
        <v>744</v>
      </c>
      <c r="C23" s="435"/>
      <c r="D23" s="435"/>
      <c r="E23" s="435"/>
      <c r="F23" s="435"/>
      <c r="G23" s="435"/>
      <c r="H23" s="435"/>
      <c r="I23" s="435"/>
      <c r="J23" s="435"/>
      <c r="K23" s="435"/>
      <c r="L23" s="435"/>
      <c r="M23" s="435"/>
    </row>
    <row r="24" spans="2:14" ht="15.75" customHeight="1" x14ac:dyDescent="0.2">
      <c r="B24" s="478" t="s">
        <v>745</v>
      </c>
      <c r="C24" s="435"/>
      <c r="D24" s="435"/>
      <c r="E24" s="435"/>
      <c r="F24" s="435"/>
      <c r="G24" s="435"/>
      <c r="H24" s="435"/>
      <c r="I24" s="435"/>
      <c r="J24" s="435"/>
      <c r="K24" s="435"/>
      <c r="L24" s="435"/>
      <c r="M24" s="435"/>
    </row>
    <row r="25" spans="2:14" ht="3.75" customHeight="1" x14ac:dyDescent="0.2"/>
    <row r="26" spans="2:14" ht="109.5" customHeight="1" x14ac:dyDescent="0.2">
      <c r="B26" s="91" t="s">
        <v>746</v>
      </c>
      <c r="C26" s="92" t="s">
        <v>747</v>
      </c>
      <c r="D26" s="57" t="s">
        <v>748</v>
      </c>
      <c r="E26" s="74" t="s">
        <v>403</v>
      </c>
      <c r="F26" s="83" t="s">
        <v>749</v>
      </c>
      <c r="G26" s="76" t="s">
        <v>750</v>
      </c>
      <c r="H26" s="93" t="s">
        <v>751</v>
      </c>
      <c r="I26" s="78" t="s">
        <v>703</v>
      </c>
      <c r="J26" s="79"/>
      <c r="K26" s="62" t="s">
        <v>752</v>
      </c>
      <c r="L26" s="80" t="s">
        <v>733</v>
      </c>
      <c r="M26" s="81" t="s">
        <v>753</v>
      </c>
      <c r="N26" s="82" t="s">
        <v>754</v>
      </c>
    </row>
    <row r="27" spans="2:14" ht="109.5" customHeight="1" x14ac:dyDescent="0.2">
      <c r="B27" s="91" t="s">
        <v>755</v>
      </c>
      <c r="C27" s="92" t="s">
        <v>756</v>
      </c>
      <c r="D27" s="58" t="s">
        <v>757</v>
      </c>
      <c r="E27" s="74" t="s">
        <v>403</v>
      </c>
      <c r="F27" s="83" t="s">
        <v>758</v>
      </c>
      <c r="G27" s="76" t="s">
        <v>759</v>
      </c>
      <c r="H27" s="93" t="s">
        <v>751</v>
      </c>
      <c r="I27" s="78" t="s">
        <v>703</v>
      </c>
      <c r="J27" s="84"/>
      <c r="K27" s="62" t="s">
        <v>760</v>
      </c>
      <c r="L27" s="85" t="s">
        <v>733</v>
      </c>
      <c r="M27" s="86" t="s">
        <v>761</v>
      </c>
      <c r="N27" s="82" t="s">
        <v>762</v>
      </c>
    </row>
    <row r="28" spans="2:14" ht="109.5" customHeight="1" x14ac:dyDescent="0.2">
      <c r="B28" s="91" t="s">
        <v>763</v>
      </c>
      <c r="C28" s="92" t="s">
        <v>764</v>
      </c>
      <c r="D28" s="57" t="s">
        <v>765</v>
      </c>
      <c r="E28" s="74" t="s">
        <v>403</v>
      </c>
      <c r="F28" s="83" t="s">
        <v>766</v>
      </c>
      <c r="G28" s="76" t="s">
        <v>767</v>
      </c>
      <c r="H28" s="94" t="s">
        <v>768</v>
      </c>
      <c r="I28" s="78" t="s">
        <v>703</v>
      </c>
      <c r="J28" s="79"/>
      <c r="K28" s="62" t="s">
        <v>769</v>
      </c>
      <c r="L28" s="80" t="s">
        <v>733</v>
      </c>
      <c r="M28" s="81" t="s">
        <v>770</v>
      </c>
      <c r="N28" s="82" t="s">
        <v>771</v>
      </c>
    </row>
    <row r="29" spans="2:14" ht="12" customHeight="1" x14ac:dyDescent="0.2"/>
    <row r="30" spans="2:14" ht="27.75" customHeight="1" x14ac:dyDescent="0.2">
      <c r="B30" s="476" t="s">
        <v>772</v>
      </c>
      <c r="C30" s="435"/>
      <c r="D30" s="435"/>
      <c r="E30" s="435"/>
      <c r="F30" s="435"/>
      <c r="G30" s="435"/>
      <c r="H30" s="435"/>
      <c r="I30" s="435"/>
      <c r="J30" s="435"/>
      <c r="K30" s="435"/>
      <c r="L30" s="435"/>
      <c r="M30" s="435"/>
    </row>
    <row r="31" spans="2:14" ht="15.75" customHeight="1" x14ac:dyDescent="0.2">
      <c r="B31" s="482" t="s">
        <v>773</v>
      </c>
      <c r="C31" s="435"/>
      <c r="D31" s="435"/>
      <c r="E31" s="435"/>
      <c r="F31" s="435"/>
      <c r="G31" s="435"/>
      <c r="H31" s="435"/>
      <c r="I31" s="435"/>
      <c r="J31" s="435"/>
      <c r="K31" s="435"/>
      <c r="L31" s="435"/>
      <c r="M31" s="435"/>
    </row>
    <row r="32" spans="2:14" ht="3.75" customHeight="1" x14ac:dyDescent="0.2"/>
    <row r="33" spans="2:14" ht="109.5" customHeight="1" x14ac:dyDescent="0.2">
      <c r="B33" s="95" t="s">
        <v>774</v>
      </c>
      <c r="C33" s="96" t="s">
        <v>775</v>
      </c>
      <c r="D33" s="57" t="s">
        <v>776</v>
      </c>
      <c r="E33" s="74" t="s">
        <v>403</v>
      </c>
      <c r="F33" s="83" t="s">
        <v>777</v>
      </c>
      <c r="G33" s="76" t="s">
        <v>778</v>
      </c>
      <c r="H33" s="90" t="s">
        <v>731</v>
      </c>
      <c r="I33" s="78" t="s">
        <v>703</v>
      </c>
      <c r="J33" s="79"/>
      <c r="K33" s="62" t="s">
        <v>779</v>
      </c>
      <c r="L33" s="80" t="s">
        <v>780</v>
      </c>
      <c r="M33" s="81" t="s">
        <v>781</v>
      </c>
      <c r="N33" s="82" t="s">
        <v>782</v>
      </c>
    </row>
    <row r="34" spans="2:14" ht="109.5" customHeight="1" x14ac:dyDescent="0.2">
      <c r="B34" s="95" t="s">
        <v>783</v>
      </c>
      <c r="C34" s="96" t="s">
        <v>784</v>
      </c>
      <c r="D34" s="58" t="s">
        <v>710</v>
      </c>
      <c r="E34" s="74" t="s">
        <v>403</v>
      </c>
      <c r="F34" s="83" t="s">
        <v>785</v>
      </c>
      <c r="G34" s="76" t="s">
        <v>786</v>
      </c>
      <c r="H34" s="77" t="s">
        <v>702</v>
      </c>
      <c r="I34" s="78" t="s">
        <v>703</v>
      </c>
      <c r="J34" s="84"/>
      <c r="K34" s="62" t="s">
        <v>787</v>
      </c>
      <c r="L34" s="85" t="s">
        <v>705</v>
      </c>
      <c r="M34" s="86" t="s">
        <v>788</v>
      </c>
      <c r="N34" s="87" t="s">
        <v>789</v>
      </c>
    </row>
    <row r="35" spans="2:14" ht="13.5" customHeight="1" x14ac:dyDescent="0.2"/>
    <row r="36" spans="2:14" ht="27.75" customHeight="1" x14ac:dyDescent="0.2">
      <c r="B36" s="458" t="s">
        <v>790</v>
      </c>
      <c r="C36" s="435"/>
      <c r="D36" s="435"/>
      <c r="E36" s="435"/>
      <c r="F36" s="435"/>
      <c r="G36" s="435"/>
      <c r="H36" s="435"/>
      <c r="I36" s="435"/>
      <c r="J36" s="435"/>
      <c r="K36" s="435"/>
      <c r="L36" s="435"/>
      <c r="M36" s="435"/>
    </row>
    <row r="37" spans="2:14" ht="3.75" customHeight="1" x14ac:dyDescent="0.2"/>
    <row r="38" spans="2:14" ht="25.5" customHeight="1" x14ac:dyDescent="0.2">
      <c r="B38" s="1" t="s">
        <v>791</v>
      </c>
      <c r="C38" s="1" t="s">
        <v>792</v>
      </c>
      <c r="E38" s="1" t="s">
        <v>793</v>
      </c>
      <c r="I38" s="1" t="s">
        <v>794</v>
      </c>
      <c r="K38" s="1" t="s">
        <v>795</v>
      </c>
      <c r="L38" s="1" t="s">
        <v>83</v>
      </c>
    </row>
    <row r="39" spans="2:14" ht="57.75" customHeight="1" x14ac:dyDescent="0.2">
      <c r="B39" s="1" t="s">
        <v>705</v>
      </c>
      <c r="C39" s="473" t="s">
        <v>403</v>
      </c>
      <c r="D39" s="451"/>
      <c r="E39" s="471" t="s">
        <v>796</v>
      </c>
      <c r="F39" s="451"/>
      <c r="G39" s="451"/>
      <c r="H39" s="451"/>
      <c r="I39" s="474" t="s">
        <v>797</v>
      </c>
      <c r="J39" s="451"/>
      <c r="K39" s="63" t="s">
        <v>702</v>
      </c>
      <c r="L39" s="470" t="s">
        <v>703</v>
      </c>
      <c r="M39" s="451"/>
    </row>
    <row r="40" spans="2:14" ht="57.75" customHeight="1" x14ac:dyDescent="0.2">
      <c r="B40" s="1" t="s">
        <v>705</v>
      </c>
      <c r="C40" s="473" t="s">
        <v>403</v>
      </c>
      <c r="D40" s="451"/>
      <c r="E40" s="477" t="s">
        <v>798</v>
      </c>
      <c r="F40" s="451"/>
      <c r="G40" s="451"/>
      <c r="H40" s="451"/>
      <c r="I40" s="472" t="s">
        <v>488</v>
      </c>
      <c r="J40" s="451"/>
      <c r="K40" s="63" t="s">
        <v>702</v>
      </c>
      <c r="L40" s="470" t="s">
        <v>703</v>
      </c>
      <c r="M40" s="451"/>
    </row>
    <row r="41" spans="2:14" ht="57.75" customHeight="1" x14ac:dyDescent="0.2">
      <c r="B41" s="1" t="s">
        <v>705</v>
      </c>
      <c r="C41" s="473" t="s">
        <v>799</v>
      </c>
      <c r="D41" s="451"/>
      <c r="E41" s="471" t="s">
        <v>800</v>
      </c>
      <c r="F41" s="451"/>
      <c r="G41" s="451"/>
      <c r="H41" s="451"/>
      <c r="I41" s="474" t="s">
        <v>801</v>
      </c>
      <c r="J41" s="451"/>
      <c r="K41" s="63" t="s">
        <v>702</v>
      </c>
      <c r="L41" s="470" t="s">
        <v>703</v>
      </c>
      <c r="M41" s="451"/>
    </row>
    <row r="42" spans="2:14" ht="57.75" customHeight="1" x14ac:dyDescent="0.2">
      <c r="B42" s="1" t="s">
        <v>705</v>
      </c>
      <c r="C42" s="473" t="s">
        <v>407</v>
      </c>
      <c r="D42" s="451"/>
      <c r="E42" s="477" t="s">
        <v>802</v>
      </c>
      <c r="F42" s="451"/>
      <c r="G42" s="451"/>
      <c r="H42" s="451"/>
      <c r="I42" s="472" t="s">
        <v>803</v>
      </c>
      <c r="J42" s="451"/>
      <c r="K42" s="59" t="s">
        <v>731</v>
      </c>
      <c r="L42" s="470" t="s">
        <v>703</v>
      </c>
      <c r="M42" s="451"/>
    </row>
    <row r="43" spans="2:14" ht="57.75" customHeight="1" x14ac:dyDescent="0.2">
      <c r="B43" s="1" t="s">
        <v>705</v>
      </c>
      <c r="C43" s="473" t="s">
        <v>407</v>
      </c>
      <c r="D43" s="451"/>
      <c r="E43" s="471" t="s">
        <v>804</v>
      </c>
      <c r="F43" s="451"/>
      <c r="G43" s="451"/>
      <c r="H43" s="451"/>
      <c r="I43" s="474" t="s">
        <v>797</v>
      </c>
      <c r="J43" s="451"/>
      <c r="K43" s="63" t="s">
        <v>702</v>
      </c>
      <c r="L43" s="470" t="s">
        <v>703</v>
      </c>
      <c r="M43" s="451"/>
    </row>
    <row r="44" spans="2:14" ht="57.75" customHeight="1" x14ac:dyDescent="0.2">
      <c r="B44" s="1" t="s">
        <v>733</v>
      </c>
      <c r="C44" s="473" t="s">
        <v>403</v>
      </c>
      <c r="D44" s="451"/>
      <c r="E44" s="477" t="s">
        <v>805</v>
      </c>
      <c r="F44" s="451"/>
      <c r="G44" s="451"/>
      <c r="H44" s="451"/>
      <c r="I44" s="472" t="s">
        <v>806</v>
      </c>
      <c r="J44" s="451"/>
      <c r="K44" s="59" t="s">
        <v>731</v>
      </c>
      <c r="L44" s="470" t="s">
        <v>703</v>
      </c>
      <c r="M44" s="451"/>
    </row>
    <row r="45" spans="2:14" ht="57.75" customHeight="1" x14ac:dyDescent="0.2">
      <c r="B45" s="1" t="s">
        <v>733</v>
      </c>
      <c r="C45" s="473" t="s">
        <v>403</v>
      </c>
      <c r="D45" s="451"/>
      <c r="E45" s="471" t="s">
        <v>807</v>
      </c>
      <c r="F45" s="451"/>
      <c r="G45" s="451"/>
      <c r="H45" s="451"/>
      <c r="I45" s="474" t="s">
        <v>808</v>
      </c>
      <c r="J45" s="451"/>
      <c r="K45" s="59" t="s">
        <v>731</v>
      </c>
      <c r="L45" s="470" t="s">
        <v>703</v>
      </c>
      <c r="M45" s="451"/>
    </row>
    <row r="46" spans="2:14" ht="57.75" customHeight="1" x14ac:dyDescent="0.2">
      <c r="B46" s="1" t="s">
        <v>809</v>
      </c>
      <c r="C46" s="473" t="s">
        <v>799</v>
      </c>
      <c r="D46" s="451"/>
      <c r="E46" s="477" t="s">
        <v>810</v>
      </c>
      <c r="F46" s="451"/>
      <c r="G46" s="451"/>
      <c r="H46" s="451"/>
      <c r="I46" s="472" t="s">
        <v>801</v>
      </c>
      <c r="J46" s="451"/>
      <c r="K46" s="63" t="s">
        <v>702</v>
      </c>
      <c r="L46" s="470" t="s">
        <v>703</v>
      </c>
      <c r="M46" s="451"/>
    </row>
    <row r="47" spans="2:14" ht="57.75" customHeight="1" x14ac:dyDescent="0.2">
      <c r="B47" s="1" t="s">
        <v>811</v>
      </c>
      <c r="C47" s="473" t="s">
        <v>403</v>
      </c>
      <c r="D47" s="451"/>
      <c r="E47" s="471" t="s">
        <v>812</v>
      </c>
      <c r="F47" s="451"/>
      <c r="G47" s="451"/>
      <c r="H47" s="451"/>
      <c r="I47" s="474" t="s">
        <v>813</v>
      </c>
      <c r="J47" s="451"/>
      <c r="K47" s="59" t="s">
        <v>731</v>
      </c>
      <c r="L47" s="470" t="s">
        <v>703</v>
      </c>
      <c r="M47" s="451"/>
    </row>
    <row r="48" spans="2:14" ht="57.75" customHeight="1" x14ac:dyDescent="0.2">
      <c r="B48" s="1" t="s">
        <v>814</v>
      </c>
      <c r="C48" s="473" t="s">
        <v>403</v>
      </c>
      <c r="D48" s="451"/>
      <c r="E48" s="477" t="s">
        <v>815</v>
      </c>
      <c r="F48" s="451"/>
      <c r="G48" s="451"/>
      <c r="H48" s="451"/>
      <c r="I48" s="472" t="s">
        <v>816</v>
      </c>
      <c r="J48" s="451"/>
      <c r="K48" s="64" t="s">
        <v>751</v>
      </c>
      <c r="L48" s="470" t="s">
        <v>703</v>
      </c>
      <c r="M48" s="451"/>
    </row>
    <row r="49" spans="1:14" ht="13.5" customHeight="1" x14ac:dyDescent="0.2"/>
    <row r="50" spans="1:14" ht="21.75" customHeight="1" x14ac:dyDescent="0.2">
      <c r="A50" s="480" t="s">
        <v>426</v>
      </c>
      <c r="B50" s="435"/>
      <c r="C50" s="435"/>
      <c r="D50" s="435"/>
      <c r="E50" s="435"/>
      <c r="F50" s="435"/>
      <c r="G50" s="435"/>
      <c r="H50" s="435"/>
      <c r="I50" s="435"/>
      <c r="J50" s="435"/>
      <c r="K50" s="435"/>
      <c r="L50" s="435"/>
      <c r="M50" s="435"/>
      <c r="N50" s="435"/>
    </row>
  </sheetData>
  <mergeCells count="55">
    <mergeCell ref="A50:N50"/>
    <mergeCell ref="B5:M5"/>
    <mergeCell ref="I42:J42"/>
    <mergeCell ref="A2:N2"/>
    <mergeCell ref="B36:M36"/>
    <mergeCell ref="E44:H44"/>
    <mergeCell ref="L41:M41"/>
    <mergeCell ref="I39:J39"/>
    <mergeCell ref="C48:D48"/>
    <mergeCell ref="I48:J48"/>
    <mergeCell ref="L44:M44"/>
    <mergeCell ref="C39:D39"/>
    <mergeCell ref="L40:M40"/>
    <mergeCell ref="I44:J44"/>
    <mergeCell ref="B16:M16"/>
    <mergeCell ref="E40:H40"/>
    <mergeCell ref="B6:M6"/>
    <mergeCell ref="B24:M24"/>
    <mergeCell ref="C43:D43"/>
    <mergeCell ref="I43:J43"/>
    <mergeCell ref="A3:N3"/>
    <mergeCell ref="E39:H39"/>
    <mergeCell ref="B31:M31"/>
    <mergeCell ref="I40:J40"/>
    <mergeCell ref="A1:N1"/>
    <mergeCell ref="L43:M43"/>
    <mergeCell ref="B10:M10"/>
    <mergeCell ref="C47:D47"/>
    <mergeCell ref="I47:J47"/>
    <mergeCell ref="E47:H47"/>
    <mergeCell ref="E43:H43"/>
    <mergeCell ref="C41:D41"/>
    <mergeCell ref="I41:J41"/>
    <mergeCell ref="L42:M42"/>
    <mergeCell ref="C44:D44"/>
    <mergeCell ref="C40:D40"/>
    <mergeCell ref="L39:M39"/>
    <mergeCell ref="L45:M45"/>
    <mergeCell ref="B30:M30"/>
    <mergeCell ref="E42:H42"/>
    <mergeCell ref="L48:M48"/>
    <mergeCell ref="E45:H45"/>
    <mergeCell ref="B11:M11"/>
    <mergeCell ref="I46:J46"/>
    <mergeCell ref="B23:M23"/>
    <mergeCell ref="C42:D42"/>
    <mergeCell ref="C45:D45"/>
    <mergeCell ref="I45:J45"/>
    <mergeCell ref="B17:M17"/>
    <mergeCell ref="E41:H41"/>
    <mergeCell ref="L47:M47"/>
    <mergeCell ref="C46:D46"/>
    <mergeCell ref="E48:H48"/>
    <mergeCell ref="L46:M46"/>
    <mergeCell ref="E46:H46"/>
  </mergeCells>
  <dataValidations count="3">
    <dataValidation type="list" allowBlank="1" sqref="J13:J14 J19:J21 J26:J28 J33:J34" xr:uid="{00000000-0002-0000-0200-000000000000}">
      <formula1>"Not Started,GPS Ask Sent,Intro Requested,Intro Confirmed,Call Scheduled,Call Complete,Warm – Active,Warm – Stalled,No Path"</formula1>
      <formula2>0</formula2>
    </dataValidation>
    <dataValidation type="list" allowBlank="1" sqref="I13:I14 I19:I21 I26:I28 I33:I34" xr:uid="{00000000-0002-0000-0200-000001000000}">
      <formula1>"🔴 Critical,🟡 High,🔵 Medium,⚪ Low"</formula1>
      <formula2>0</formula2>
    </dataValidation>
    <dataValidation type="list" allowBlank="1" sqref="L39:L48" xr:uid="{00000000-0002-0000-0200-000002000000}">
      <formula1>"Not Started,GPS Notified,Ask Confirmed,In Progress,Complete,Blocked"</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4"/>
  <sheetViews>
    <sheetView showGridLines="0" zoomScaleNormal="100" workbookViewId="0">
      <pane ySplit="3" topLeftCell="A4" activePane="bottomLeft" state="frozen"/>
      <selection pane="bottomLeft"/>
    </sheetView>
  </sheetViews>
  <sheetFormatPr baseColWidth="10" defaultColWidth="8.6640625" defaultRowHeight="15" x14ac:dyDescent="0.2"/>
  <cols>
    <col min="1" max="1" width="5" customWidth="1"/>
    <col min="2" max="2" width="20" customWidth="1"/>
    <col min="3" max="3" width="16" customWidth="1"/>
    <col min="4" max="4" width="8" customWidth="1"/>
    <col min="5" max="5" width="7" customWidth="1"/>
    <col min="6" max="6" width="8" customWidth="1"/>
    <col min="7" max="7" width="9" customWidth="1"/>
    <col min="8" max="8" width="20" customWidth="1"/>
    <col min="9" max="9" width="18" customWidth="1"/>
    <col min="10" max="11" width="20" customWidth="1"/>
    <col min="12" max="12" width="13" customWidth="1"/>
    <col min="13" max="13" width="11" customWidth="1"/>
    <col min="14" max="14" width="18" customWidth="1"/>
    <col min="15" max="15" width="10" customWidth="1"/>
    <col min="16" max="16" width="18" customWidth="1"/>
    <col min="17" max="17" width="30" customWidth="1"/>
    <col min="18" max="18" width="48" customWidth="1"/>
    <col min="19" max="19" width="22" customWidth="1"/>
    <col min="20" max="20" width="48" customWidth="1"/>
    <col min="21" max="21" width="52" customWidth="1"/>
    <col min="22" max="22" width="60" customWidth="1"/>
    <col min="23" max="23" width="52" customWidth="1"/>
    <col min="24" max="24" width="14" customWidth="1"/>
    <col min="25" max="25" width="32" customWidth="1"/>
    <col min="26" max="32" width="14" customWidth="1"/>
  </cols>
  <sheetData>
    <row r="1" spans="1:32" ht="37.5" customHeight="1" x14ac:dyDescent="0.2">
      <c r="A1" s="449" t="s">
        <v>817</v>
      </c>
      <c r="B1" s="435"/>
      <c r="C1" s="435"/>
      <c r="D1" s="435"/>
      <c r="E1" s="435"/>
      <c r="F1" s="435"/>
      <c r="G1" s="435"/>
      <c r="H1" s="435"/>
      <c r="I1" s="435"/>
      <c r="J1" s="435"/>
      <c r="K1" s="435"/>
      <c r="L1" s="435"/>
      <c r="M1" s="435"/>
      <c r="N1" s="435"/>
      <c r="O1" s="435"/>
      <c r="P1" s="435"/>
      <c r="Q1" s="435"/>
    </row>
    <row r="2" spans="1:32" ht="15.75" customHeight="1" x14ac:dyDescent="0.2">
      <c r="A2" s="460" t="s">
        <v>818</v>
      </c>
      <c r="B2" s="435"/>
      <c r="C2" s="435"/>
      <c r="D2" s="435"/>
      <c r="E2" s="435"/>
      <c r="F2" s="435"/>
      <c r="G2" s="435"/>
      <c r="H2" s="435"/>
      <c r="I2" s="435"/>
      <c r="J2" s="435"/>
      <c r="K2" s="435"/>
      <c r="L2" s="435"/>
      <c r="M2" s="435"/>
      <c r="N2" s="435"/>
      <c r="O2" s="435"/>
      <c r="P2" s="435"/>
      <c r="Q2" s="435"/>
    </row>
    <row r="3" spans="1:32" ht="45" customHeight="1" x14ac:dyDescent="0.2">
      <c r="A3" s="64" t="s">
        <v>819</v>
      </c>
      <c r="B3" s="64" t="s">
        <v>820</v>
      </c>
      <c r="C3" s="64" t="s">
        <v>821</v>
      </c>
      <c r="D3" s="64" t="s">
        <v>361</v>
      </c>
      <c r="E3" s="64" t="s">
        <v>822</v>
      </c>
      <c r="F3" s="64" t="s">
        <v>823</v>
      </c>
      <c r="G3" s="64" t="s">
        <v>824</v>
      </c>
      <c r="H3" s="64" t="s">
        <v>825</v>
      </c>
      <c r="I3" s="64" t="s">
        <v>826</v>
      </c>
      <c r="J3" s="64" t="s">
        <v>827</v>
      </c>
      <c r="K3" s="64" t="s">
        <v>828</v>
      </c>
      <c r="L3" s="64" t="s">
        <v>829</v>
      </c>
      <c r="M3" s="64" t="s">
        <v>830</v>
      </c>
      <c r="N3" s="64" t="s">
        <v>831</v>
      </c>
      <c r="O3" s="64" t="s">
        <v>692</v>
      </c>
      <c r="P3" s="64" t="s">
        <v>832</v>
      </c>
      <c r="Q3" s="64" t="s">
        <v>363</v>
      </c>
      <c r="R3" s="97" t="s">
        <v>833</v>
      </c>
      <c r="S3" s="97" t="s">
        <v>834</v>
      </c>
      <c r="T3" s="97" t="s">
        <v>835</v>
      </c>
      <c r="U3" s="97" t="s">
        <v>836</v>
      </c>
      <c r="V3" s="97" t="s">
        <v>837</v>
      </c>
      <c r="W3" s="98" t="s">
        <v>838</v>
      </c>
      <c r="X3" s="99" t="s">
        <v>839</v>
      </c>
      <c r="Y3" s="98" t="s">
        <v>840</v>
      </c>
      <c r="Z3" s="100" t="s">
        <v>841</v>
      </c>
      <c r="AA3" s="100" t="s">
        <v>842</v>
      </c>
      <c r="AB3" s="100" t="s">
        <v>843</v>
      </c>
      <c r="AC3" s="100" t="s">
        <v>844</v>
      </c>
      <c r="AD3" s="100" t="s">
        <v>845</v>
      </c>
      <c r="AE3" s="100" t="s">
        <v>846</v>
      </c>
      <c r="AF3" s="100" t="s">
        <v>847</v>
      </c>
    </row>
    <row r="4" spans="1:32" ht="109.5" customHeight="1" x14ac:dyDescent="0.2">
      <c r="A4" s="133">
        <v>1</v>
      </c>
      <c r="B4" s="134" t="s">
        <v>488</v>
      </c>
      <c r="C4" s="135" t="s">
        <v>848</v>
      </c>
      <c r="D4" s="136" t="s">
        <v>493</v>
      </c>
      <c r="E4" s="137">
        <v>16</v>
      </c>
      <c r="F4" s="137">
        <v>13259</v>
      </c>
      <c r="G4" s="138" t="s">
        <v>849</v>
      </c>
      <c r="H4" s="141" t="s">
        <v>850</v>
      </c>
      <c r="I4" s="141" t="s">
        <v>851</v>
      </c>
      <c r="J4" s="141" t="s">
        <v>852</v>
      </c>
      <c r="K4" s="141" t="s">
        <v>853</v>
      </c>
      <c r="L4" s="19"/>
      <c r="M4" s="135"/>
      <c r="N4" s="135" t="s">
        <v>854</v>
      </c>
      <c r="O4" s="135" t="s">
        <v>855</v>
      </c>
      <c r="P4" s="76" t="s">
        <v>856</v>
      </c>
      <c r="Q4" s="143" t="s">
        <v>857</v>
      </c>
      <c r="R4" s="129" t="s">
        <v>858</v>
      </c>
      <c r="S4" s="120" t="s">
        <v>859</v>
      </c>
      <c r="T4" s="110" t="s">
        <v>860</v>
      </c>
      <c r="U4" s="117" t="s">
        <v>861</v>
      </c>
      <c r="V4" s="144" t="s">
        <v>862</v>
      </c>
      <c r="W4" s="112" t="s">
        <v>863</v>
      </c>
      <c r="X4" s="145" t="s">
        <v>497</v>
      </c>
      <c r="Y4" s="146" t="s">
        <v>864</v>
      </c>
      <c r="Z4" s="119" t="s">
        <v>865</v>
      </c>
      <c r="AA4" s="115" t="s">
        <v>866</v>
      </c>
      <c r="AB4" s="116" t="s">
        <v>867</v>
      </c>
      <c r="AC4" s="115" t="s">
        <v>868</v>
      </c>
      <c r="AD4" s="119" t="s">
        <v>869</v>
      </c>
      <c r="AE4" s="115" t="s">
        <v>870</v>
      </c>
      <c r="AF4" s="115" t="s">
        <v>871</v>
      </c>
    </row>
    <row r="5" spans="1:32" ht="109.5" customHeight="1" x14ac:dyDescent="0.2">
      <c r="A5" s="133">
        <v>2</v>
      </c>
      <c r="B5" s="134" t="s">
        <v>499</v>
      </c>
      <c r="C5" s="135" t="s">
        <v>872</v>
      </c>
      <c r="D5" s="136" t="s">
        <v>501</v>
      </c>
      <c r="E5" s="137">
        <v>12</v>
      </c>
      <c r="F5" s="137">
        <v>12098</v>
      </c>
      <c r="G5" s="138" t="s">
        <v>873</v>
      </c>
      <c r="H5" s="139" t="s">
        <v>874</v>
      </c>
      <c r="I5" s="140" t="s">
        <v>875</v>
      </c>
      <c r="J5" s="141" t="s">
        <v>876</v>
      </c>
      <c r="K5" s="142" t="s">
        <v>877</v>
      </c>
      <c r="L5" s="19"/>
      <c r="M5" s="135"/>
      <c r="N5" s="135" t="s">
        <v>878</v>
      </c>
      <c r="O5" s="135" t="s">
        <v>780</v>
      </c>
      <c r="P5" s="76" t="s">
        <v>879</v>
      </c>
      <c r="Q5" s="143" t="s">
        <v>880</v>
      </c>
      <c r="R5" s="117" t="s">
        <v>881</v>
      </c>
      <c r="S5" s="109" t="s">
        <v>882</v>
      </c>
      <c r="T5" s="117" t="s">
        <v>883</v>
      </c>
      <c r="U5" s="117" t="s">
        <v>884</v>
      </c>
      <c r="V5" s="111" t="s">
        <v>885</v>
      </c>
      <c r="W5" s="112" t="s">
        <v>886</v>
      </c>
      <c r="X5" s="121" t="s">
        <v>503</v>
      </c>
      <c r="Y5" s="114" t="s">
        <v>887</v>
      </c>
      <c r="Z5" s="115" t="s">
        <v>888</v>
      </c>
      <c r="AA5" s="115" t="s">
        <v>889</v>
      </c>
      <c r="AB5" s="116" t="s">
        <v>890</v>
      </c>
      <c r="AC5" s="116" t="s">
        <v>891</v>
      </c>
      <c r="AD5" s="116" t="s">
        <v>892</v>
      </c>
      <c r="AE5" s="115" t="s">
        <v>893</v>
      </c>
      <c r="AF5" s="115" t="s">
        <v>894</v>
      </c>
    </row>
    <row r="6" spans="1:32" ht="109.5" customHeight="1" x14ac:dyDescent="0.2">
      <c r="A6" s="101">
        <v>3</v>
      </c>
      <c r="B6" s="102" t="s">
        <v>504</v>
      </c>
      <c r="C6" s="103" t="s">
        <v>736</v>
      </c>
      <c r="D6" s="1" t="s">
        <v>505</v>
      </c>
      <c r="E6" s="104">
        <v>10</v>
      </c>
      <c r="F6" s="104">
        <v>5150</v>
      </c>
      <c r="G6" s="105" t="s">
        <v>895</v>
      </c>
      <c r="H6" s="106" t="s">
        <v>896</v>
      </c>
      <c r="I6" s="106" t="s">
        <v>897</v>
      </c>
      <c r="J6" s="106" t="s">
        <v>898</v>
      </c>
      <c r="K6" s="106" t="s">
        <v>899</v>
      </c>
      <c r="L6" s="19"/>
      <c r="M6" s="103"/>
      <c r="N6" s="103" t="s">
        <v>900</v>
      </c>
      <c r="O6" s="103" t="s">
        <v>705</v>
      </c>
      <c r="P6" s="76" t="s">
        <v>901</v>
      </c>
      <c r="Q6" s="107" t="s">
        <v>902</v>
      </c>
      <c r="R6" s="108" t="s">
        <v>903</v>
      </c>
      <c r="S6" s="120" t="s">
        <v>904</v>
      </c>
      <c r="T6" s="117" t="s">
        <v>905</v>
      </c>
      <c r="U6" s="117" t="s">
        <v>906</v>
      </c>
      <c r="V6" s="118" t="s">
        <v>907</v>
      </c>
      <c r="W6" s="112" t="s">
        <v>908</v>
      </c>
      <c r="X6" s="121" t="s">
        <v>507</v>
      </c>
      <c r="Y6" s="114" t="s">
        <v>909</v>
      </c>
      <c r="Z6" s="115" t="s">
        <v>910</v>
      </c>
      <c r="AA6" s="116" t="s">
        <v>911</v>
      </c>
      <c r="AB6" s="116" t="s">
        <v>912</v>
      </c>
      <c r="AC6" s="115" t="s">
        <v>913</v>
      </c>
      <c r="AD6" s="115" t="s">
        <v>914</v>
      </c>
      <c r="AE6" s="115" t="s">
        <v>915</v>
      </c>
      <c r="AF6" s="115" t="s">
        <v>916</v>
      </c>
    </row>
    <row r="7" spans="1:32" ht="109.5" customHeight="1" x14ac:dyDescent="0.2">
      <c r="A7" s="122">
        <v>4</v>
      </c>
      <c r="B7" s="123" t="s">
        <v>508</v>
      </c>
      <c r="C7" s="124" t="s">
        <v>917</v>
      </c>
      <c r="D7" s="39" t="s">
        <v>509</v>
      </c>
      <c r="E7" s="56">
        <v>5</v>
      </c>
      <c r="F7" s="56">
        <v>2550</v>
      </c>
      <c r="G7" s="125" t="s">
        <v>918</v>
      </c>
      <c r="H7" s="126" t="s">
        <v>919</v>
      </c>
      <c r="I7" s="126" t="s">
        <v>920</v>
      </c>
      <c r="J7" s="126" t="s">
        <v>921</v>
      </c>
      <c r="K7" s="126" t="s">
        <v>922</v>
      </c>
      <c r="L7" s="19"/>
      <c r="M7" s="124"/>
      <c r="N7" s="124" t="s">
        <v>923</v>
      </c>
      <c r="O7" s="124" t="s">
        <v>733</v>
      </c>
      <c r="P7" s="76"/>
      <c r="Q7" s="127" t="s">
        <v>924</v>
      </c>
      <c r="R7" s="129" t="s">
        <v>925</v>
      </c>
      <c r="S7" s="109" t="s">
        <v>882</v>
      </c>
      <c r="T7" s="129" t="s">
        <v>926</v>
      </c>
      <c r="U7" s="108" t="s">
        <v>927</v>
      </c>
      <c r="V7" s="130" t="s">
        <v>928</v>
      </c>
      <c r="W7" s="112" t="s">
        <v>929</v>
      </c>
      <c r="X7" s="121" t="s">
        <v>511</v>
      </c>
      <c r="Y7" s="131" t="s">
        <v>930</v>
      </c>
      <c r="Z7" s="119" t="s">
        <v>931</v>
      </c>
      <c r="AA7" s="116" t="s">
        <v>932</v>
      </c>
      <c r="AB7" s="119" t="s">
        <v>933</v>
      </c>
      <c r="AC7" s="115" t="s">
        <v>934</v>
      </c>
      <c r="AD7" s="119" t="s">
        <v>935</v>
      </c>
      <c r="AE7" s="119" t="s">
        <v>936</v>
      </c>
      <c r="AF7" s="115" t="s">
        <v>937</v>
      </c>
    </row>
    <row r="8" spans="1:32" ht="109.5" customHeight="1" x14ac:dyDescent="0.2">
      <c r="A8" s="122">
        <v>5</v>
      </c>
      <c r="B8" s="123" t="s">
        <v>512</v>
      </c>
      <c r="C8" s="124" t="s">
        <v>755</v>
      </c>
      <c r="D8" s="39" t="s">
        <v>513</v>
      </c>
      <c r="E8" s="56">
        <v>5</v>
      </c>
      <c r="F8" s="56">
        <v>2350</v>
      </c>
      <c r="G8" s="125" t="s">
        <v>938</v>
      </c>
      <c r="H8" s="126" t="s">
        <v>939</v>
      </c>
      <c r="I8" s="126" t="s">
        <v>940</v>
      </c>
      <c r="J8" s="126" t="s">
        <v>941</v>
      </c>
      <c r="K8" s="126" t="s">
        <v>942</v>
      </c>
      <c r="L8" s="19"/>
      <c r="M8" s="124"/>
      <c r="N8" s="124" t="s">
        <v>943</v>
      </c>
      <c r="O8" s="124" t="s">
        <v>733</v>
      </c>
      <c r="P8" s="76"/>
      <c r="Q8" s="127" t="s">
        <v>944</v>
      </c>
      <c r="R8" s="108" t="s">
        <v>945</v>
      </c>
      <c r="S8" s="120" t="s">
        <v>859</v>
      </c>
      <c r="T8" s="117" t="s">
        <v>946</v>
      </c>
      <c r="U8" s="117" t="s">
        <v>947</v>
      </c>
      <c r="V8" s="118" t="s">
        <v>948</v>
      </c>
      <c r="W8" s="112" t="s">
        <v>949</v>
      </c>
      <c r="X8" s="113" t="s">
        <v>515</v>
      </c>
      <c r="Y8" s="132" t="s">
        <v>950</v>
      </c>
      <c r="Z8" s="115" t="s">
        <v>951</v>
      </c>
      <c r="AA8" s="116" t="s">
        <v>952</v>
      </c>
      <c r="AB8" s="115" t="s">
        <v>953</v>
      </c>
      <c r="AC8" s="116" t="s">
        <v>954</v>
      </c>
      <c r="AD8" s="115" t="s">
        <v>955</v>
      </c>
      <c r="AE8" s="115" t="s">
        <v>956</v>
      </c>
      <c r="AF8" s="115" t="s">
        <v>957</v>
      </c>
    </row>
    <row r="9" spans="1:32" ht="109.5" customHeight="1" x14ac:dyDescent="0.2">
      <c r="A9" s="122">
        <v>6</v>
      </c>
      <c r="B9" s="123" t="s">
        <v>516</v>
      </c>
      <c r="C9" s="124" t="s">
        <v>746</v>
      </c>
      <c r="D9" s="39" t="s">
        <v>517</v>
      </c>
      <c r="E9" s="56">
        <v>8</v>
      </c>
      <c r="F9" s="56">
        <v>4950</v>
      </c>
      <c r="G9" s="125" t="s">
        <v>958</v>
      </c>
      <c r="H9" s="126" t="s">
        <v>959</v>
      </c>
      <c r="I9" s="126" t="s">
        <v>960</v>
      </c>
      <c r="J9" s="126" t="s">
        <v>961</v>
      </c>
      <c r="K9" s="126" t="s">
        <v>962</v>
      </c>
      <c r="L9" s="19"/>
      <c r="M9" s="124"/>
      <c r="N9" s="124" t="s">
        <v>963</v>
      </c>
      <c r="O9" s="124" t="s">
        <v>733</v>
      </c>
      <c r="P9" s="76"/>
      <c r="Q9" s="127" t="s">
        <v>964</v>
      </c>
      <c r="R9" s="117" t="s">
        <v>881</v>
      </c>
      <c r="S9" s="109" t="s">
        <v>882</v>
      </c>
      <c r="T9" s="117" t="s">
        <v>965</v>
      </c>
      <c r="U9" s="117" t="s">
        <v>966</v>
      </c>
      <c r="V9" s="118" t="s">
        <v>967</v>
      </c>
      <c r="W9" s="112" t="s">
        <v>968</v>
      </c>
      <c r="X9" s="121" t="s">
        <v>518</v>
      </c>
      <c r="Y9" s="128" t="s">
        <v>969</v>
      </c>
      <c r="Z9" s="119" t="s">
        <v>970</v>
      </c>
      <c r="AA9" s="116" t="s">
        <v>971</v>
      </c>
      <c r="AB9" s="116" t="s">
        <v>972</v>
      </c>
      <c r="AC9" s="119" t="s">
        <v>973</v>
      </c>
      <c r="AD9" s="119" t="s">
        <v>974</v>
      </c>
      <c r="AE9" s="119" t="s">
        <v>936</v>
      </c>
      <c r="AF9" s="115" t="s">
        <v>957</v>
      </c>
    </row>
    <row r="10" spans="1:32" ht="109.5" customHeight="1" x14ac:dyDescent="0.2">
      <c r="A10" s="122">
        <v>7</v>
      </c>
      <c r="B10" s="123" t="s">
        <v>519</v>
      </c>
      <c r="C10" s="124" t="s">
        <v>975</v>
      </c>
      <c r="D10" s="39" t="s">
        <v>521</v>
      </c>
      <c r="E10" s="56">
        <v>5</v>
      </c>
      <c r="F10" s="56">
        <v>2550</v>
      </c>
      <c r="G10" s="125" t="s">
        <v>918</v>
      </c>
      <c r="H10" s="126" t="s">
        <v>976</v>
      </c>
      <c r="I10" s="126" t="s">
        <v>977</v>
      </c>
      <c r="J10" s="126" t="s">
        <v>978</v>
      </c>
      <c r="K10" s="126" t="s">
        <v>979</v>
      </c>
      <c r="L10" s="19"/>
      <c r="M10" s="124"/>
      <c r="N10" s="124" t="s">
        <v>980</v>
      </c>
      <c r="O10" s="124" t="s">
        <v>733</v>
      </c>
      <c r="P10" s="76"/>
      <c r="Q10" s="127" t="s">
        <v>981</v>
      </c>
      <c r="R10" s="110" t="s">
        <v>982</v>
      </c>
      <c r="S10" s="120" t="s">
        <v>859</v>
      </c>
      <c r="T10" s="110" t="s">
        <v>983</v>
      </c>
      <c r="U10" s="108" t="s">
        <v>984</v>
      </c>
      <c r="V10" s="118" t="s">
        <v>985</v>
      </c>
      <c r="W10" s="112" t="s">
        <v>986</v>
      </c>
      <c r="X10" s="121" t="s">
        <v>522</v>
      </c>
      <c r="Y10" s="131" t="s">
        <v>987</v>
      </c>
      <c r="Z10" s="115" t="s">
        <v>988</v>
      </c>
      <c r="AA10" s="116" t="s">
        <v>989</v>
      </c>
      <c r="AB10" s="119" t="s">
        <v>990</v>
      </c>
      <c r="AC10" s="116" t="s">
        <v>991</v>
      </c>
      <c r="AD10" s="119" t="s">
        <v>992</v>
      </c>
      <c r="AE10" s="119" t="s">
        <v>993</v>
      </c>
      <c r="AF10" s="115" t="s">
        <v>994</v>
      </c>
    </row>
    <row r="11" spans="1:32" ht="22" customHeight="1" x14ac:dyDescent="0.2">
      <c r="A11" s="133"/>
      <c r="B11" s="483" t="s">
        <v>995</v>
      </c>
      <c r="C11" s="451"/>
      <c r="D11" s="451"/>
      <c r="E11" s="451"/>
      <c r="F11" s="451"/>
      <c r="G11" s="451"/>
      <c r="H11" s="451"/>
      <c r="I11" s="451"/>
      <c r="J11" s="451"/>
      <c r="K11" s="451"/>
      <c r="L11" s="451"/>
      <c r="M11" s="451"/>
      <c r="N11" s="451"/>
      <c r="O11" s="451"/>
      <c r="P11" s="451"/>
      <c r="Q11" s="451"/>
      <c r="R11" s="451"/>
      <c r="S11" s="451"/>
      <c r="T11" s="451"/>
      <c r="U11" s="451"/>
      <c r="V11" s="451"/>
      <c r="W11" s="451"/>
      <c r="X11" s="451"/>
      <c r="Y11" s="451"/>
      <c r="Z11" s="451"/>
      <c r="AA11" s="451"/>
      <c r="AB11" s="451"/>
      <c r="AC11" s="451"/>
      <c r="AD11" s="451"/>
      <c r="AE11" s="451"/>
      <c r="AF11" s="452"/>
    </row>
    <row r="12" spans="1:32" ht="109.5" customHeight="1" x14ac:dyDescent="0.2">
      <c r="A12" s="101" t="s">
        <v>526</v>
      </c>
      <c r="B12" s="102" t="s">
        <v>523</v>
      </c>
      <c r="C12" s="103" t="s">
        <v>718</v>
      </c>
      <c r="D12" s="1" t="s">
        <v>528</v>
      </c>
      <c r="E12" s="104">
        <v>14</v>
      </c>
      <c r="F12" s="104">
        <v>9250</v>
      </c>
      <c r="G12" s="105" t="s">
        <v>996</v>
      </c>
      <c r="H12" s="106" t="s">
        <v>997</v>
      </c>
      <c r="I12" s="106" t="s">
        <v>998</v>
      </c>
      <c r="J12" s="106" t="s">
        <v>999</v>
      </c>
      <c r="K12" s="106" t="s">
        <v>1000</v>
      </c>
      <c r="L12" s="19"/>
      <c r="M12" s="103"/>
      <c r="N12" s="103" t="s">
        <v>1001</v>
      </c>
      <c r="O12" s="103" t="s">
        <v>705</v>
      </c>
      <c r="P12" s="76" t="s">
        <v>1002</v>
      </c>
      <c r="Q12" s="107" t="s">
        <v>1003</v>
      </c>
      <c r="R12" s="108" t="s">
        <v>1004</v>
      </c>
      <c r="S12" s="109" t="s">
        <v>882</v>
      </c>
      <c r="T12" s="110" t="s">
        <v>1005</v>
      </c>
      <c r="U12" s="110" t="s">
        <v>1006</v>
      </c>
      <c r="V12" s="111" t="s">
        <v>1007</v>
      </c>
      <c r="W12" s="112" t="s">
        <v>1008</v>
      </c>
      <c r="X12" s="113" t="s">
        <v>1009</v>
      </c>
      <c r="Y12" s="114" t="s">
        <v>1010</v>
      </c>
      <c r="Z12" s="115" t="s">
        <v>1011</v>
      </c>
      <c r="AA12" s="116" t="s">
        <v>1012</v>
      </c>
      <c r="AB12" s="116" t="s">
        <v>1013</v>
      </c>
      <c r="AC12" s="115" t="s">
        <v>1014</v>
      </c>
      <c r="AD12" s="115" t="s">
        <v>1015</v>
      </c>
      <c r="AE12" s="115" t="s">
        <v>1016</v>
      </c>
      <c r="AF12" s="115" t="s">
        <v>1017</v>
      </c>
    </row>
    <row r="13" spans="1:32" ht="19.5" customHeight="1" x14ac:dyDescent="0.2">
      <c r="A13" s="101" t="s">
        <v>536</v>
      </c>
      <c r="B13" s="102" t="s">
        <v>533</v>
      </c>
      <c r="C13" s="103" t="s">
        <v>1018</v>
      </c>
      <c r="D13" s="1" t="s">
        <v>1019</v>
      </c>
      <c r="E13" s="104">
        <v>7</v>
      </c>
      <c r="F13" s="104">
        <v>1100</v>
      </c>
      <c r="G13" s="105" t="s">
        <v>1020</v>
      </c>
      <c r="H13" s="106" t="s">
        <v>1021</v>
      </c>
      <c r="I13" s="106" t="s">
        <v>1022</v>
      </c>
      <c r="J13" s="106" t="s">
        <v>1022</v>
      </c>
      <c r="K13" s="106" t="s">
        <v>1022</v>
      </c>
      <c r="L13" s="19" t="s">
        <v>1023</v>
      </c>
      <c r="M13" s="103"/>
      <c r="N13" s="103" t="s">
        <v>1024</v>
      </c>
      <c r="O13" s="103"/>
      <c r="P13" s="76" t="s">
        <v>1025</v>
      </c>
      <c r="Q13" s="107" t="s">
        <v>1026</v>
      </c>
      <c r="R13" s="108"/>
      <c r="S13" s="109"/>
      <c r="T13" s="110"/>
      <c r="U13" s="110"/>
      <c r="V13" s="111"/>
      <c r="W13" s="112"/>
      <c r="X13" s="113" t="s">
        <v>1027</v>
      </c>
      <c r="Y13" s="114"/>
      <c r="Z13" s="115"/>
      <c r="AA13" s="116"/>
      <c r="AB13" s="116"/>
      <c r="AC13" s="115"/>
      <c r="AD13" s="115"/>
      <c r="AE13" s="115"/>
      <c r="AF13" s="115"/>
    </row>
    <row r="14" spans="1:32" ht="156" x14ac:dyDescent="0.2">
      <c r="A14" s="101" t="s">
        <v>540</v>
      </c>
      <c r="B14" s="102" t="s">
        <v>550</v>
      </c>
      <c r="C14" s="103" t="s">
        <v>1028</v>
      </c>
      <c r="D14" s="1" t="s">
        <v>542</v>
      </c>
      <c r="E14" s="434">
        <v>10</v>
      </c>
      <c r="F14" s="434">
        <v>6250</v>
      </c>
      <c r="G14" s="105" t="s">
        <v>1029</v>
      </c>
      <c r="H14" s="106" t="s">
        <v>1030</v>
      </c>
      <c r="I14" s="106" t="s">
        <v>1031</v>
      </c>
      <c r="J14" s="106" t="s">
        <v>1032</v>
      </c>
      <c r="K14" s="106" t="s">
        <v>1033</v>
      </c>
      <c r="L14" s="19"/>
      <c r="M14" s="103"/>
      <c r="N14" s="103" t="s">
        <v>1034</v>
      </c>
      <c r="O14" s="103" t="s">
        <v>705</v>
      </c>
      <c r="P14" s="76" t="s">
        <v>1035</v>
      </c>
      <c r="Q14" s="107" t="s">
        <v>1036</v>
      </c>
      <c r="R14" s="117" t="s">
        <v>1037</v>
      </c>
      <c r="S14" s="109" t="s">
        <v>882</v>
      </c>
      <c r="T14" s="117" t="s">
        <v>1038</v>
      </c>
      <c r="U14" s="117" t="s">
        <v>1039</v>
      </c>
      <c r="V14" s="118" t="s">
        <v>1040</v>
      </c>
      <c r="W14" s="112" t="s">
        <v>1041</v>
      </c>
      <c r="X14" s="113" t="s">
        <v>1042</v>
      </c>
      <c r="Y14" s="114" t="s">
        <v>1043</v>
      </c>
      <c r="Z14" s="119" t="s">
        <v>1044</v>
      </c>
      <c r="AA14" s="116" t="s">
        <v>1045</v>
      </c>
      <c r="AB14" s="115" t="s">
        <v>1046</v>
      </c>
      <c r="AC14" s="115" t="s">
        <v>1014</v>
      </c>
      <c r="AD14" s="115" t="s">
        <v>1015</v>
      </c>
      <c r="AE14" s="115" t="s">
        <v>1016</v>
      </c>
      <c r="AF14" s="115" t="s">
        <v>1047</v>
      </c>
    </row>
  </sheetData>
  <mergeCells count="3">
    <mergeCell ref="A2:Q2"/>
    <mergeCell ref="B11:AF11"/>
    <mergeCell ref="A1:Q1"/>
  </mergeCells>
  <dataValidations count="1">
    <dataValidation type="list" allowBlank="1" sqref="L4:L12" xr:uid="{00000000-0002-0000-0300-000000000000}">
      <formula1>"Not Started,Researching,Contacted,Replied,Call Scheduled,Discovery Done,Proposal Sent,Negotiating,Pilot Closed,Stalled,Not a Fit"</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81"/>
  <sheetViews>
    <sheetView showGridLines="0" zoomScaleNormal="100" workbookViewId="0">
      <pane ySplit="3" topLeftCell="A4" activePane="bottomLeft" state="frozen"/>
      <selection pane="bottomLeft" sqref="A1:P1"/>
    </sheetView>
  </sheetViews>
  <sheetFormatPr baseColWidth="10" defaultColWidth="8.6640625" defaultRowHeight="15" x14ac:dyDescent="0.2"/>
  <cols>
    <col min="1" max="1" width="4" customWidth="1"/>
    <col min="2" max="2" width="22" customWidth="1"/>
    <col min="3" max="3" width="18" customWidth="1"/>
    <col min="4" max="4" width="14" customWidth="1"/>
    <col min="5" max="5" width="8" customWidth="1"/>
    <col min="6" max="6" width="7" customWidth="1"/>
    <col min="7" max="7" width="12" customWidth="1"/>
    <col min="8" max="9" width="9" customWidth="1"/>
    <col min="10" max="10" width="22" customWidth="1"/>
    <col min="11" max="11" width="14" customWidth="1"/>
    <col min="12" max="12" width="22" customWidth="1"/>
    <col min="13" max="13" width="24" customWidth="1"/>
    <col min="14" max="14" width="32" customWidth="1"/>
    <col min="15" max="15" width="18" customWidth="1"/>
    <col min="16" max="16" width="30" customWidth="1"/>
    <col min="18" max="18" width="28" customWidth="1"/>
    <col min="19" max="19" width="24" customWidth="1"/>
    <col min="20" max="20" width="26" customWidth="1"/>
    <col min="21" max="27" width="13" customWidth="1"/>
    <col min="28" max="30" width="28" customWidth="1"/>
    <col min="31" max="33" width="13" customWidth="1"/>
  </cols>
  <sheetData>
    <row r="1" spans="1:33" ht="37.5" customHeight="1" x14ac:dyDescent="0.2">
      <c r="A1" s="484" t="s">
        <v>1048</v>
      </c>
      <c r="B1" s="435"/>
      <c r="C1" s="435"/>
      <c r="D1" s="435"/>
      <c r="E1" s="435"/>
      <c r="F1" s="435"/>
      <c r="G1" s="435"/>
      <c r="H1" s="435"/>
      <c r="I1" s="435"/>
      <c r="J1" s="435"/>
      <c r="K1" s="435"/>
      <c r="L1" s="435"/>
      <c r="M1" s="435"/>
      <c r="N1" s="435"/>
      <c r="O1" s="435"/>
      <c r="P1" s="435"/>
      <c r="R1" s="148"/>
      <c r="S1" s="148"/>
      <c r="T1" s="148"/>
      <c r="U1" s="149"/>
      <c r="V1" s="149"/>
      <c r="W1" s="149"/>
      <c r="X1" s="149"/>
      <c r="Y1" s="149"/>
      <c r="Z1" s="149"/>
      <c r="AA1" s="149"/>
      <c r="AB1" s="150"/>
      <c r="AC1" s="150"/>
      <c r="AD1" s="150"/>
      <c r="AE1" s="151"/>
      <c r="AF1" s="151"/>
      <c r="AG1" s="151"/>
    </row>
    <row r="2" spans="1:33" ht="15.75" customHeight="1" x14ac:dyDescent="0.2">
      <c r="A2" s="460" t="s">
        <v>469</v>
      </c>
      <c r="B2" s="435"/>
      <c r="C2" s="435"/>
      <c r="D2" s="435"/>
      <c r="E2" s="435"/>
      <c r="F2" s="435"/>
      <c r="G2" s="435"/>
      <c r="H2" s="435"/>
      <c r="I2" s="435"/>
      <c r="J2" s="435"/>
      <c r="K2" s="435"/>
      <c r="L2" s="435"/>
      <c r="M2" s="435"/>
      <c r="N2" s="435"/>
      <c r="O2" s="435"/>
      <c r="P2" s="435"/>
      <c r="R2" s="148"/>
      <c r="S2" s="148"/>
      <c r="T2" s="148"/>
      <c r="U2" s="149"/>
      <c r="V2" s="149"/>
      <c r="W2" s="149"/>
      <c r="X2" s="149"/>
      <c r="Y2" s="149"/>
      <c r="Z2" s="149"/>
      <c r="AA2" s="149"/>
      <c r="AB2" s="150"/>
      <c r="AC2" s="150"/>
      <c r="AD2" s="150"/>
      <c r="AE2" s="151"/>
      <c r="AF2" s="151"/>
      <c r="AG2" s="151"/>
    </row>
    <row r="3" spans="1:33" ht="37.5" customHeight="1" x14ac:dyDescent="0.2">
      <c r="A3" s="64" t="s">
        <v>819</v>
      </c>
      <c r="B3" s="64" t="s">
        <v>1049</v>
      </c>
      <c r="C3" s="64" t="s">
        <v>1050</v>
      </c>
      <c r="D3" s="64" t="s">
        <v>1051</v>
      </c>
      <c r="E3" s="64" t="s">
        <v>1052</v>
      </c>
      <c r="F3" s="64" t="s">
        <v>1053</v>
      </c>
      <c r="G3" s="64" t="s">
        <v>1054</v>
      </c>
      <c r="H3" s="64" t="s">
        <v>1055</v>
      </c>
      <c r="I3" s="64" t="s">
        <v>1056</v>
      </c>
      <c r="J3" s="97" t="s">
        <v>1057</v>
      </c>
      <c r="K3" s="97" t="s">
        <v>1058</v>
      </c>
      <c r="L3" s="97" t="s">
        <v>1059</v>
      </c>
      <c r="M3" s="97" t="s">
        <v>1060</v>
      </c>
      <c r="N3" s="97" t="s">
        <v>1061</v>
      </c>
      <c r="O3" s="97" t="s">
        <v>836</v>
      </c>
      <c r="P3" s="64" t="s">
        <v>1062</v>
      </c>
      <c r="Q3" s="64" t="s">
        <v>1063</v>
      </c>
      <c r="R3" s="152" t="s">
        <v>1064</v>
      </c>
      <c r="S3" s="153" t="s">
        <v>1065</v>
      </c>
      <c r="T3" s="154" t="s">
        <v>1066</v>
      </c>
      <c r="U3" s="155" t="s">
        <v>1067</v>
      </c>
      <c r="V3" s="155" t="s">
        <v>830</v>
      </c>
      <c r="W3" s="156" t="s">
        <v>1068</v>
      </c>
      <c r="X3" s="156" t="s">
        <v>1069</v>
      </c>
      <c r="Y3" s="156" t="s">
        <v>363</v>
      </c>
      <c r="Z3" s="97" t="s">
        <v>1070</v>
      </c>
      <c r="AA3" s="98" t="s">
        <v>1071</v>
      </c>
      <c r="AB3" s="157"/>
      <c r="AC3" s="157"/>
      <c r="AD3" s="157"/>
      <c r="AE3" s="158" t="s">
        <v>1072</v>
      </c>
      <c r="AF3" s="98" t="s">
        <v>1073</v>
      </c>
      <c r="AG3" s="71" t="s">
        <v>1074</v>
      </c>
    </row>
    <row r="4" spans="1:33" ht="79.5" customHeight="1" x14ac:dyDescent="0.2">
      <c r="A4" s="159">
        <v>1</v>
      </c>
      <c r="B4" s="160" t="s">
        <v>1075</v>
      </c>
      <c r="C4" s="161" t="s">
        <v>1076</v>
      </c>
      <c r="D4" s="162" t="s">
        <v>1077</v>
      </c>
      <c r="E4" s="163">
        <v>500</v>
      </c>
      <c r="F4" s="163">
        <v>5</v>
      </c>
      <c r="G4" s="164" t="s">
        <v>1078</v>
      </c>
      <c r="H4" s="19" t="s">
        <v>88</v>
      </c>
      <c r="I4" s="165" t="s">
        <v>1079</v>
      </c>
      <c r="J4" s="166" t="s">
        <v>1080</v>
      </c>
      <c r="K4" s="167" t="s">
        <v>1081</v>
      </c>
      <c r="L4" s="108" t="s">
        <v>1082</v>
      </c>
      <c r="M4" s="166" t="s">
        <v>1083</v>
      </c>
      <c r="N4" s="117" t="s">
        <v>1084</v>
      </c>
      <c r="O4" s="109" t="s">
        <v>1085</v>
      </c>
      <c r="P4" s="162" t="s">
        <v>1086</v>
      </c>
      <c r="Q4" s="162" t="s">
        <v>1087</v>
      </c>
      <c r="R4" s="168" t="s">
        <v>1088</v>
      </c>
      <c r="S4" s="169" t="s">
        <v>1089</v>
      </c>
      <c r="T4" s="170" t="s">
        <v>1090</v>
      </c>
      <c r="U4" s="171"/>
      <c r="V4" s="172"/>
      <c r="W4" s="173" t="s">
        <v>1091</v>
      </c>
      <c r="X4" s="173"/>
      <c r="Y4" s="174" t="s">
        <v>1092</v>
      </c>
      <c r="Z4" s="144" t="s">
        <v>1093</v>
      </c>
      <c r="AA4" s="144" t="s">
        <v>1094</v>
      </c>
      <c r="AB4" s="175"/>
      <c r="AC4" s="175"/>
      <c r="AD4" s="175"/>
      <c r="AE4" s="176">
        <v>36</v>
      </c>
      <c r="AF4" s="177" t="s">
        <v>1095</v>
      </c>
      <c r="AG4" s="178" t="s">
        <v>1096</v>
      </c>
    </row>
    <row r="5" spans="1:33" ht="79.5" customHeight="1" x14ac:dyDescent="0.2">
      <c r="A5" s="159">
        <v>2</v>
      </c>
      <c r="B5" s="160" t="s">
        <v>1097</v>
      </c>
      <c r="C5" s="161" t="s">
        <v>1076</v>
      </c>
      <c r="D5" s="162" t="s">
        <v>1098</v>
      </c>
      <c r="E5" s="163">
        <v>500</v>
      </c>
      <c r="F5" s="163">
        <v>3</v>
      </c>
      <c r="G5" s="164" t="s">
        <v>1078</v>
      </c>
      <c r="H5" s="19" t="s">
        <v>88</v>
      </c>
      <c r="I5" s="179" t="s">
        <v>1099</v>
      </c>
      <c r="J5" s="166" t="s">
        <v>1080</v>
      </c>
      <c r="K5" s="167" t="s">
        <v>1081</v>
      </c>
      <c r="L5" s="108" t="s">
        <v>1082</v>
      </c>
      <c r="M5" s="166" t="s">
        <v>1083</v>
      </c>
      <c r="N5" s="117" t="s">
        <v>1084</v>
      </c>
      <c r="O5" s="109" t="s">
        <v>1085</v>
      </c>
      <c r="P5" s="162" t="s">
        <v>1086</v>
      </c>
      <c r="Q5" s="162" t="s">
        <v>1087</v>
      </c>
      <c r="R5" s="168" t="s">
        <v>1088</v>
      </c>
      <c r="S5" s="169" t="s">
        <v>1089</v>
      </c>
      <c r="T5" s="170" t="s">
        <v>1090</v>
      </c>
      <c r="U5" s="171"/>
      <c r="V5" s="172"/>
      <c r="W5" s="173" t="s">
        <v>1091</v>
      </c>
      <c r="X5" s="173"/>
      <c r="Y5" s="174" t="s">
        <v>1100</v>
      </c>
      <c r="Z5" s="118" t="s">
        <v>1101</v>
      </c>
      <c r="AA5" s="144" t="s">
        <v>1094</v>
      </c>
      <c r="AB5" s="175"/>
      <c r="AC5" s="175"/>
      <c r="AD5" s="175"/>
      <c r="AE5" s="176">
        <v>19</v>
      </c>
      <c r="AF5" s="177" t="s">
        <v>1095</v>
      </c>
      <c r="AG5" s="178" t="s">
        <v>1102</v>
      </c>
    </row>
    <row r="6" spans="1:33" ht="79.5" customHeight="1" x14ac:dyDescent="0.2">
      <c r="A6" s="159">
        <v>3</v>
      </c>
      <c r="B6" s="160" t="s">
        <v>1103</v>
      </c>
      <c r="C6" s="161" t="s">
        <v>1076</v>
      </c>
      <c r="D6" s="162" t="s">
        <v>1104</v>
      </c>
      <c r="E6" s="163">
        <v>150</v>
      </c>
      <c r="F6" s="163">
        <v>3</v>
      </c>
      <c r="G6" s="164" t="s">
        <v>1078</v>
      </c>
      <c r="H6" s="19" t="s">
        <v>88</v>
      </c>
      <c r="I6" s="165" t="s">
        <v>1079</v>
      </c>
      <c r="J6" s="108" t="s">
        <v>1105</v>
      </c>
      <c r="K6" s="167" t="s">
        <v>1081</v>
      </c>
      <c r="L6" s="108" t="s">
        <v>1082</v>
      </c>
      <c r="M6" s="166" t="s">
        <v>1083</v>
      </c>
      <c r="N6" s="117" t="s">
        <v>1106</v>
      </c>
      <c r="O6" s="109" t="s">
        <v>1107</v>
      </c>
      <c r="P6" s="162" t="s">
        <v>1086</v>
      </c>
      <c r="Q6" s="162" t="s">
        <v>1087</v>
      </c>
      <c r="R6" s="168" t="s">
        <v>1088</v>
      </c>
      <c r="S6" s="169" t="s">
        <v>1089</v>
      </c>
      <c r="T6" s="170" t="s">
        <v>1090</v>
      </c>
      <c r="U6" s="171"/>
      <c r="V6" s="172"/>
      <c r="W6" s="173" t="s">
        <v>1091</v>
      </c>
      <c r="X6" s="173"/>
      <c r="Y6" s="174" t="s">
        <v>1108</v>
      </c>
      <c r="Z6" s="118" t="s">
        <v>1101</v>
      </c>
      <c r="AA6" s="144" t="s">
        <v>1094</v>
      </c>
      <c r="AB6" s="175"/>
      <c r="AC6" s="175"/>
      <c r="AD6" s="175"/>
      <c r="AE6" s="176">
        <v>24</v>
      </c>
      <c r="AF6" s="177" t="s">
        <v>1095</v>
      </c>
      <c r="AG6" s="178" t="s">
        <v>1109</v>
      </c>
    </row>
    <row r="7" spans="1:33" ht="79.5" customHeight="1" x14ac:dyDescent="0.2">
      <c r="A7" s="159">
        <v>4</v>
      </c>
      <c r="B7" s="160" t="s">
        <v>1110</v>
      </c>
      <c r="C7" s="161" t="s">
        <v>1076</v>
      </c>
      <c r="D7" s="162" t="s">
        <v>1111</v>
      </c>
      <c r="E7" s="163">
        <v>448</v>
      </c>
      <c r="F7" s="163">
        <v>3</v>
      </c>
      <c r="G7" s="164" t="s">
        <v>1078</v>
      </c>
      <c r="H7" s="19" t="s">
        <v>88</v>
      </c>
      <c r="I7" s="165" t="s">
        <v>1079</v>
      </c>
      <c r="J7" s="166" t="s">
        <v>1080</v>
      </c>
      <c r="K7" s="167" t="s">
        <v>1081</v>
      </c>
      <c r="L7" s="108" t="s">
        <v>1082</v>
      </c>
      <c r="M7" s="166" t="s">
        <v>1083</v>
      </c>
      <c r="N7" s="117" t="s">
        <v>1106</v>
      </c>
      <c r="O7" s="109" t="s">
        <v>1107</v>
      </c>
      <c r="P7" s="162" t="s">
        <v>1086</v>
      </c>
      <c r="Q7" s="162" t="s">
        <v>1087</v>
      </c>
      <c r="R7" s="168" t="s">
        <v>1088</v>
      </c>
      <c r="S7" s="169" t="s">
        <v>1089</v>
      </c>
      <c r="T7" s="170" t="s">
        <v>1090</v>
      </c>
      <c r="U7" s="171"/>
      <c r="V7" s="172"/>
      <c r="W7" s="173" t="s">
        <v>1091</v>
      </c>
      <c r="X7" s="173"/>
      <c r="Y7" s="174" t="s">
        <v>1112</v>
      </c>
      <c r="Z7" s="118" t="s">
        <v>1101</v>
      </c>
      <c r="AA7" s="144" t="s">
        <v>1094</v>
      </c>
      <c r="AB7" s="175"/>
      <c r="AC7" s="175"/>
      <c r="AD7" s="175"/>
      <c r="AE7" s="176">
        <v>21</v>
      </c>
      <c r="AF7" s="177" t="s">
        <v>1095</v>
      </c>
      <c r="AG7" s="178" t="s">
        <v>1113</v>
      </c>
    </row>
    <row r="8" spans="1:33" ht="79.5" customHeight="1" x14ac:dyDescent="0.2">
      <c r="A8" s="159">
        <v>5</v>
      </c>
      <c r="B8" s="160" t="s">
        <v>1114</v>
      </c>
      <c r="C8" s="161" t="s">
        <v>1076</v>
      </c>
      <c r="D8" s="162" t="s">
        <v>1115</v>
      </c>
      <c r="E8" s="163">
        <v>400</v>
      </c>
      <c r="F8" s="163">
        <v>3</v>
      </c>
      <c r="G8" s="164" t="s">
        <v>1078</v>
      </c>
      <c r="H8" s="19" t="s">
        <v>88</v>
      </c>
      <c r="I8" s="180" t="s">
        <v>1116</v>
      </c>
      <c r="J8" s="108" t="s">
        <v>1105</v>
      </c>
      <c r="K8" s="167" t="s">
        <v>1081</v>
      </c>
      <c r="L8" s="108" t="s">
        <v>1082</v>
      </c>
      <c r="M8" s="166" t="s">
        <v>1083</v>
      </c>
      <c r="N8" s="117" t="s">
        <v>1106</v>
      </c>
      <c r="O8" s="109" t="s">
        <v>1107</v>
      </c>
      <c r="P8" s="162" t="s">
        <v>1086</v>
      </c>
      <c r="Q8" s="162" t="s">
        <v>1087</v>
      </c>
      <c r="R8" s="168" t="s">
        <v>1088</v>
      </c>
      <c r="S8" s="169" t="s">
        <v>1089</v>
      </c>
      <c r="T8" s="170" t="s">
        <v>1090</v>
      </c>
      <c r="U8" s="171"/>
      <c r="V8" s="172"/>
      <c r="W8" s="173" t="s">
        <v>1091</v>
      </c>
      <c r="X8" s="173"/>
      <c r="Y8" s="174" t="s">
        <v>1117</v>
      </c>
      <c r="Z8" s="118" t="s">
        <v>1101</v>
      </c>
      <c r="AA8" s="144" t="s">
        <v>1094</v>
      </c>
      <c r="AB8" s="175"/>
      <c r="AC8" s="175"/>
      <c r="AD8" s="175"/>
      <c r="AE8" s="176">
        <v>24</v>
      </c>
      <c r="AF8" s="177" t="s">
        <v>1095</v>
      </c>
      <c r="AG8" s="178" t="s">
        <v>1109</v>
      </c>
    </row>
    <row r="9" spans="1:33" ht="79.5" customHeight="1" x14ac:dyDescent="0.2">
      <c r="A9" s="159">
        <v>6</v>
      </c>
      <c r="B9" s="160" t="s">
        <v>1118</v>
      </c>
      <c r="C9" s="161" t="s">
        <v>1076</v>
      </c>
      <c r="D9" s="162" t="s">
        <v>1119</v>
      </c>
      <c r="E9" s="163">
        <v>150</v>
      </c>
      <c r="F9" s="163">
        <v>3</v>
      </c>
      <c r="G9" s="164" t="s">
        <v>1078</v>
      </c>
      <c r="H9" s="19" t="s">
        <v>88</v>
      </c>
      <c r="I9" s="165" t="s">
        <v>1079</v>
      </c>
      <c r="J9" s="166" t="s">
        <v>1080</v>
      </c>
      <c r="K9" s="167" t="s">
        <v>1081</v>
      </c>
      <c r="L9" s="108" t="s">
        <v>1082</v>
      </c>
      <c r="M9" s="166" t="s">
        <v>1083</v>
      </c>
      <c r="N9" s="117" t="s">
        <v>1106</v>
      </c>
      <c r="O9" s="109" t="s">
        <v>1107</v>
      </c>
      <c r="P9" s="162" t="s">
        <v>1086</v>
      </c>
      <c r="Q9" s="162" t="s">
        <v>1087</v>
      </c>
      <c r="R9" s="168" t="s">
        <v>1088</v>
      </c>
      <c r="S9" s="169" t="s">
        <v>1089</v>
      </c>
      <c r="T9" s="170" t="s">
        <v>1090</v>
      </c>
      <c r="U9" s="171"/>
      <c r="V9" s="172"/>
      <c r="W9" s="173" t="s">
        <v>1091</v>
      </c>
      <c r="X9" s="173"/>
      <c r="Y9" s="174" t="s">
        <v>1120</v>
      </c>
      <c r="Z9" s="118" t="s">
        <v>1101</v>
      </c>
      <c r="AA9" s="144" t="s">
        <v>1094</v>
      </c>
      <c r="AB9" s="175"/>
      <c r="AC9" s="175"/>
      <c r="AD9" s="175"/>
      <c r="AE9" s="176">
        <v>26</v>
      </c>
      <c r="AF9" s="177" t="s">
        <v>1095</v>
      </c>
      <c r="AG9" s="178" t="s">
        <v>1121</v>
      </c>
    </row>
    <row r="10" spans="1:33" ht="79.5" customHeight="1" x14ac:dyDescent="0.2">
      <c r="A10" s="159">
        <v>7</v>
      </c>
      <c r="B10" s="160" t="s">
        <v>1122</v>
      </c>
      <c r="C10" s="161" t="s">
        <v>1076</v>
      </c>
      <c r="D10" s="162" t="s">
        <v>1123</v>
      </c>
      <c r="E10" s="163">
        <v>219</v>
      </c>
      <c r="F10" s="163">
        <v>5</v>
      </c>
      <c r="G10" s="164" t="s">
        <v>1078</v>
      </c>
      <c r="H10" s="19" t="s">
        <v>88</v>
      </c>
      <c r="I10" s="180" t="s">
        <v>1124</v>
      </c>
      <c r="J10" s="166" t="s">
        <v>1080</v>
      </c>
      <c r="K10" s="167" t="s">
        <v>1081</v>
      </c>
      <c r="L10" s="108" t="s">
        <v>1082</v>
      </c>
      <c r="M10" s="166" t="s">
        <v>1083</v>
      </c>
      <c r="N10" s="117" t="s">
        <v>1084</v>
      </c>
      <c r="O10" s="109" t="s">
        <v>1085</v>
      </c>
      <c r="P10" s="162" t="s">
        <v>1086</v>
      </c>
      <c r="Q10" s="162" t="s">
        <v>1087</v>
      </c>
      <c r="R10" s="168" t="s">
        <v>1088</v>
      </c>
      <c r="S10" s="169" t="s">
        <v>1089</v>
      </c>
      <c r="T10" s="170" t="s">
        <v>1090</v>
      </c>
      <c r="U10" s="171"/>
      <c r="V10" s="172"/>
      <c r="W10" s="173" t="s">
        <v>1091</v>
      </c>
      <c r="X10" s="173"/>
      <c r="Y10" s="174" t="s">
        <v>1125</v>
      </c>
      <c r="Z10" s="144" t="s">
        <v>1126</v>
      </c>
      <c r="AA10" s="144" t="s">
        <v>1094</v>
      </c>
      <c r="AB10" s="175"/>
      <c r="AC10" s="175"/>
      <c r="AD10" s="175"/>
      <c r="AE10" s="176">
        <v>36</v>
      </c>
      <c r="AF10" s="177" t="s">
        <v>1095</v>
      </c>
      <c r="AG10" s="178" t="s">
        <v>1096</v>
      </c>
    </row>
    <row r="11" spans="1:33" ht="79.5" customHeight="1" x14ac:dyDescent="0.2">
      <c r="A11" s="159">
        <v>8</v>
      </c>
      <c r="B11" s="160" t="s">
        <v>1127</v>
      </c>
      <c r="C11" s="161" t="s">
        <v>1076</v>
      </c>
      <c r="D11" s="162" t="s">
        <v>1128</v>
      </c>
      <c r="E11" s="163">
        <v>150</v>
      </c>
      <c r="F11" s="163">
        <v>3</v>
      </c>
      <c r="G11" s="164" t="s">
        <v>1078</v>
      </c>
      <c r="H11" s="19" t="s">
        <v>88</v>
      </c>
      <c r="I11" s="165" t="s">
        <v>1079</v>
      </c>
      <c r="J11" s="166" t="s">
        <v>1080</v>
      </c>
      <c r="K11" s="167" t="s">
        <v>1081</v>
      </c>
      <c r="L11" s="108" t="s">
        <v>1082</v>
      </c>
      <c r="M11" s="166" t="s">
        <v>1083</v>
      </c>
      <c r="N11" s="117" t="s">
        <v>1106</v>
      </c>
      <c r="O11" s="109" t="s">
        <v>1107</v>
      </c>
      <c r="P11" s="162" t="s">
        <v>1086</v>
      </c>
      <c r="Q11" s="162" t="s">
        <v>1087</v>
      </c>
      <c r="R11" s="168" t="s">
        <v>1088</v>
      </c>
      <c r="S11" s="169" t="s">
        <v>1089</v>
      </c>
      <c r="T11" s="170" t="s">
        <v>1090</v>
      </c>
      <c r="U11" s="171"/>
      <c r="V11" s="172"/>
      <c r="W11" s="173" t="s">
        <v>1091</v>
      </c>
      <c r="X11" s="173"/>
      <c r="Y11" s="174" t="s">
        <v>1129</v>
      </c>
      <c r="Z11" s="144" t="s">
        <v>1130</v>
      </c>
      <c r="AA11" s="144" t="s">
        <v>1094</v>
      </c>
      <c r="AB11" s="175"/>
      <c r="AC11" s="175"/>
      <c r="AD11" s="175"/>
      <c r="AE11" s="176">
        <v>19</v>
      </c>
      <c r="AF11" s="177" t="s">
        <v>1095</v>
      </c>
      <c r="AG11" s="178" t="s">
        <v>1102</v>
      </c>
    </row>
    <row r="12" spans="1:33" ht="79.5" customHeight="1" x14ac:dyDescent="0.2">
      <c r="A12" s="159">
        <v>9</v>
      </c>
      <c r="B12" s="160" t="s">
        <v>1131</v>
      </c>
      <c r="C12" s="161" t="s">
        <v>1076</v>
      </c>
      <c r="D12" s="162" t="s">
        <v>1132</v>
      </c>
      <c r="E12" s="163">
        <v>237</v>
      </c>
      <c r="F12" s="163">
        <v>6</v>
      </c>
      <c r="G12" s="164" t="s">
        <v>1078</v>
      </c>
      <c r="H12" s="19" t="s">
        <v>88</v>
      </c>
      <c r="I12" s="180" t="s">
        <v>1124</v>
      </c>
      <c r="J12" s="166" t="s">
        <v>1080</v>
      </c>
      <c r="K12" s="167" t="s">
        <v>1081</v>
      </c>
      <c r="L12" s="108" t="s">
        <v>1082</v>
      </c>
      <c r="M12" s="166" t="s">
        <v>1083</v>
      </c>
      <c r="N12" s="117" t="s">
        <v>1084</v>
      </c>
      <c r="O12" s="109" t="s">
        <v>1085</v>
      </c>
      <c r="P12" s="162" t="s">
        <v>1086</v>
      </c>
      <c r="Q12" s="162" t="s">
        <v>1087</v>
      </c>
      <c r="R12" s="168" t="s">
        <v>1088</v>
      </c>
      <c r="S12" s="169" t="s">
        <v>1089</v>
      </c>
      <c r="T12" s="170" t="s">
        <v>1090</v>
      </c>
      <c r="U12" s="171"/>
      <c r="V12" s="172"/>
      <c r="W12" s="173" t="s">
        <v>1091</v>
      </c>
      <c r="X12" s="173"/>
      <c r="Y12" s="174" t="s">
        <v>1133</v>
      </c>
      <c r="Z12" s="144" t="s">
        <v>1134</v>
      </c>
      <c r="AA12" s="144" t="s">
        <v>1094</v>
      </c>
      <c r="AB12" s="175"/>
      <c r="AC12" s="175"/>
      <c r="AD12" s="175"/>
      <c r="AE12" s="176">
        <v>36</v>
      </c>
      <c r="AF12" s="177" t="s">
        <v>1095</v>
      </c>
      <c r="AG12" s="178" t="s">
        <v>1096</v>
      </c>
    </row>
    <row r="13" spans="1:33" ht="79.5" customHeight="1" x14ac:dyDescent="0.2">
      <c r="A13" s="159">
        <v>10</v>
      </c>
      <c r="B13" s="160" t="s">
        <v>1135</v>
      </c>
      <c r="C13" s="161" t="s">
        <v>1076</v>
      </c>
      <c r="D13" s="162" t="s">
        <v>1136</v>
      </c>
      <c r="E13" s="163">
        <v>150</v>
      </c>
      <c r="F13" s="163">
        <v>3</v>
      </c>
      <c r="G13" s="164" t="s">
        <v>1078</v>
      </c>
      <c r="H13" s="19" t="s">
        <v>88</v>
      </c>
      <c r="I13" s="180" t="s">
        <v>1116</v>
      </c>
      <c r="J13" s="166" t="s">
        <v>1080</v>
      </c>
      <c r="K13" s="167" t="s">
        <v>1081</v>
      </c>
      <c r="L13" s="108" t="s">
        <v>1082</v>
      </c>
      <c r="M13" s="166" t="s">
        <v>1083</v>
      </c>
      <c r="N13" s="117" t="s">
        <v>1106</v>
      </c>
      <c r="O13" s="109" t="s">
        <v>1107</v>
      </c>
      <c r="P13" s="162" t="s">
        <v>1086</v>
      </c>
      <c r="Q13" s="162" t="s">
        <v>1087</v>
      </c>
      <c r="R13" s="168" t="s">
        <v>1088</v>
      </c>
      <c r="S13" s="169" t="s">
        <v>1089</v>
      </c>
      <c r="T13" s="170" t="s">
        <v>1090</v>
      </c>
      <c r="U13" s="171"/>
      <c r="V13" s="172"/>
      <c r="W13" s="173" t="s">
        <v>1091</v>
      </c>
      <c r="X13" s="173"/>
      <c r="Y13" s="174" t="s">
        <v>1137</v>
      </c>
      <c r="Z13" s="118" t="s">
        <v>1101</v>
      </c>
      <c r="AA13" s="144" t="s">
        <v>1094</v>
      </c>
      <c r="AB13" s="175"/>
      <c r="AC13" s="175"/>
      <c r="AD13" s="175"/>
      <c r="AE13" s="176">
        <v>19</v>
      </c>
      <c r="AF13" s="177" t="s">
        <v>1095</v>
      </c>
      <c r="AG13" s="178" t="s">
        <v>1102</v>
      </c>
    </row>
    <row r="14" spans="1:33" ht="79.5" customHeight="1" x14ac:dyDescent="0.2">
      <c r="A14" s="159">
        <v>11</v>
      </c>
      <c r="B14" s="160" t="s">
        <v>1138</v>
      </c>
      <c r="C14" s="161" t="s">
        <v>1076</v>
      </c>
      <c r="D14" s="162" t="s">
        <v>1139</v>
      </c>
      <c r="E14" s="163">
        <v>330</v>
      </c>
      <c r="F14" s="163">
        <v>5</v>
      </c>
      <c r="G14" s="164" t="s">
        <v>1078</v>
      </c>
      <c r="H14" s="19" t="s">
        <v>88</v>
      </c>
      <c r="I14" s="165" t="s">
        <v>1079</v>
      </c>
      <c r="J14" s="166" t="s">
        <v>1080</v>
      </c>
      <c r="K14" s="167" t="s">
        <v>1081</v>
      </c>
      <c r="L14" s="108" t="s">
        <v>1082</v>
      </c>
      <c r="M14" s="166" t="s">
        <v>1083</v>
      </c>
      <c r="N14" s="108" t="s">
        <v>1140</v>
      </c>
      <c r="O14" s="120" t="s">
        <v>1081</v>
      </c>
      <c r="P14" s="162" t="s">
        <v>1086</v>
      </c>
      <c r="Q14" s="162" t="s">
        <v>1087</v>
      </c>
      <c r="R14" s="168" t="s">
        <v>1088</v>
      </c>
      <c r="S14" s="169" t="s">
        <v>1089</v>
      </c>
      <c r="T14" s="170" t="s">
        <v>1090</v>
      </c>
      <c r="U14" s="171"/>
      <c r="V14" s="172"/>
      <c r="W14" s="173" t="s">
        <v>1091</v>
      </c>
      <c r="X14" s="173"/>
      <c r="Y14" s="174" t="s">
        <v>1141</v>
      </c>
      <c r="Z14" s="118" t="s">
        <v>1101</v>
      </c>
      <c r="AA14" s="144" t="s">
        <v>1094</v>
      </c>
      <c r="AB14" s="175"/>
      <c r="AC14" s="175"/>
      <c r="AD14" s="175"/>
      <c r="AE14" s="176">
        <v>39</v>
      </c>
      <c r="AF14" s="177" t="s">
        <v>1095</v>
      </c>
      <c r="AG14" s="178" t="s">
        <v>1142</v>
      </c>
    </row>
    <row r="15" spans="1:33" ht="79.5" customHeight="1" x14ac:dyDescent="0.2">
      <c r="A15" s="159">
        <v>12</v>
      </c>
      <c r="B15" s="160" t="s">
        <v>1143</v>
      </c>
      <c r="C15" s="161" t="s">
        <v>1076</v>
      </c>
      <c r="D15" s="162" t="s">
        <v>1144</v>
      </c>
      <c r="E15" s="163">
        <v>200</v>
      </c>
      <c r="F15" s="163">
        <v>3</v>
      </c>
      <c r="G15" s="164" t="s">
        <v>1078</v>
      </c>
      <c r="H15" s="19" t="s">
        <v>88</v>
      </c>
      <c r="I15" s="165" t="s">
        <v>1079</v>
      </c>
      <c r="J15" s="166" t="s">
        <v>1080</v>
      </c>
      <c r="K15" s="167" t="s">
        <v>1081</v>
      </c>
      <c r="L15" s="108" t="s">
        <v>1082</v>
      </c>
      <c r="M15" s="166" t="s">
        <v>1083</v>
      </c>
      <c r="N15" s="117" t="s">
        <v>1106</v>
      </c>
      <c r="O15" s="109" t="s">
        <v>1107</v>
      </c>
      <c r="P15" s="162" t="s">
        <v>1086</v>
      </c>
      <c r="Q15" s="162" t="s">
        <v>1087</v>
      </c>
      <c r="R15" s="168" t="s">
        <v>1088</v>
      </c>
      <c r="S15" s="169" t="s">
        <v>1089</v>
      </c>
      <c r="T15" s="170" t="s">
        <v>1090</v>
      </c>
      <c r="U15" s="171"/>
      <c r="V15" s="172"/>
      <c r="W15" s="173" t="s">
        <v>1091</v>
      </c>
      <c r="X15" s="173"/>
      <c r="Y15" s="174" t="s">
        <v>1145</v>
      </c>
      <c r="Z15" s="118" t="s">
        <v>1101</v>
      </c>
      <c r="AA15" s="144" t="s">
        <v>1094</v>
      </c>
      <c r="AB15" s="175"/>
      <c r="AC15" s="175"/>
      <c r="AD15" s="175"/>
      <c r="AE15" s="176">
        <v>21</v>
      </c>
      <c r="AF15" s="177" t="s">
        <v>1095</v>
      </c>
      <c r="AG15" s="178" t="s">
        <v>1113</v>
      </c>
    </row>
    <row r="16" spans="1:33" ht="79.5" customHeight="1" x14ac:dyDescent="0.2">
      <c r="A16" s="159">
        <v>13</v>
      </c>
      <c r="B16" s="160" t="s">
        <v>1146</v>
      </c>
      <c r="C16" s="161" t="s">
        <v>1076</v>
      </c>
      <c r="D16" s="162" t="s">
        <v>1123</v>
      </c>
      <c r="E16" s="163">
        <v>50</v>
      </c>
      <c r="F16" s="163">
        <v>5</v>
      </c>
      <c r="G16" s="181" t="s">
        <v>440</v>
      </c>
      <c r="H16" s="19" t="s">
        <v>88</v>
      </c>
      <c r="I16" s="182" t="s">
        <v>1147</v>
      </c>
      <c r="J16" s="110" t="s">
        <v>444</v>
      </c>
      <c r="K16" s="120" t="s">
        <v>1148</v>
      </c>
      <c r="L16" s="108" t="s">
        <v>1082</v>
      </c>
      <c r="M16" s="166" t="s">
        <v>1083</v>
      </c>
      <c r="N16" s="117" t="s">
        <v>1106</v>
      </c>
      <c r="O16" s="109" t="s">
        <v>1107</v>
      </c>
      <c r="P16" s="162" t="s">
        <v>1086</v>
      </c>
      <c r="Q16" s="162" t="s">
        <v>1087</v>
      </c>
      <c r="R16" s="168" t="s">
        <v>1088</v>
      </c>
      <c r="S16" s="169" t="s">
        <v>1089</v>
      </c>
      <c r="T16" s="170" t="s">
        <v>1090</v>
      </c>
      <c r="U16" s="171"/>
      <c r="V16" s="172"/>
      <c r="W16" s="173" t="s">
        <v>1149</v>
      </c>
      <c r="X16" s="173"/>
      <c r="Y16" s="174" t="s">
        <v>1150</v>
      </c>
      <c r="Z16" s="118" t="s">
        <v>1101</v>
      </c>
      <c r="AA16" s="144" t="s">
        <v>1094</v>
      </c>
      <c r="AB16" s="175"/>
      <c r="AC16" s="175"/>
      <c r="AD16" s="175"/>
      <c r="AE16" s="183">
        <v>56</v>
      </c>
      <c r="AF16" s="177" t="s">
        <v>1095</v>
      </c>
      <c r="AG16" s="184" t="s">
        <v>1151</v>
      </c>
    </row>
    <row r="17" spans="1:33" ht="79.5" customHeight="1" x14ac:dyDescent="0.2">
      <c r="A17" s="159">
        <v>14</v>
      </c>
      <c r="B17" s="160" t="s">
        <v>1152</v>
      </c>
      <c r="C17" s="161" t="s">
        <v>1076</v>
      </c>
      <c r="D17" s="162" t="s">
        <v>1115</v>
      </c>
      <c r="E17" s="163">
        <v>80</v>
      </c>
      <c r="F17" s="163">
        <v>3</v>
      </c>
      <c r="G17" s="181" t="s">
        <v>440</v>
      </c>
      <c r="H17" s="19" t="s">
        <v>88</v>
      </c>
      <c r="I17" s="182" t="s">
        <v>1153</v>
      </c>
      <c r="J17" s="110" t="s">
        <v>444</v>
      </c>
      <c r="K17" s="120" t="s">
        <v>1148</v>
      </c>
      <c r="L17" s="108" t="s">
        <v>1082</v>
      </c>
      <c r="M17" s="166" t="s">
        <v>1083</v>
      </c>
      <c r="N17" s="117" t="s">
        <v>1106</v>
      </c>
      <c r="O17" s="109" t="s">
        <v>1107</v>
      </c>
      <c r="P17" s="162" t="s">
        <v>1086</v>
      </c>
      <c r="Q17" s="162" t="s">
        <v>1087</v>
      </c>
      <c r="R17" s="168" t="s">
        <v>1088</v>
      </c>
      <c r="S17" s="169" t="s">
        <v>1089</v>
      </c>
      <c r="T17" s="170" t="s">
        <v>1090</v>
      </c>
      <c r="U17" s="171"/>
      <c r="V17" s="172"/>
      <c r="W17" s="173" t="s">
        <v>1149</v>
      </c>
      <c r="X17" s="173"/>
      <c r="Y17" s="174" t="s">
        <v>1154</v>
      </c>
      <c r="Z17" s="118" t="s">
        <v>1101</v>
      </c>
      <c r="AA17" s="144" t="s">
        <v>1094</v>
      </c>
      <c r="AB17" s="175"/>
      <c r="AC17" s="175"/>
      <c r="AD17" s="175"/>
      <c r="AE17" s="176">
        <v>44</v>
      </c>
      <c r="AF17" s="177" t="s">
        <v>1095</v>
      </c>
      <c r="AG17" s="178" t="s">
        <v>1155</v>
      </c>
    </row>
    <row r="18" spans="1:33" ht="79.5" customHeight="1" x14ac:dyDescent="0.2">
      <c r="A18" s="159">
        <v>15</v>
      </c>
      <c r="B18" s="160" t="s">
        <v>1156</v>
      </c>
      <c r="C18" s="161" t="s">
        <v>1076</v>
      </c>
      <c r="D18" s="162" t="s">
        <v>1077</v>
      </c>
      <c r="E18" s="163">
        <v>100</v>
      </c>
      <c r="F18" s="163">
        <v>5</v>
      </c>
      <c r="G18" s="181" t="s">
        <v>440</v>
      </c>
      <c r="H18" s="19" t="s">
        <v>88</v>
      </c>
      <c r="I18" s="165" t="s">
        <v>1079</v>
      </c>
      <c r="J18" s="110" t="s">
        <v>444</v>
      </c>
      <c r="K18" s="120" t="s">
        <v>1148</v>
      </c>
      <c r="L18" s="108" t="s">
        <v>1082</v>
      </c>
      <c r="M18" s="166" t="s">
        <v>1083</v>
      </c>
      <c r="N18" s="117" t="s">
        <v>1106</v>
      </c>
      <c r="O18" s="109" t="s">
        <v>1107</v>
      </c>
      <c r="P18" s="162" t="s">
        <v>1086</v>
      </c>
      <c r="Q18" s="162" t="s">
        <v>1087</v>
      </c>
      <c r="R18" s="168" t="s">
        <v>1088</v>
      </c>
      <c r="S18" s="169" t="s">
        <v>1089</v>
      </c>
      <c r="T18" s="170" t="s">
        <v>1090</v>
      </c>
      <c r="U18" s="171"/>
      <c r="V18" s="172"/>
      <c r="W18" s="173" t="s">
        <v>1149</v>
      </c>
      <c r="X18" s="173"/>
      <c r="Y18" s="174" t="s">
        <v>1157</v>
      </c>
      <c r="Z18" s="118" t="s">
        <v>1101</v>
      </c>
      <c r="AA18" s="144" t="s">
        <v>1094</v>
      </c>
      <c r="AB18" s="175"/>
      <c r="AC18" s="175"/>
      <c r="AD18" s="175"/>
      <c r="AE18" s="183">
        <v>56</v>
      </c>
      <c r="AF18" s="177" t="s">
        <v>1095</v>
      </c>
      <c r="AG18" s="184" t="s">
        <v>1151</v>
      </c>
    </row>
    <row r="19" spans="1:33" ht="79.5" customHeight="1" x14ac:dyDescent="0.2">
      <c r="A19" s="159">
        <v>16</v>
      </c>
      <c r="B19" s="160" t="s">
        <v>1158</v>
      </c>
      <c r="C19" s="161" t="s">
        <v>1076</v>
      </c>
      <c r="D19" s="162" t="s">
        <v>1159</v>
      </c>
      <c r="E19" s="163">
        <v>200</v>
      </c>
      <c r="F19" s="163">
        <v>3</v>
      </c>
      <c r="G19" s="164" t="s">
        <v>1078</v>
      </c>
      <c r="H19" s="19" t="s">
        <v>88</v>
      </c>
      <c r="I19" s="179" t="s">
        <v>1099</v>
      </c>
      <c r="J19" s="166" t="s">
        <v>1080</v>
      </c>
      <c r="K19" s="167" t="s">
        <v>1081</v>
      </c>
      <c r="L19" s="108" t="s">
        <v>1082</v>
      </c>
      <c r="M19" s="166" t="s">
        <v>1083</v>
      </c>
      <c r="N19" s="117" t="s">
        <v>1106</v>
      </c>
      <c r="O19" s="109" t="s">
        <v>1107</v>
      </c>
      <c r="P19" s="162" t="s">
        <v>1086</v>
      </c>
      <c r="Q19" s="162" t="s">
        <v>1087</v>
      </c>
      <c r="R19" s="168" t="s">
        <v>1088</v>
      </c>
      <c r="S19" s="169" t="s">
        <v>1089</v>
      </c>
      <c r="T19" s="170" t="s">
        <v>1090</v>
      </c>
      <c r="U19" s="171"/>
      <c r="V19" s="172"/>
      <c r="W19" s="173" t="s">
        <v>1160</v>
      </c>
      <c r="X19" s="173"/>
      <c r="Y19" s="174" t="s">
        <v>1161</v>
      </c>
      <c r="Z19" s="118" t="s">
        <v>1101</v>
      </c>
      <c r="AA19" s="144" t="s">
        <v>1094</v>
      </c>
      <c r="AB19" s="175"/>
      <c r="AC19" s="175"/>
      <c r="AD19" s="175"/>
      <c r="AE19" s="176">
        <v>19</v>
      </c>
      <c r="AF19" s="177" t="s">
        <v>1095</v>
      </c>
      <c r="AG19" s="178" t="s">
        <v>1102</v>
      </c>
    </row>
    <row r="20" spans="1:33" ht="99.75" customHeight="1" x14ac:dyDescent="0.2">
      <c r="A20" s="147">
        <v>17</v>
      </c>
      <c r="B20" s="185" t="s">
        <v>1162</v>
      </c>
      <c r="C20" s="25" t="s">
        <v>1163</v>
      </c>
      <c r="D20" s="186" t="s">
        <v>1164</v>
      </c>
      <c r="E20" s="187">
        <v>150</v>
      </c>
      <c r="F20" s="187">
        <v>3</v>
      </c>
      <c r="G20" s="188" t="s">
        <v>440</v>
      </c>
      <c r="H20" s="19" t="s">
        <v>88</v>
      </c>
      <c r="I20" s="182" t="s">
        <v>1165</v>
      </c>
      <c r="J20" s="110" t="s">
        <v>444</v>
      </c>
      <c r="K20" s="120" t="s">
        <v>1148</v>
      </c>
      <c r="L20" s="117" t="s">
        <v>1166</v>
      </c>
      <c r="M20" s="117" t="s">
        <v>1166</v>
      </c>
      <c r="N20" s="117" t="s">
        <v>1106</v>
      </c>
      <c r="O20" s="109" t="s">
        <v>1107</v>
      </c>
      <c r="P20" s="186" t="s">
        <v>1086</v>
      </c>
      <c r="Q20" s="186" t="s">
        <v>1087</v>
      </c>
      <c r="R20" s="169" t="s">
        <v>1167</v>
      </c>
      <c r="S20" s="169" t="s">
        <v>88</v>
      </c>
      <c r="T20" s="169" t="s">
        <v>88</v>
      </c>
      <c r="U20" s="171"/>
      <c r="V20" s="189"/>
      <c r="W20" s="190" t="s">
        <v>1149</v>
      </c>
      <c r="X20" s="190"/>
      <c r="Y20" s="191" t="s">
        <v>1168</v>
      </c>
      <c r="Z20" s="192" t="s">
        <v>1169</v>
      </c>
      <c r="AA20" s="193" t="s">
        <v>1170</v>
      </c>
      <c r="AB20" s="175"/>
      <c r="AC20" s="175"/>
      <c r="AD20" s="175"/>
      <c r="AE20" s="183">
        <v>46</v>
      </c>
      <c r="AF20" s="177" t="s">
        <v>1171</v>
      </c>
      <c r="AG20" s="184" t="s">
        <v>1151</v>
      </c>
    </row>
    <row r="21" spans="1:33" ht="79.5" customHeight="1" x14ac:dyDescent="0.2">
      <c r="A21" s="147">
        <v>18</v>
      </c>
      <c r="B21" s="185" t="s">
        <v>1172</v>
      </c>
      <c r="C21" s="25" t="s">
        <v>1163</v>
      </c>
      <c r="D21" s="186" t="s">
        <v>1132</v>
      </c>
      <c r="E21" s="187">
        <v>363</v>
      </c>
      <c r="F21" s="187">
        <v>5</v>
      </c>
      <c r="G21" s="188" t="s">
        <v>440</v>
      </c>
      <c r="H21" s="19" t="s">
        <v>88</v>
      </c>
      <c r="I21" s="180" t="s">
        <v>1173</v>
      </c>
      <c r="J21" s="166" t="s">
        <v>1080</v>
      </c>
      <c r="K21" s="167" t="s">
        <v>1081</v>
      </c>
      <c r="L21" s="117" t="s">
        <v>1166</v>
      </c>
      <c r="M21" s="117" t="s">
        <v>1166</v>
      </c>
      <c r="N21" s="117" t="s">
        <v>1106</v>
      </c>
      <c r="O21" s="109" t="s">
        <v>1107</v>
      </c>
      <c r="P21" s="186" t="s">
        <v>1086</v>
      </c>
      <c r="Q21" s="186" t="s">
        <v>1087</v>
      </c>
      <c r="R21" s="168" t="s">
        <v>1174</v>
      </c>
      <c r="S21" s="169" t="s">
        <v>88</v>
      </c>
      <c r="T21" s="169" t="s">
        <v>1175</v>
      </c>
      <c r="U21" s="171"/>
      <c r="V21" s="189"/>
      <c r="W21" s="190" t="s">
        <v>1149</v>
      </c>
      <c r="X21" s="190"/>
      <c r="Y21" s="191" t="s">
        <v>1176</v>
      </c>
      <c r="Z21" s="144" t="s">
        <v>1177</v>
      </c>
      <c r="AA21" s="118" t="s">
        <v>1178</v>
      </c>
      <c r="AB21" s="175"/>
      <c r="AC21" s="175"/>
      <c r="AD21" s="175"/>
      <c r="AE21" s="183">
        <v>63</v>
      </c>
      <c r="AF21" s="177" t="s">
        <v>1171</v>
      </c>
      <c r="AG21" s="184" t="s">
        <v>1179</v>
      </c>
    </row>
    <row r="22" spans="1:33" ht="99.75" customHeight="1" x14ac:dyDescent="0.2">
      <c r="A22" s="147">
        <v>19</v>
      </c>
      <c r="B22" s="185" t="s">
        <v>1180</v>
      </c>
      <c r="C22" s="25" t="s">
        <v>1163</v>
      </c>
      <c r="D22" s="186" t="s">
        <v>1139</v>
      </c>
      <c r="E22" s="187">
        <v>200</v>
      </c>
      <c r="F22" s="187">
        <v>5</v>
      </c>
      <c r="G22" s="188" t="s">
        <v>440</v>
      </c>
      <c r="H22" s="19" t="s">
        <v>88</v>
      </c>
      <c r="I22" s="194" t="s">
        <v>1079</v>
      </c>
      <c r="J22" s="110" t="s">
        <v>444</v>
      </c>
      <c r="K22" s="120" t="s">
        <v>1148</v>
      </c>
      <c r="L22" s="117" t="s">
        <v>1166</v>
      </c>
      <c r="M22" s="117" t="s">
        <v>1166</v>
      </c>
      <c r="N22" s="117" t="s">
        <v>1106</v>
      </c>
      <c r="O22" s="109" t="s">
        <v>1107</v>
      </c>
      <c r="P22" s="186" t="s">
        <v>1086</v>
      </c>
      <c r="Q22" s="186" t="s">
        <v>1087</v>
      </c>
      <c r="R22" s="169" t="s">
        <v>1181</v>
      </c>
      <c r="S22" s="169" t="s">
        <v>1182</v>
      </c>
      <c r="T22" s="169" t="s">
        <v>1183</v>
      </c>
      <c r="U22" s="171"/>
      <c r="V22" s="189"/>
      <c r="W22" s="190" t="s">
        <v>1149</v>
      </c>
      <c r="X22" s="190"/>
      <c r="Y22" s="191" t="s">
        <v>1184</v>
      </c>
      <c r="Z22" s="192" t="s">
        <v>1185</v>
      </c>
      <c r="AA22" s="193" t="s">
        <v>1186</v>
      </c>
      <c r="AB22" s="175"/>
      <c r="AC22" s="175"/>
      <c r="AD22" s="175"/>
      <c r="AE22" s="183">
        <v>66</v>
      </c>
      <c r="AF22" s="177" t="s">
        <v>1171</v>
      </c>
      <c r="AG22" s="184" t="s">
        <v>1187</v>
      </c>
    </row>
    <row r="23" spans="1:33" ht="99.75" customHeight="1" x14ac:dyDescent="0.2">
      <c r="A23" s="147">
        <v>20</v>
      </c>
      <c r="B23" s="185" t="s">
        <v>1188</v>
      </c>
      <c r="C23" s="25" t="s">
        <v>1163</v>
      </c>
      <c r="D23" s="186" t="s">
        <v>1111</v>
      </c>
      <c r="E23" s="187">
        <v>225</v>
      </c>
      <c r="F23" s="187">
        <v>4</v>
      </c>
      <c r="G23" s="188" t="s">
        <v>440</v>
      </c>
      <c r="H23" s="19" t="s">
        <v>88</v>
      </c>
      <c r="I23" s="182" t="s">
        <v>1189</v>
      </c>
      <c r="J23" s="110" t="s">
        <v>444</v>
      </c>
      <c r="K23" s="120" t="s">
        <v>1148</v>
      </c>
      <c r="L23" s="117" t="s">
        <v>1166</v>
      </c>
      <c r="M23" s="117" t="s">
        <v>1166</v>
      </c>
      <c r="N23" s="117" t="s">
        <v>1106</v>
      </c>
      <c r="O23" s="109" t="s">
        <v>1107</v>
      </c>
      <c r="P23" s="186" t="s">
        <v>1086</v>
      </c>
      <c r="Q23" s="186" t="s">
        <v>1087</v>
      </c>
      <c r="R23" s="169" t="s">
        <v>1190</v>
      </c>
      <c r="S23" s="169" t="s">
        <v>88</v>
      </c>
      <c r="T23" s="169" t="s">
        <v>88</v>
      </c>
      <c r="U23" s="171"/>
      <c r="V23" s="189"/>
      <c r="W23" s="190" t="s">
        <v>1149</v>
      </c>
      <c r="X23" s="190"/>
      <c r="Y23" s="191" t="s">
        <v>1191</v>
      </c>
      <c r="Z23" s="195" t="s">
        <v>1192</v>
      </c>
      <c r="AA23" s="193" t="s">
        <v>1193</v>
      </c>
      <c r="AB23" s="175"/>
      <c r="AC23" s="175"/>
      <c r="AD23" s="175"/>
      <c r="AE23" s="183">
        <v>48</v>
      </c>
      <c r="AF23" s="177" t="s">
        <v>1171</v>
      </c>
      <c r="AG23" s="184" t="s">
        <v>1194</v>
      </c>
    </row>
    <row r="24" spans="1:33" ht="99.75" customHeight="1" x14ac:dyDescent="0.2">
      <c r="A24" s="147">
        <v>21</v>
      </c>
      <c r="B24" s="185" t="s">
        <v>1195</v>
      </c>
      <c r="C24" s="25" t="s">
        <v>1163</v>
      </c>
      <c r="D24" s="186" t="s">
        <v>1196</v>
      </c>
      <c r="E24" s="187">
        <v>150</v>
      </c>
      <c r="F24" s="187">
        <v>3</v>
      </c>
      <c r="G24" s="188" t="s">
        <v>440</v>
      </c>
      <c r="H24" s="19" t="s">
        <v>88</v>
      </c>
      <c r="I24" s="194" t="s">
        <v>1079</v>
      </c>
      <c r="J24" s="110" t="s">
        <v>444</v>
      </c>
      <c r="K24" s="120" t="s">
        <v>1148</v>
      </c>
      <c r="L24" s="117" t="s">
        <v>1166</v>
      </c>
      <c r="M24" s="117" t="s">
        <v>1166</v>
      </c>
      <c r="N24" s="117" t="s">
        <v>1106</v>
      </c>
      <c r="O24" s="109" t="s">
        <v>1107</v>
      </c>
      <c r="P24" s="186" t="s">
        <v>1086</v>
      </c>
      <c r="Q24" s="186" t="s">
        <v>1087</v>
      </c>
      <c r="R24" s="169" t="s">
        <v>1197</v>
      </c>
      <c r="S24" s="169" t="s">
        <v>88</v>
      </c>
      <c r="T24" s="169" t="s">
        <v>1183</v>
      </c>
      <c r="U24" s="171"/>
      <c r="V24" s="189"/>
      <c r="W24" s="190" t="s">
        <v>1149</v>
      </c>
      <c r="X24" s="190"/>
      <c r="Y24" s="191" t="s">
        <v>1198</v>
      </c>
      <c r="Z24" s="195" t="s">
        <v>1199</v>
      </c>
      <c r="AA24" s="193" t="s">
        <v>1200</v>
      </c>
      <c r="AB24" s="175"/>
      <c r="AC24" s="175"/>
      <c r="AD24" s="175"/>
      <c r="AE24" s="183">
        <v>46</v>
      </c>
      <c r="AF24" s="177" t="s">
        <v>1171</v>
      </c>
      <c r="AG24" s="184" t="s">
        <v>1151</v>
      </c>
    </row>
    <row r="25" spans="1:33" ht="79.5" customHeight="1" x14ac:dyDescent="0.2">
      <c r="A25" s="147">
        <v>22</v>
      </c>
      <c r="B25" s="185" t="s">
        <v>1201</v>
      </c>
      <c r="C25" s="25" t="s">
        <v>1163</v>
      </c>
      <c r="D25" s="186" t="s">
        <v>1123</v>
      </c>
      <c r="E25" s="187">
        <v>219</v>
      </c>
      <c r="F25" s="187">
        <v>5</v>
      </c>
      <c r="G25" s="188" t="s">
        <v>440</v>
      </c>
      <c r="H25" s="19" t="s">
        <v>88</v>
      </c>
      <c r="I25" s="180" t="s">
        <v>1202</v>
      </c>
      <c r="J25" s="166" t="s">
        <v>1080</v>
      </c>
      <c r="K25" s="167" t="s">
        <v>1081</v>
      </c>
      <c r="L25" s="117" t="s">
        <v>1166</v>
      </c>
      <c r="M25" s="117" t="s">
        <v>1166</v>
      </c>
      <c r="N25" s="117" t="s">
        <v>1106</v>
      </c>
      <c r="O25" s="109" t="s">
        <v>1107</v>
      </c>
      <c r="P25" s="186" t="s">
        <v>1086</v>
      </c>
      <c r="Q25" s="186" t="s">
        <v>1087</v>
      </c>
      <c r="R25" s="168" t="s">
        <v>1203</v>
      </c>
      <c r="S25" s="169" t="s">
        <v>88</v>
      </c>
      <c r="T25" s="169" t="s">
        <v>1204</v>
      </c>
      <c r="U25" s="171"/>
      <c r="V25" s="189"/>
      <c r="W25" s="190" t="s">
        <v>1149</v>
      </c>
      <c r="X25" s="190"/>
      <c r="Y25" s="191" t="s">
        <v>1205</v>
      </c>
      <c r="Z25" s="144" t="s">
        <v>1206</v>
      </c>
      <c r="AA25" s="118" t="s">
        <v>1178</v>
      </c>
      <c r="AB25" s="175"/>
      <c r="AC25" s="175"/>
      <c r="AD25" s="175"/>
      <c r="AE25" s="183">
        <v>63</v>
      </c>
      <c r="AF25" s="177" t="s">
        <v>1171</v>
      </c>
      <c r="AG25" s="184" t="s">
        <v>1179</v>
      </c>
    </row>
    <row r="26" spans="1:33" ht="99.75" customHeight="1" x14ac:dyDescent="0.2">
      <c r="A26" s="147">
        <v>23</v>
      </c>
      <c r="B26" s="185" t="s">
        <v>1207</v>
      </c>
      <c r="C26" s="25" t="s">
        <v>1163</v>
      </c>
      <c r="D26" s="186" t="s">
        <v>1208</v>
      </c>
      <c r="E26" s="187">
        <v>150</v>
      </c>
      <c r="F26" s="187">
        <v>4</v>
      </c>
      <c r="G26" s="188" t="s">
        <v>440</v>
      </c>
      <c r="H26" s="19" t="s">
        <v>88</v>
      </c>
      <c r="I26" s="194" t="s">
        <v>1079</v>
      </c>
      <c r="J26" s="110" t="s">
        <v>444</v>
      </c>
      <c r="K26" s="120" t="s">
        <v>1148</v>
      </c>
      <c r="L26" s="117" t="s">
        <v>1166</v>
      </c>
      <c r="M26" s="117" t="s">
        <v>1166</v>
      </c>
      <c r="N26" s="117" t="s">
        <v>1106</v>
      </c>
      <c r="O26" s="109" t="s">
        <v>1107</v>
      </c>
      <c r="P26" s="186" t="s">
        <v>1086</v>
      </c>
      <c r="Q26" s="186" t="s">
        <v>1087</v>
      </c>
      <c r="R26" s="169" t="s">
        <v>1209</v>
      </c>
      <c r="S26" s="169" t="s">
        <v>88</v>
      </c>
      <c r="T26" s="169" t="s">
        <v>88</v>
      </c>
      <c r="U26" s="171"/>
      <c r="V26" s="189"/>
      <c r="W26" s="190" t="s">
        <v>1149</v>
      </c>
      <c r="X26" s="190"/>
      <c r="Y26" s="191" t="s">
        <v>1210</v>
      </c>
      <c r="Z26" s="195" t="s">
        <v>1211</v>
      </c>
      <c r="AA26" s="193" t="s">
        <v>1212</v>
      </c>
      <c r="AB26" s="175"/>
      <c r="AC26" s="175"/>
      <c r="AD26" s="175"/>
      <c r="AE26" s="183">
        <v>46</v>
      </c>
      <c r="AF26" s="177" t="s">
        <v>1171</v>
      </c>
      <c r="AG26" s="184" t="s">
        <v>1151</v>
      </c>
    </row>
    <row r="27" spans="1:33" ht="99.75" customHeight="1" x14ac:dyDescent="0.2">
      <c r="A27" s="147">
        <v>24</v>
      </c>
      <c r="B27" s="185" t="s">
        <v>1213</v>
      </c>
      <c r="C27" s="25" t="s">
        <v>1163</v>
      </c>
      <c r="D27" s="186" t="s">
        <v>1115</v>
      </c>
      <c r="E27" s="187">
        <v>250</v>
      </c>
      <c r="F27" s="187">
        <v>3</v>
      </c>
      <c r="G27" s="188" t="s">
        <v>440</v>
      </c>
      <c r="H27" s="19" t="s">
        <v>88</v>
      </c>
      <c r="I27" s="182" t="s">
        <v>1214</v>
      </c>
      <c r="J27" s="117" t="s">
        <v>1215</v>
      </c>
      <c r="K27" s="109" t="s">
        <v>1085</v>
      </c>
      <c r="L27" s="117" t="s">
        <v>1166</v>
      </c>
      <c r="M27" s="117" t="s">
        <v>1166</v>
      </c>
      <c r="N27" s="117" t="s">
        <v>1106</v>
      </c>
      <c r="O27" s="109" t="s">
        <v>1107</v>
      </c>
      <c r="P27" s="186" t="s">
        <v>1086</v>
      </c>
      <c r="Q27" s="186" t="s">
        <v>1087</v>
      </c>
      <c r="R27" s="169" t="s">
        <v>1216</v>
      </c>
      <c r="S27" s="169" t="s">
        <v>88</v>
      </c>
      <c r="T27" s="169" t="s">
        <v>1217</v>
      </c>
      <c r="U27" s="171"/>
      <c r="V27" s="189"/>
      <c r="W27" s="190" t="s">
        <v>1149</v>
      </c>
      <c r="X27" s="190"/>
      <c r="Y27" s="191" t="s">
        <v>1218</v>
      </c>
      <c r="Z27" s="192" t="s">
        <v>1219</v>
      </c>
      <c r="AA27" s="193" t="s">
        <v>1220</v>
      </c>
      <c r="AB27" s="175"/>
      <c r="AC27" s="175"/>
      <c r="AD27" s="175"/>
      <c r="AE27" s="183">
        <v>51</v>
      </c>
      <c r="AF27" s="177" t="s">
        <v>1171</v>
      </c>
      <c r="AG27" s="184" t="s">
        <v>1221</v>
      </c>
    </row>
    <row r="28" spans="1:33" ht="79.5" customHeight="1" x14ac:dyDescent="0.2">
      <c r="A28" s="147">
        <v>25</v>
      </c>
      <c r="B28" s="185" t="s">
        <v>1222</v>
      </c>
      <c r="C28" s="25" t="s">
        <v>1163</v>
      </c>
      <c r="D28" s="186" t="s">
        <v>1077</v>
      </c>
      <c r="E28" s="187">
        <v>350</v>
      </c>
      <c r="F28" s="187">
        <v>5</v>
      </c>
      <c r="G28" s="196" t="s">
        <v>1078</v>
      </c>
      <c r="H28" s="19" t="s">
        <v>88</v>
      </c>
      <c r="I28" s="194" t="s">
        <v>1079</v>
      </c>
      <c r="J28" s="166" t="s">
        <v>1080</v>
      </c>
      <c r="K28" s="167" t="s">
        <v>1081</v>
      </c>
      <c r="L28" s="117" t="s">
        <v>1166</v>
      </c>
      <c r="M28" s="117" t="s">
        <v>1166</v>
      </c>
      <c r="N28" s="117" t="s">
        <v>1106</v>
      </c>
      <c r="O28" s="109" t="s">
        <v>1107</v>
      </c>
      <c r="P28" s="186" t="s">
        <v>1086</v>
      </c>
      <c r="Q28" s="186" t="s">
        <v>1087</v>
      </c>
      <c r="R28" s="168" t="s">
        <v>1223</v>
      </c>
      <c r="S28" s="169" t="s">
        <v>88</v>
      </c>
      <c r="T28" s="169" t="s">
        <v>88</v>
      </c>
      <c r="U28" s="171"/>
      <c r="V28" s="189"/>
      <c r="W28" s="190" t="s">
        <v>1160</v>
      </c>
      <c r="X28" s="190"/>
      <c r="Y28" s="191" t="s">
        <v>1224</v>
      </c>
      <c r="Z28" s="144" t="s">
        <v>1206</v>
      </c>
      <c r="AA28" s="118" t="s">
        <v>1178</v>
      </c>
      <c r="AB28" s="175"/>
      <c r="AC28" s="175"/>
      <c r="AD28" s="175"/>
      <c r="AE28" s="176">
        <v>43</v>
      </c>
      <c r="AF28" s="177" t="s">
        <v>1171</v>
      </c>
      <c r="AG28" s="184" t="s">
        <v>1225</v>
      </c>
    </row>
    <row r="29" spans="1:33" ht="99.75" customHeight="1" x14ac:dyDescent="0.2">
      <c r="A29" s="147">
        <v>26</v>
      </c>
      <c r="B29" s="185" t="s">
        <v>1226</v>
      </c>
      <c r="C29" s="25" t="s">
        <v>1163</v>
      </c>
      <c r="D29" s="186" t="s">
        <v>1144</v>
      </c>
      <c r="E29" s="187">
        <v>100</v>
      </c>
      <c r="F29" s="187">
        <v>3</v>
      </c>
      <c r="G29" s="188" t="s">
        <v>440</v>
      </c>
      <c r="H29" s="19" t="s">
        <v>88</v>
      </c>
      <c r="I29" s="194" t="s">
        <v>1079</v>
      </c>
      <c r="J29" s="110" t="s">
        <v>444</v>
      </c>
      <c r="K29" s="120" t="s">
        <v>1148</v>
      </c>
      <c r="L29" s="117" t="s">
        <v>1166</v>
      </c>
      <c r="M29" s="117" t="s">
        <v>1166</v>
      </c>
      <c r="N29" s="117" t="s">
        <v>1106</v>
      </c>
      <c r="O29" s="109" t="s">
        <v>1107</v>
      </c>
      <c r="P29" s="186" t="s">
        <v>1086</v>
      </c>
      <c r="Q29" s="186" t="s">
        <v>1087</v>
      </c>
      <c r="R29" s="169" t="s">
        <v>1227</v>
      </c>
      <c r="S29" s="169" t="s">
        <v>88</v>
      </c>
      <c r="T29" s="169" t="s">
        <v>88</v>
      </c>
      <c r="U29" s="171"/>
      <c r="V29" s="189"/>
      <c r="W29" s="190" t="s">
        <v>1149</v>
      </c>
      <c r="X29" s="190"/>
      <c r="Y29" s="191" t="s">
        <v>1228</v>
      </c>
      <c r="Z29" s="195" t="s">
        <v>1229</v>
      </c>
      <c r="AA29" s="193" t="s">
        <v>1230</v>
      </c>
      <c r="AB29" s="175"/>
      <c r="AC29" s="175"/>
      <c r="AD29" s="175"/>
      <c r="AE29" s="183">
        <v>48</v>
      </c>
      <c r="AF29" s="177" t="s">
        <v>1171</v>
      </c>
      <c r="AG29" s="184" t="s">
        <v>1194</v>
      </c>
    </row>
    <row r="30" spans="1:33" ht="99.75" customHeight="1" x14ac:dyDescent="0.2">
      <c r="A30" s="147">
        <v>27</v>
      </c>
      <c r="B30" s="185" t="s">
        <v>1231</v>
      </c>
      <c r="C30" s="25" t="s">
        <v>1163</v>
      </c>
      <c r="D30" s="186" t="s">
        <v>1139</v>
      </c>
      <c r="E30" s="187">
        <v>150</v>
      </c>
      <c r="F30" s="187">
        <v>5</v>
      </c>
      <c r="G30" s="188" t="s">
        <v>440</v>
      </c>
      <c r="H30" s="19" t="s">
        <v>88</v>
      </c>
      <c r="I30" s="194" t="s">
        <v>1079</v>
      </c>
      <c r="J30" s="110" t="s">
        <v>444</v>
      </c>
      <c r="K30" s="120" t="s">
        <v>1148</v>
      </c>
      <c r="L30" s="117" t="s">
        <v>1166</v>
      </c>
      <c r="M30" s="117" t="s">
        <v>1166</v>
      </c>
      <c r="N30" s="117" t="s">
        <v>1106</v>
      </c>
      <c r="O30" s="109" t="s">
        <v>1107</v>
      </c>
      <c r="P30" s="186" t="s">
        <v>1086</v>
      </c>
      <c r="Q30" s="186" t="s">
        <v>1087</v>
      </c>
      <c r="R30" s="169" t="s">
        <v>1232</v>
      </c>
      <c r="S30" s="169" t="s">
        <v>1233</v>
      </c>
      <c r="T30" s="169" t="s">
        <v>1234</v>
      </c>
      <c r="U30" s="171"/>
      <c r="V30" s="189"/>
      <c r="W30" s="190" t="s">
        <v>1149</v>
      </c>
      <c r="X30" s="190"/>
      <c r="Y30" s="191" t="s">
        <v>1235</v>
      </c>
      <c r="Z30" s="195" t="s">
        <v>1236</v>
      </c>
      <c r="AA30" s="193" t="s">
        <v>1237</v>
      </c>
      <c r="AB30" s="175"/>
      <c r="AC30" s="175"/>
      <c r="AD30" s="175"/>
      <c r="AE30" s="183">
        <v>66</v>
      </c>
      <c r="AF30" s="177" t="s">
        <v>1171</v>
      </c>
      <c r="AG30" s="184" t="s">
        <v>1187</v>
      </c>
    </row>
    <row r="31" spans="1:33" ht="99.75" customHeight="1" x14ac:dyDescent="0.2">
      <c r="A31" s="147">
        <v>28</v>
      </c>
      <c r="B31" s="185" t="s">
        <v>1238</v>
      </c>
      <c r="C31" s="25" t="s">
        <v>1163</v>
      </c>
      <c r="D31" s="186" t="s">
        <v>1104</v>
      </c>
      <c r="E31" s="187">
        <v>100</v>
      </c>
      <c r="F31" s="187">
        <v>3</v>
      </c>
      <c r="G31" s="188" t="s">
        <v>440</v>
      </c>
      <c r="H31" s="19" t="s">
        <v>88</v>
      </c>
      <c r="I31" s="182" t="s">
        <v>1239</v>
      </c>
      <c r="J31" s="110" t="s">
        <v>444</v>
      </c>
      <c r="K31" s="120" t="s">
        <v>1148</v>
      </c>
      <c r="L31" s="117" t="s">
        <v>1166</v>
      </c>
      <c r="M31" s="117" t="s">
        <v>1166</v>
      </c>
      <c r="N31" s="117" t="s">
        <v>1106</v>
      </c>
      <c r="O31" s="109" t="s">
        <v>1107</v>
      </c>
      <c r="P31" s="186" t="s">
        <v>1086</v>
      </c>
      <c r="Q31" s="186" t="s">
        <v>1087</v>
      </c>
      <c r="R31" s="169" t="s">
        <v>1232</v>
      </c>
      <c r="S31" s="169" t="s">
        <v>1233</v>
      </c>
      <c r="T31" s="169" t="s">
        <v>1234</v>
      </c>
      <c r="U31" s="171"/>
      <c r="V31" s="189"/>
      <c r="W31" s="190" t="s">
        <v>1149</v>
      </c>
      <c r="X31" s="190"/>
      <c r="Y31" s="191" t="s">
        <v>1240</v>
      </c>
      <c r="Z31" s="192" t="s">
        <v>1241</v>
      </c>
      <c r="AA31" s="193" t="s">
        <v>1242</v>
      </c>
      <c r="AB31" s="175"/>
      <c r="AC31" s="175"/>
      <c r="AD31" s="175"/>
      <c r="AE31" s="183">
        <v>51</v>
      </c>
      <c r="AF31" s="177" t="s">
        <v>1171</v>
      </c>
      <c r="AG31" s="184" t="s">
        <v>1221</v>
      </c>
    </row>
    <row r="32" spans="1:33" ht="79.5" customHeight="1" x14ac:dyDescent="0.2">
      <c r="A32" s="197">
        <v>29</v>
      </c>
      <c r="B32" s="198" t="s">
        <v>1243</v>
      </c>
      <c r="C32" s="199" t="s">
        <v>523</v>
      </c>
      <c r="D32" s="103" t="s">
        <v>1244</v>
      </c>
      <c r="E32" s="200">
        <v>200</v>
      </c>
      <c r="F32" s="200">
        <v>4</v>
      </c>
      <c r="G32" s="201" t="s">
        <v>440</v>
      </c>
      <c r="H32" s="202" t="s">
        <v>1245</v>
      </c>
      <c r="I32" s="203" t="s">
        <v>1246</v>
      </c>
      <c r="J32" s="110" t="s">
        <v>444</v>
      </c>
      <c r="K32" s="120" t="s">
        <v>1148</v>
      </c>
      <c r="L32" s="117" t="s">
        <v>1166</v>
      </c>
      <c r="M32" s="117" t="s">
        <v>1166</v>
      </c>
      <c r="N32" s="110" t="s">
        <v>1247</v>
      </c>
      <c r="O32" s="120" t="s">
        <v>1081</v>
      </c>
      <c r="P32" s="103" t="s">
        <v>1086</v>
      </c>
      <c r="Q32" s="103" t="s">
        <v>1087</v>
      </c>
      <c r="R32" s="204" t="s">
        <v>1248</v>
      </c>
      <c r="S32" s="169" t="s">
        <v>1249</v>
      </c>
      <c r="T32" s="205" t="s">
        <v>1250</v>
      </c>
      <c r="U32" s="171"/>
      <c r="V32" s="206"/>
      <c r="W32" s="207" t="s">
        <v>1251</v>
      </c>
      <c r="X32" s="207"/>
      <c r="Y32" s="208" t="s">
        <v>1252</v>
      </c>
      <c r="Z32" s="111" t="s">
        <v>1253</v>
      </c>
      <c r="AA32" s="112" t="s">
        <v>1254</v>
      </c>
      <c r="AB32" s="175"/>
      <c r="AC32" s="175"/>
      <c r="AD32" s="175"/>
      <c r="AE32" s="209">
        <v>81</v>
      </c>
      <c r="AF32" s="177" t="s">
        <v>1255</v>
      </c>
      <c r="AG32" s="210" t="s">
        <v>1256</v>
      </c>
    </row>
    <row r="33" spans="1:33" ht="79.5" customHeight="1" x14ac:dyDescent="0.2">
      <c r="A33" s="197">
        <v>30</v>
      </c>
      <c r="B33" s="198" t="s">
        <v>1257</v>
      </c>
      <c r="C33" s="199" t="s">
        <v>523</v>
      </c>
      <c r="D33" s="103" t="s">
        <v>1258</v>
      </c>
      <c r="E33" s="200">
        <v>150</v>
      </c>
      <c r="F33" s="200">
        <v>4</v>
      </c>
      <c r="G33" s="201" t="s">
        <v>440</v>
      </c>
      <c r="H33" s="202" t="s">
        <v>1245</v>
      </c>
      <c r="I33" s="203" t="s">
        <v>1259</v>
      </c>
      <c r="J33" s="110" t="s">
        <v>444</v>
      </c>
      <c r="K33" s="120" t="s">
        <v>1148</v>
      </c>
      <c r="L33" s="117" t="s">
        <v>1166</v>
      </c>
      <c r="M33" s="117" t="s">
        <v>1166</v>
      </c>
      <c r="N33" s="110" t="s">
        <v>1247</v>
      </c>
      <c r="O33" s="120" t="s">
        <v>1081</v>
      </c>
      <c r="P33" s="103" t="s">
        <v>1086</v>
      </c>
      <c r="Q33" s="103" t="s">
        <v>1087</v>
      </c>
      <c r="R33" s="204" t="s">
        <v>1260</v>
      </c>
      <c r="S33" s="169" t="s">
        <v>1261</v>
      </c>
      <c r="T33" s="205" t="s">
        <v>1262</v>
      </c>
      <c r="U33" s="171"/>
      <c r="V33" s="206"/>
      <c r="W33" s="207" t="s">
        <v>1251</v>
      </c>
      <c r="X33" s="207"/>
      <c r="Y33" s="208" t="s">
        <v>1263</v>
      </c>
      <c r="Z33" s="118" t="s">
        <v>1264</v>
      </c>
      <c r="AA33" s="112" t="s">
        <v>1265</v>
      </c>
      <c r="AB33" s="175"/>
      <c r="AC33" s="175"/>
      <c r="AD33" s="175"/>
      <c r="AE33" s="209">
        <v>71</v>
      </c>
      <c r="AF33" s="177" t="s">
        <v>1255</v>
      </c>
      <c r="AG33" s="210" t="s">
        <v>1266</v>
      </c>
    </row>
    <row r="34" spans="1:33" ht="79.5" customHeight="1" x14ac:dyDescent="0.2">
      <c r="A34" s="197">
        <v>31</v>
      </c>
      <c r="B34" s="198" t="s">
        <v>1267</v>
      </c>
      <c r="C34" s="199" t="s">
        <v>523</v>
      </c>
      <c r="D34" s="103" t="s">
        <v>1268</v>
      </c>
      <c r="E34" s="200">
        <v>100</v>
      </c>
      <c r="F34" s="200">
        <v>5</v>
      </c>
      <c r="G34" s="201" t="s">
        <v>440</v>
      </c>
      <c r="H34" s="202" t="s">
        <v>1245</v>
      </c>
      <c r="I34" s="203" t="s">
        <v>1269</v>
      </c>
      <c r="J34" s="110" t="s">
        <v>444</v>
      </c>
      <c r="K34" s="120" t="s">
        <v>1148</v>
      </c>
      <c r="L34" s="117" t="s">
        <v>1166</v>
      </c>
      <c r="M34" s="117" t="s">
        <v>1166</v>
      </c>
      <c r="N34" s="110" t="s">
        <v>1270</v>
      </c>
      <c r="O34" s="120" t="s">
        <v>1081</v>
      </c>
      <c r="P34" s="103" t="s">
        <v>1086</v>
      </c>
      <c r="Q34" s="103" t="s">
        <v>1087</v>
      </c>
      <c r="R34" s="204" t="s">
        <v>1271</v>
      </c>
      <c r="S34" s="169" t="s">
        <v>1182</v>
      </c>
      <c r="T34" s="205" t="s">
        <v>1272</v>
      </c>
      <c r="U34" s="171"/>
      <c r="V34" s="206"/>
      <c r="W34" s="207" t="s">
        <v>1149</v>
      </c>
      <c r="X34" s="207"/>
      <c r="Y34" s="208" t="s">
        <v>1273</v>
      </c>
      <c r="Z34" s="118" t="s">
        <v>1274</v>
      </c>
      <c r="AA34" s="112" t="s">
        <v>1275</v>
      </c>
      <c r="AB34" s="175"/>
      <c r="AC34" s="175"/>
      <c r="AD34" s="175"/>
      <c r="AE34" s="209">
        <v>81</v>
      </c>
      <c r="AF34" s="177" t="s">
        <v>1255</v>
      </c>
      <c r="AG34" s="210" t="s">
        <v>1256</v>
      </c>
    </row>
    <row r="35" spans="1:33" ht="79.5" customHeight="1" x14ac:dyDescent="0.2">
      <c r="A35" s="197">
        <v>32</v>
      </c>
      <c r="B35" s="198" t="s">
        <v>1276</v>
      </c>
      <c r="C35" s="199" t="s">
        <v>523</v>
      </c>
      <c r="D35" s="103" t="s">
        <v>1277</v>
      </c>
      <c r="E35" s="200">
        <v>100</v>
      </c>
      <c r="F35" s="200">
        <v>4</v>
      </c>
      <c r="G35" s="201" t="s">
        <v>440</v>
      </c>
      <c r="H35" s="202" t="s">
        <v>1245</v>
      </c>
      <c r="I35" s="203" t="s">
        <v>1278</v>
      </c>
      <c r="J35" s="110" t="s">
        <v>444</v>
      </c>
      <c r="K35" s="120" t="s">
        <v>1148</v>
      </c>
      <c r="L35" s="117" t="s">
        <v>1166</v>
      </c>
      <c r="M35" s="117" t="s">
        <v>1166</v>
      </c>
      <c r="N35" s="108" t="s">
        <v>1279</v>
      </c>
      <c r="O35" s="211" t="s">
        <v>927</v>
      </c>
      <c r="P35" s="103" t="s">
        <v>1086</v>
      </c>
      <c r="Q35" s="103" t="s">
        <v>1087</v>
      </c>
      <c r="R35" s="204" t="s">
        <v>1280</v>
      </c>
      <c r="S35" s="169" t="s">
        <v>1182</v>
      </c>
      <c r="T35" s="205" t="s">
        <v>1281</v>
      </c>
      <c r="U35" s="171"/>
      <c r="V35" s="206"/>
      <c r="W35" s="207" t="s">
        <v>1149</v>
      </c>
      <c r="X35" s="207"/>
      <c r="Y35" s="208" t="s">
        <v>1282</v>
      </c>
      <c r="Z35" s="111" t="s">
        <v>1283</v>
      </c>
      <c r="AA35" s="112" t="s">
        <v>1284</v>
      </c>
      <c r="AB35" s="175"/>
      <c r="AC35" s="175"/>
      <c r="AD35" s="175"/>
      <c r="AE35" s="209">
        <v>78</v>
      </c>
      <c r="AF35" s="177" t="s">
        <v>1255</v>
      </c>
      <c r="AG35" s="210" t="s">
        <v>1285</v>
      </c>
    </row>
    <row r="36" spans="1:33" ht="79.5" customHeight="1" x14ac:dyDescent="0.2">
      <c r="A36" s="197">
        <v>33</v>
      </c>
      <c r="B36" s="198" t="s">
        <v>1286</v>
      </c>
      <c r="C36" s="199" t="s">
        <v>523</v>
      </c>
      <c r="D36" s="103" t="s">
        <v>1132</v>
      </c>
      <c r="E36" s="200">
        <v>100</v>
      </c>
      <c r="F36" s="200">
        <v>5</v>
      </c>
      <c r="G36" s="201" t="s">
        <v>440</v>
      </c>
      <c r="H36" s="202" t="s">
        <v>1245</v>
      </c>
      <c r="I36" s="203" t="s">
        <v>1287</v>
      </c>
      <c r="J36" s="110" t="s">
        <v>444</v>
      </c>
      <c r="K36" s="120" t="s">
        <v>1148</v>
      </c>
      <c r="L36" s="117" t="s">
        <v>1166</v>
      </c>
      <c r="M36" s="117" t="s">
        <v>1166</v>
      </c>
      <c r="N36" s="117" t="s">
        <v>1106</v>
      </c>
      <c r="O36" s="109" t="s">
        <v>1085</v>
      </c>
      <c r="P36" s="103" t="s">
        <v>1086</v>
      </c>
      <c r="Q36" s="103" t="s">
        <v>1087</v>
      </c>
      <c r="R36" s="204" t="s">
        <v>1288</v>
      </c>
      <c r="S36" s="169" t="s">
        <v>1289</v>
      </c>
      <c r="T36" s="205" t="s">
        <v>1290</v>
      </c>
      <c r="U36" s="171"/>
      <c r="V36" s="206"/>
      <c r="W36" s="207" t="s">
        <v>1149</v>
      </c>
      <c r="X36" s="207"/>
      <c r="Y36" s="208" t="s">
        <v>1291</v>
      </c>
      <c r="Z36" s="111" t="s">
        <v>1283</v>
      </c>
      <c r="AA36" s="112" t="s">
        <v>1284</v>
      </c>
      <c r="AB36" s="175"/>
      <c r="AC36" s="175"/>
      <c r="AD36" s="175"/>
      <c r="AE36" s="209">
        <v>88</v>
      </c>
      <c r="AF36" s="177" t="s">
        <v>1255</v>
      </c>
      <c r="AG36" s="210" t="s">
        <v>1292</v>
      </c>
    </row>
    <row r="37" spans="1:33" ht="79.5" customHeight="1" x14ac:dyDescent="0.2">
      <c r="A37" s="197">
        <v>34</v>
      </c>
      <c r="B37" s="198" t="s">
        <v>455</v>
      </c>
      <c r="C37" s="199" t="s">
        <v>523</v>
      </c>
      <c r="D37" s="103" t="s">
        <v>1139</v>
      </c>
      <c r="E37" s="200">
        <v>150</v>
      </c>
      <c r="F37" s="200">
        <v>8</v>
      </c>
      <c r="G37" s="201" t="s">
        <v>456</v>
      </c>
      <c r="H37" s="202" t="s">
        <v>1245</v>
      </c>
      <c r="I37" s="203" t="s">
        <v>1293</v>
      </c>
      <c r="J37" s="110" t="s">
        <v>458</v>
      </c>
      <c r="K37" s="120" t="s">
        <v>1148</v>
      </c>
      <c r="L37" s="117" t="s">
        <v>1166</v>
      </c>
      <c r="M37" s="117" t="s">
        <v>1166</v>
      </c>
      <c r="N37" s="110" t="s">
        <v>1294</v>
      </c>
      <c r="O37" s="120" t="s">
        <v>1081</v>
      </c>
      <c r="P37" s="103" t="s">
        <v>1086</v>
      </c>
      <c r="Q37" s="103" t="s">
        <v>1087</v>
      </c>
      <c r="R37" s="212" t="s">
        <v>1295</v>
      </c>
      <c r="S37" s="169" t="s">
        <v>1296</v>
      </c>
      <c r="T37" s="205" t="s">
        <v>1297</v>
      </c>
      <c r="U37" s="171"/>
      <c r="V37" s="206"/>
      <c r="W37" s="207" t="s">
        <v>1149</v>
      </c>
      <c r="X37" s="207"/>
      <c r="Y37" s="208" t="s">
        <v>1298</v>
      </c>
      <c r="Z37" s="111" t="s">
        <v>1283</v>
      </c>
      <c r="AA37" s="112" t="s">
        <v>1284</v>
      </c>
      <c r="AB37" s="175"/>
      <c r="AC37" s="175"/>
      <c r="AD37" s="175"/>
      <c r="AE37" s="209">
        <v>91</v>
      </c>
      <c r="AF37" s="177" t="s">
        <v>1255</v>
      </c>
      <c r="AG37" s="210" t="s">
        <v>461</v>
      </c>
    </row>
    <row r="38" spans="1:33" ht="120" customHeight="1" x14ac:dyDescent="0.2">
      <c r="A38" s="197">
        <v>35</v>
      </c>
      <c r="B38" s="198" t="s">
        <v>1299</v>
      </c>
      <c r="C38" s="199" t="s">
        <v>523</v>
      </c>
      <c r="D38" s="103" t="s">
        <v>1159</v>
      </c>
      <c r="E38" s="200">
        <v>200</v>
      </c>
      <c r="F38" s="200">
        <v>4</v>
      </c>
      <c r="G38" s="201" t="s">
        <v>440</v>
      </c>
      <c r="H38" s="202" t="s">
        <v>1245</v>
      </c>
      <c r="I38" s="26" t="s">
        <v>1079</v>
      </c>
      <c r="J38" s="110" t="s">
        <v>444</v>
      </c>
      <c r="K38" s="120" t="s">
        <v>1148</v>
      </c>
      <c r="L38" s="117" t="s">
        <v>1166</v>
      </c>
      <c r="M38" s="117" t="s">
        <v>1166</v>
      </c>
      <c r="N38" s="117" t="s">
        <v>1106</v>
      </c>
      <c r="O38" s="109" t="s">
        <v>1085</v>
      </c>
      <c r="P38" s="103" t="s">
        <v>1086</v>
      </c>
      <c r="Q38" s="103" t="s">
        <v>1087</v>
      </c>
      <c r="R38" s="213" t="s">
        <v>1300</v>
      </c>
      <c r="S38" s="169" t="s">
        <v>1296</v>
      </c>
      <c r="T38" s="205" t="s">
        <v>1297</v>
      </c>
      <c r="U38" s="171"/>
      <c r="V38" s="206"/>
      <c r="W38" s="207" t="s">
        <v>1149</v>
      </c>
      <c r="X38" s="207"/>
      <c r="Y38" s="208" t="s">
        <v>1301</v>
      </c>
      <c r="Z38" s="111" t="s">
        <v>1283</v>
      </c>
      <c r="AA38" s="112" t="s">
        <v>1284</v>
      </c>
      <c r="AB38" s="175"/>
      <c r="AC38" s="175"/>
      <c r="AD38" s="175"/>
      <c r="AE38" s="209">
        <v>71</v>
      </c>
      <c r="AF38" s="177" t="s">
        <v>1255</v>
      </c>
      <c r="AG38" s="210" t="s">
        <v>1266</v>
      </c>
    </row>
    <row r="39" spans="1:33" ht="109.5" customHeight="1" x14ac:dyDescent="0.2">
      <c r="A39" s="214">
        <v>36</v>
      </c>
      <c r="B39" s="215" t="s">
        <v>1302</v>
      </c>
      <c r="C39" s="216" t="s">
        <v>1303</v>
      </c>
      <c r="D39" s="217" t="s">
        <v>1111</v>
      </c>
      <c r="E39" s="218">
        <v>448</v>
      </c>
      <c r="F39" s="218">
        <v>3</v>
      </c>
      <c r="G39" s="219" t="s">
        <v>440</v>
      </c>
      <c r="H39" s="19" t="s">
        <v>88</v>
      </c>
      <c r="I39" s="180" t="s">
        <v>1304</v>
      </c>
      <c r="J39" s="110" t="s">
        <v>1305</v>
      </c>
      <c r="K39" s="120" t="s">
        <v>1148</v>
      </c>
      <c r="L39" s="117" t="s">
        <v>1166</v>
      </c>
      <c r="M39" s="117" t="s">
        <v>1166</v>
      </c>
      <c r="N39" s="117" t="s">
        <v>1106</v>
      </c>
      <c r="O39" s="109" t="s">
        <v>1107</v>
      </c>
      <c r="P39" s="217" t="s">
        <v>1086</v>
      </c>
      <c r="Q39" s="217" t="s">
        <v>1087</v>
      </c>
      <c r="R39" s="169" t="s">
        <v>1232</v>
      </c>
      <c r="S39" s="169" t="s">
        <v>1233</v>
      </c>
      <c r="T39" s="169" t="s">
        <v>1234</v>
      </c>
      <c r="U39" s="171"/>
      <c r="V39" s="220"/>
      <c r="W39" s="221" t="s">
        <v>1149</v>
      </c>
      <c r="X39" s="221"/>
      <c r="Y39" s="222" t="s">
        <v>1306</v>
      </c>
      <c r="Z39" s="195" t="s">
        <v>1307</v>
      </c>
      <c r="AA39" s="193" t="s">
        <v>1308</v>
      </c>
      <c r="AB39" s="175"/>
      <c r="AC39" s="175"/>
      <c r="AD39" s="175"/>
      <c r="AE39" s="183">
        <v>51</v>
      </c>
      <c r="AF39" s="177" t="s">
        <v>1255</v>
      </c>
      <c r="AG39" s="184" t="s">
        <v>1309</v>
      </c>
    </row>
    <row r="40" spans="1:33" ht="120" customHeight="1" x14ac:dyDescent="0.2">
      <c r="A40" s="214">
        <v>37</v>
      </c>
      <c r="B40" s="215" t="s">
        <v>438</v>
      </c>
      <c r="C40" s="216" t="s">
        <v>1303</v>
      </c>
      <c r="D40" s="217" t="s">
        <v>1310</v>
      </c>
      <c r="E40" s="218">
        <v>150</v>
      </c>
      <c r="F40" s="218">
        <v>5</v>
      </c>
      <c r="G40" s="219" t="s">
        <v>441</v>
      </c>
      <c r="H40" s="19" t="s">
        <v>88</v>
      </c>
      <c r="I40" s="203" t="s">
        <v>1311</v>
      </c>
      <c r="J40" s="110" t="s">
        <v>445</v>
      </c>
      <c r="K40" s="120" t="s">
        <v>1148</v>
      </c>
      <c r="L40" s="117" t="s">
        <v>1166</v>
      </c>
      <c r="M40" s="117" t="s">
        <v>1166</v>
      </c>
      <c r="N40" s="117" t="s">
        <v>1106</v>
      </c>
      <c r="O40" s="109" t="s">
        <v>1107</v>
      </c>
      <c r="P40" s="217" t="s">
        <v>1086</v>
      </c>
      <c r="Q40" s="217" t="s">
        <v>1087</v>
      </c>
      <c r="R40" s="169" t="s">
        <v>1232</v>
      </c>
      <c r="S40" s="169" t="s">
        <v>1233</v>
      </c>
      <c r="T40" s="169" t="s">
        <v>1234</v>
      </c>
      <c r="U40" s="171"/>
      <c r="V40" s="220"/>
      <c r="W40" s="221" t="s">
        <v>1149</v>
      </c>
      <c r="X40" s="221"/>
      <c r="Y40" s="222" t="s">
        <v>1312</v>
      </c>
      <c r="Z40" s="195" t="s">
        <v>1313</v>
      </c>
      <c r="AA40" s="223" t="s">
        <v>1314</v>
      </c>
      <c r="AB40" s="175"/>
      <c r="AC40" s="175"/>
      <c r="AD40" s="175"/>
      <c r="AE40" s="183">
        <v>59</v>
      </c>
      <c r="AF40" s="177" t="s">
        <v>1255</v>
      </c>
      <c r="AG40" s="184" t="s">
        <v>453</v>
      </c>
    </row>
    <row r="41" spans="1:33" ht="109.5" customHeight="1" x14ac:dyDescent="0.2">
      <c r="A41" s="214">
        <v>38</v>
      </c>
      <c r="B41" s="215" t="s">
        <v>1315</v>
      </c>
      <c r="C41" s="216" t="s">
        <v>1303</v>
      </c>
      <c r="D41" s="217" t="s">
        <v>1316</v>
      </c>
      <c r="E41" s="218">
        <v>150</v>
      </c>
      <c r="F41" s="218">
        <v>4</v>
      </c>
      <c r="G41" s="219" t="s">
        <v>440</v>
      </c>
      <c r="H41" s="19" t="s">
        <v>88</v>
      </c>
      <c r="I41" s="224" t="s">
        <v>1079</v>
      </c>
      <c r="J41" s="110" t="s">
        <v>444</v>
      </c>
      <c r="K41" s="120" t="s">
        <v>1148</v>
      </c>
      <c r="L41" s="117" t="s">
        <v>1166</v>
      </c>
      <c r="M41" s="117" t="s">
        <v>1166</v>
      </c>
      <c r="N41" s="117" t="s">
        <v>1106</v>
      </c>
      <c r="O41" s="109" t="s">
        <v>1107</v>
      </c>
      <c r="P41" s="217" t="s">
        <v>1086</v>
      </c>
      <c r="Q41" s="217" t="s">
        <v>1087</v>
      </c>
      <c r="R41" s="169" t="s">
        <v>1232</v>
      </c>
      <c r="S41" s="169" t="s">
        <v>1233</v>
      </c>
      <c r="T41" s="169" t="s">
        <v>1234</v>
      </c>
      <c r="U41" s="171"/>
      <c r="V41" s="220"/>
      <c r="W41" s="221" t="s">
        <v>1149</v>
      </c>
      <c r="X41" s="221"/>
      <c r="Y41" s="222" t="s">
        <v>1317</v>
      </c>
      <c r="Z41" s="195" t="s">
        <v>1318</v>
      </c>
      <c r="AA41" s="193" t="s">
        <v>1319</v>
      </c>
      <c r="AB41" s="175"/>
      <c r="AC41" s="175"/>
      <c r="AD41" s="175"/>
      <c r="AE41" s="183">
        <v>51</v>
      </c>
      <c r="AF41" s="177" t="s">
        <v>1255</v>
      </c>
      <c r="AG41" s="184" t="s">
        <v>1309</v>
      </c>
    </row>
    <row r="42" spans="1:33" ht="109.5" customHeight="1" x14ac:dyDescent="0.2">
      <c r="A42" s="214">
        <v>39</v>
      </c>
      <c r="B42" s="215" t="s">
        <v>1320</v>
      </c>
      <c r="C42" s="216" t="s">
        <v>1303</v>
      </c>
      <c r="D42" s="217" t="s">
        <v>1115</v>
      </c>
      <c r="E42" s="218">
        <v>150</v>
      </c>
      <c r="F42" s="218">
        <v>3</v>
      </c>
      <c r="G42" s="219" t="s">
        <v>440</v>
      </c>
      <c r="H42" s="19" t="s">
        <v>88</v>
      </c>
      <c r="I42" s="203" t="s">
        <v>1321</v>
      </c>
      <c r="J42" s="117" t="s">
        <v>1215</v>
      </c>
      <c r="K42" s="109" t="s">
        <v>1085</v>
      </c>
      <c r="L42" s="117" t="s">
        <v>1166</v>
      </c>
      <c r="M42" s="117" t="s">
        <v>1166</v>
      </c>
      <c r="N42" s="117" t="s">
        <v>1106</v>
      </c>
      <c r="O42" s="109" t="s">
        <v>1107</v>
      </c>
      <c r="P42" s="217" t="s">
        <v>1086</v>
      </c>
      <c r="Q42" s="217" t="s">
        <v>1087</v>
      </c>
      <c r="R42" s="169" t="s">
        <v>1232</v>
      </c>
      <c r="S42" s="169" t="s">
        <v>1233</v>
      </c>
      <c r="T42" s="169" t="s">
        <v>1234</v>
      </c>
      <c r="U42" s="171"/>
      <c r="V42" s="220"/>
      <c r="W42" s="221" t="s">
        <v>1149</v>
      </c>
      <c r="X42" s="221"/>
      <c r="Y42" s="222" t="s">
        <v>1322</v>
      </c>
      <c r="Z42" s="195" t="s">
        <v>1323</v>
      </c>
      <c r="AA42" s="193" t="s">
        <v>1324</v>
      </c>
      <c r="AB42" s="175"/>
      <c r="AC42" s="175"/>
      <c r="AD42" s="175"/>
      <c r="AE42" s="183">
        <v>54</v>
      </c>
      <c r="AF42" s="177" t="s">
        <v>1255</v>
      </c>
      <c r="AG42" s="184" t="s">
        <v>1325</v>
      </c>
    </row>
    <row r="43" spans="1:33" ht="109.5" customHeight="1" x14ac:dyDescent="0.2">
      <c r="A43" s="214">
        <v>40</v>
      </c>
      <c r="B43" s="215" t="s">
        <v>1326</v>
      </c>
      <c r="C43" s="216" t="s">
        <v>1303</v>
      </c>
      <c r="D43" s="217" t="s">
        <v>1115</v>
      </c>
      <c r="E43" s="218">
        <v>100</v>
      </c>
      <c r="F43" s="218">
        <v>3</v>
      </c>
      <c r="G43" s="219" t="s">
        <v>440</v>
      </c>
      <c r="H43" s="19" t="s">
        <v>88</v>
      </c>
      <c r="I43" s="224" t="s">
        <v>1079</v>
      </c>
      <c r="J43" s="117" t="s">
        <v>1215</v>
      </c>
      <c r="K43" s="109" t="s">
        <v>1085</v>
      </c>
      <c r="L43" s="117" t="s">
        <v>1166</v>
      </c>
      <c r="M43" s="117" t="s">
        <v>1166</v>
      </c>
      <c r="N43" s="117" t="s">
        <v>1106</v>
      </c>
      <c r="O43" s="109" t="s">
        <v>1107</v>
      </c>
      <c r="P43" s="217" t="s">
        <v>1086</v>
      </c>
      <c r="Q43" s="217" t="s">
        <v>1087</v>
      </c>
      <c r="R43" s="169" t="s">
        <v>1232</v>
      </c>
      <c r="S43" s="169" t="s">
        <v>1233</v>
      </c>
      <c r="T43" s="169" t="s">
        <v>1234</v>
      </c>
      <c r="U43" s="171"/>
      <c r="V43" s="220"/>
      <c r="W43" s="221" t="s">
        <v>1149</v>
      </c>
      <c r="X43" s="221"/>
      <c r="Y43" s="222" t="s">
        <v>1327</v>
      </c>
      <c r="Z43" s="192" t="s">
        <v>1328</v>
      </c>
      <c r="AA43" s="193" t="s">
        <v>1329</v>
      </c>
      <c r="AB43" s="175"/>
      <c r="AC43" s="175"/>
      <c r="AD43" s="175"/>
      <c r="AE43" s="183">
        <v>54</v>
      </c>
      <c r="AF43" s="177" t="s">
        <v>1255</v>
      </c>
      <c r="AG43" s="184" t="s">
        <v>1325</v>
      </c>
    </row>
    <row r="44" spans="1:33" ht="109.5" customHeight="1" x14ac:dyDescent="0.2">
      <c r="A44" s="214">
        <v>41</v>
      </c>
      <c r="B44" s="215" t="s">
        <v>1330</v>
      </c>
      <c r="C44" s="216" t="s">
        <v>1303</v>
      </c>
      <c r="D44" s="217" t="s">
        <v>1331</v>
      </c>
      <c r="E44" s="218">
        <v>100</v>
      </c>
      <c r="F44" s="218">
        <v>3</v>
      </c>
      <c r="G44" s="219" t="s">
        <v>440</v>
      </c>
      <c r="H44" s="19" t="s">
        <v>88</v>
      </c>
      <c r="I44" s="224" t="s">
        <v>1079</v>
      </c>
      <c r="J44" s="110" t="s">
        <v>444</v>
      </c>
      <c r="K44" s="120" t="s">
        <v>1148</v>
      </c>
      <c r="L44" s="117" t="s">
        <v>1166</v>
      </c>
      <c r="M44" s="117" t="s">
        <v>1166</v>
      </c>
      <c r="N44" s="117" t="s">
        <v>1106</v>
      </c>
      <c r="O44" s="109" t="s">
        <v>1107</v>
      </c>
      <c r="P44" s="217" t="s">
        <v>1086</v>
      </c>
      <c r="Q44" s="217" t="s">
        <v>1087</v>
      </c>
      <c r="R44" s="169" t="s">
        <v>1232</v>
      </c>
      <c r="S44" s="169" t="s">
        <v>1233</v>
      </c>
      <c r="T44" s="169" t="s">
        <v>1234</v>
      </c>
      <c r="U44" s="171"/>
      <c r="V44" s="220"/>
      <c r="W44" s="221" t="s">
        <v>1149</v>
      </c>
      <c r="X44" s="221"/>
      <c r="Y44" s="222" t="s">
        <v>1332</v>
      </c>
      <c r="Z44" s="195" t="s">
        <v>1333</v>
      </c>
      <c r="AA44" s="193" t="s">
        <v>1334</v>
      </c>
      <c r="AB44" s="175"/>
      <c r="AC44" s="175"/>
      <c r="AD44" s="175"/>
      <c r="AE44" s="183">
        <v>49</v>
      </c>
      <c r="AF44" s="177" t="s">
        <v>1255</v>
      </c>
      <c r="AG44" s="184" t="s">
        <v>1335</v>
      </c>
    </row>
    <row r="45" spans="1:33" ht="109.5" customHeight="1" x14ac:dyDescent="0.2">
      <c r="A45" s="214">
        <v>42</v>
      </c>
      <c r="B45" s="215" t="s">
        <v>1336</v>
      </c>
      <c r="C45" s="216" t="s">
        <v>1303</v>
      </c>
      <c r="D45" s="217" t="s">
        <v>1077</v>
      </c>
      <c r="E45" s="218">
        <v>100</v>
      </c>
      <c r="F45" s="218">
        <v>5</v>
      </c>
      <c r="G45" s="219" t="s">
        <v>440</v>
      </c>
      <c r="H45" s="19" t="s">
        <v>88</v>
      </c>
      <c r="I45" s="203" t="s">
        <v>1337</v>
      </c>
      <c r="J45" s="110" t="s">
        <v>444</v>
      </c>
      <c r="K45" s="120" t="s">
        <v>1148</v>
      </c>
      <c r="L45" s="117" t="s">
        <v>1166</v>
      </c>
      <c r="M45" s="117" t="s">
        <v>1166</v>
      </c>
      <c r="N45" s="117" t="s">
        <v>1106</v>
      </c>
      <c r="O45" s="109" t="s">
        <v>1107</v>
      </c>
      <c r="P45" s="217" t="s">
        <v>1086</v>
      </c>
      <c r="Q45" s="217" t="s">
        <v>1087</v>
      </c>
      <c r="R45" s="169" t="s">
        <v>1232</v>
      </c>
      <c r="S45" s="169" t="s">
        <v>1233</v>
      </c>
      <c r="T45" s="169" t="s">
        <v>1234</v>
      </c>
      <c r="U45" s="171"/>
      <c r="V45" s="220"/>
      <c r="W45" s="221" t="s">
        <v>1149</v>
      </c>
      <c r="X45" s="221"/>
      <c r="Y45" s="222" t="s">
        <v>1338</v>
      </c>
      <c r="Z45" s="195" t="s">
        <v>1339</v>
      </c>
      <c r="AA45" s="193" t="s">
        <v>1340</v>
      </c>
      <c r="AB45" s="175"/>
      <c r="AC45" s="175"/>
      <c r="AD45" s="175"/>
      <c r="AE45" s="183">
        <v>66</v>
      </c>
      <c r="AF45" s="177" t="s">
        <v>1255</v>
      </c>
      <c r="AG45" s="210" t="s">
        <v>1341</v>
      </c>
    </row>
    <row r="46" spans="1:33" ht="109.5" customHeight="1" x14ac:dyDescent="0.2">
      <c r="A46" s="214">
        <v>43</v>
      </c>
      <c r="B46" s="215" t="s">
        <v>1342</v>
      </c>
      <c r="C46" s="216" t="s">
        <v>1303</v>
      </c>
      <c r="D46" s="217" t="s">
        <v>1132</v>
      </c>
      <c r="E46" s="218">
        <v>100</v>
      </c>
      <c r="F46" s="218">
        <v>5</v>
      </c>
      <c r="G46" s="219" t="s">
        <v>440</v>
      </c>
      <c r="H46" s="19" t="s">
        <v>88</v>
      </c>
      <c r="I46" s="203" t="s">
        <v>1343</v>
      </c>
      <c r="J46" s="110" t="s">
        <v>444</v>
      </c>
      <c r="K46" s="120" t="s">
        <v>1148</v>
      </c>
      <c r="L46" s="117" t="s">
        <v>1166</v>
      </c>
      <c r="M46" s="117" t="s">
        <v>1166</v>
      </c>
      <c r="N46" s="117" t="s">
        <v>1106</v>
      </c>
      <c r="O46" s="109" t="s">
        <v>1107</v>
      </c>
      <c r="P46" s="217" t="s">
        <v>1086</v>
      </c>
      <c r="Q46" s="217" t="s">
        <v>1087</v>
      </c>
      <c r="R46" s="169" t="s">
        <v>1232</v>
      </c>
      <c r="S46" s="169" t="s">
        <v>1233</v>
      </c>
      <c r="T46" s="169" t="s">
        <v>1234</v>
      </c>
      <c r="U46" s="171"/>
      <c r="V46" s="220"/>
      <c r="W46" s="221" t="s">
        <v>1149</v>
      </c>
      <c r="X46" s="221"/>
      <c r="Y46" s="222" t="s">
        <v>1344</v>
      </c>
      <c r="Z46" s="195" t="s">
        <v>1345</v>
      </c>
      <c r="AA46" s="193" t="s">
        <v>1346</v>
      </c>
      <c r="AB46" s="175"/>
      <c r="AC46" s="175"/>
      <c r="AD46" s="175"/>
      <c r="AE46" s="183">
        <v>66</v>
      </c>
      <c r="AF46" s="177" t="s">
        <v>1255</v>
      </c>
      <c r="AG46" s="210" t="s">
        <v>1341</v>
      </c>
    </row>
    <row r="47" spans="1:33" ht="109.5" customHeight="1" x14ac:dyDescent="0.2">
      <c r="A47" s="214">
        <v>44</v>
      </c>
      <c r="B47" s="215" t="s">
        <v>1347</v>
      </c>
      <c r="C47" s="216" t="s">
        <v>1303</v>
      </c>
      <c r="D47" s="217" t="s">
        <v>1348</v>
      </c>
      <c r="E47" s="218">
        <v>150</v>
      </c>
      <c r="F47" s="218">
        <v>3</v>
      </c>
      <c r="G47" s="219" t="s">
        <v>440</v>
      </c>
      <c r="H47" s="19" t="s">
        <v>88</v>
      </c>
      <c r="I47" s="224" t="s">
        <v>1079</v>
      </c>
      <c r="J47" s="110" t="s">
        <v>444</v>
      </c>
      <c r="K47" s="120" t="s">
        <v>1148</v>
      </c>
      <c r="L47" s="117" t="s">
        <v>1166</v>
      </c>
      <c r="M47" s="117" t="s">
        <v>1166</v>
      </c>
      <c r="N47" s="117" t="s">
        <v>1106</v>
      </c>
      <c r="O47" s="109" t="s">
        <v>1107</v>
      </c>
      <c r="P47" s="217" t="s">
        <v>1086</v>
      </c>
      <c r="Q47" s="217" t="s">
        <v>1087</v>
      </c>
      <c r="R47" s="169" t="s">
        <v>1232</v>
      </c>
      <c r="S47" s="169" t="s">
        <v>1233</v>
      </c>
      <c r="T47" s="169" t="s">
        <v>1234</v>
      </c>
      <c r="U47" s="171"/>
      <c r="V47" s="220"/>
      <c r="W47" s="221" t="s">
        <v>1149</v>
      </c>
      <c r="X47" s="221"/>
      <c r="Y47" s="222" t="s">
        <v>1349</v>
      </c>
      <c r="Z47" s="195" t="s">
        <v>1350</v>
      </c>
      <c r="AA47" s="193" t="s">
        <v>1351</v>
      </c>
      <c r="AB47" s="175"/>
      <c r="AC47" s="175"/>
      <c r="AD47" s="175"/>
      <c r="AE47" s="183">
        <v>49</v>
      </c>
      <c r="AF47" s="177" t="s">
        <v>1255</v>
      </c>
      <c r="AG47" s="184" t="s">
        <v>1335</v>
      </c>
    </row>
    <row r="48" spans="1:33" ht="109.5" customHeight="1" x14ac:dyDescent="0.2">
      <c r="A48" s="214">
        <v>45</v>
      </c>
      <c r="B48" s="215" t="s">
        <v>1352</v>
      </c>
      <c r="C48" s="216" t="s">
        <v>1303</v>
      </c>
      <c r="D48" s="217" t="s">
        <v>1353</v>
      </c>
      <c r="E48" s="218" t="s">
        <v>1354</v>
      </c>
      <c r="F48" s="218">
        <v>3</v>
      </c>
      <c r="G48" s="219" t="s">
        <v>440</v>
      </c>
      <c r="H48" s="19" t="s">
        <v>88</v>
      </c>
      <c r="I48" s="224" t="s">
        <v>1079</v>
      </c>
      <c r="J48" s="110" t="s">
        <v>444</v>
      </c>
      <c r="K48" s="120" t="s">
        <v>1148</v>
      </c>
      <c r="L48" s="117" t="s">
        <v>1166</v>
      </c>
      <c r="M48" s="117" t="s">
        <v>1166</v>
      </c>
      <c r="N48" s="117" t="s">
        <v>1106</v>
      </c>
      <c r="O48" s="109" t="s">
        <v>1107</v>
      </c>
      <c r="P48" s="217" t="s">
        <v>1086</v>
      </c>
      <c r="Q48" s="217" t="s">
        <v>1087</v>
      </c>
      <c r="R48" s="169" t="s">
        <v>1232</v>
      </c>
      <c r="S48" s="169" t="s">
        <v>1233</v>
      </c>
      <c r="T48" s="169" t="s">
        <v>1234</v>
      </c>
      <c r="U48" s="171"/>
      <c r="V48" s="220"/>
      <c r="W48" s="221" t="s">
        <v>1149</v>
      </c>
      <c r="X48" s="221"/>
      <c r="Y48" s="222" t="s">
        <v>1355</v>
      </c>
      <c r="Z48" s="195" t="s">
        <v>1356</v>
      </c>
      <c r="AA48" s="193" t="s">
        <v>1357</v>
      </c>
      <c r="AB48" s="175"/>
      <c r="AC48" s="175"/>
      <c r="AD48" s="175"/>
      <c r="AE48" s="183">
        <v>49</v>
      </c>
      <c r="AF48" s="177" t="s">
        <v>1255</v>
      </c>
      <c r="AG48" s="184" t="s">
        <v>1335</v>
      </c>
    </row>
    <row r="49" spans="1:33" ht="79.5" customHeight="1" x14ac:dyDescent="0.2">
      <c r="A49" s="225">
        <v>46</v>
      </c>
      <c r="B49" s="226" t="s">
        <v>1358</v>
      </c>
      <c r="C49" s="227" t="s">
        <v>1359</v>
      </c>
      <c r="D49" s="228" t="s">
        <v>1360</v>
      </c>
      <c r="E49" s="229">
        <v>1000</v>
      </c>
      <c r="F49" s="229">
        <v>4</v>
      </c>
      <c r="G49" s="230" t="s">
        <v>440</v>
      </c>
      <c r="H49" s="19" t="s">
        <v>88</v>
      </c>
      <c r="I49" s="180" t="s">
        <v>1361</v>
      </c>
      <c r="J49" s="117" t="s">
        <v>1362</v>
      </c>
      <c r="K49" s="109" t="s">
        <v>1085</v>
      </c>
      <c r="L49" s="117" t="s">
        <v>1166</v>
      </c>
      <c r="M49" s="117" t="s">
        <v>1166</v>
      </c>
      <c r="N49" s="117" t="s">
        <v>1106</v>
      </c>
      <c r="O49" s="109" t="s">
        <v>1107</v>
      </c>
      <c r="P49" s="228" t="s">
        <v>1363</v>
      </c>
      <c r="Q49" s="228" t="s">
        <v>1364</v>
      </c>
      <c r="R49" s="168" t="s">
        <v>1365</v>
      </c>
      <c r="S49" s="169" t="s">
        <v>1366</v>
      </c>
      <c r="T49" s="169" t="s">
        <v>1367</v>
      </c>
      <c r="U49" s="171"/>
      <c r="V49" s="231"/>
      <c r="W49" s="232" t="s">
        <v>1368</v>
      </c>
      <c r="X49" s="232"/>
      <c r="Y49" s="233" t="s">
        <v>1369</v>
      </c>
      <c r="Z49" s="118" t="s">
        <v>1370</v>
      </c>
      <c r="AA49" s="112" t="s">
        <v>1371</v>
      </c>
      <c r="AB49" s="175"/>
      <c r="AC49" s="175"/>
      <c r="AD49" s="175"/>
      <c r="AE49" s="183">
        <v>48</v>
      </c>
      <c r="AF49" s="177" t="s">
        <v>1171</v>
      </c>
      <c r="AG49" s="184" t="s">
        <v>1194</v>
      </c>
    </row>
    <row r="50" spans="1:33" ht="99.75" customHeight="1" x14ac:dyDescent="0.2">
      <c r="A50" s="225">
        <v>47</v>
      </c>
      <c r="B50" s="226" t="s">
        <v>1372</v>
      </c>
      <c r="C50" s="227" t="s">
        <v>1359</v>
      </c>
      <c r="D50" s="228" t="s">
        <v>1373</v>
      </c>
      <c r="E50" s="229">
        <v>100</v>
      </c>
      <c r="F50" s="229">
        <v>4</v>
      </c>
      <c r="G50" s="230" t="s">
        <v>440</v>
      </c>
      <c r="H50" s="19" t="s">
        <v>88</v>
      </c>
      <c r="I50" s="234" t="s">
        <v>1079</v>
      </c>
      <c r="J50" s="110" t="s">
        <v>444</v>
      </c>
      <c r="K50" s="120" t="s">
        <v>1148</v>
      </c>
      <c r="L50" s="117" t="s">
        <v>1166</v>
      </c>
      <c r="M50" s="117" t="s">
        <v>1166</v>
      </c>
      <c r="N50" s="117" t="s">
        <v>1106</v>
      </c>
      <c r="O50" s="109" t="s">
        <v>1107</v>
      </c>
      <c r="P50" s="228" t="s">
        <v>1086</v>
      </c>
      <c r="Q50" s="228" t="s">
        <v>1087</v>
      </c>
      <c r="R50" s="169" t="s">
        <v>1232</v>
      </c>
      <c r="S50" s="169" t="s">
        <v>1233</v>
      </c>
      <c r="T50" s="169" t="s">
        <v>1234</v>
      </c>
      <c r="U50" s="171"/>
      <c r="V50" s="231"/>
      <c r="W50" s="232" t="s">
        <v>1149</v>
      </c>
      <c r="X50" s="232"/>
      <c r="Y50" s="233" t="s">
        <v>1374</v>
      </c>
      <c r="Z50" s="195" t="s">
        <v>1375</v>
      </c>
      <c r="AA50" s="193" t="s">
        <v>1376</v>
      </c>
      <c r="AB50" s="175"/>
      <c r="AC50" s="175"/>
      <c r="AD50" s="175"/>
      <c r="AE50" s="183">
        <v>46</v>
      </c>
      <c r="AF50" s="177" t="s">
        <v>1171</v>
      </c>
      <c r="AG50" s="184" t="s">
        <v>1151</v>
      </c>
    </row>
    <row r="51" spans="1:33" ht="99.75" customHeight="1" x14ac:dyDescent="0.2">
      <c r="A51" s="225">
        <v>48</v>
      </c>
      <c r="B51" s="226" t="s">
        <v>1377</v>
      </c>
      <c r="C51" s="227" t="s">
        <v>1359</v>
      </c>
      <c r="D51" s="228" t="s">
        <v>1378</v>
      </c>
      <c r="E51" s="229">
        <v>100</v>
      </c>
      <c r="F51" s="229">
        <v>5</v>
      </c>
      <c r="G51" s="230" t="s">
        <v>440</v>
      </c>
      <c r="H51" s="19" t="s">
        <v>88</v>
      </c>
      <c r="I51" s="203" t="s">
        <v>1379</v>
      </c>
      <c r="J51" s="110" t="s">
        <v>444</v>
      </c>
      <c r="K51" s="120" t="s">
        <v>1148</v>
      </c>
      <c r="L51" s="117" t="s">
        <v>1166</v>
      </c>
      <c r="M51" s="117" t="s">
        <v>1166</v>
      </c>
      <c r="N51" s="117" t="s">
        <v>1106</v>
      </c>
      <c r="O51" s="109" t="s">
        <v>1107</v>
      </c>
      <c r="P51" s="228" t="s">
        <v>1086</v>
      </c>
      <c r="Q51" s="228" t="s">
        <v>1087</v>
      </c>
      <c r="R51" s="169" t="s">
        <v>1380</v>
      </c>
      <c r="S51" s="169" t="s">
        <v>88</v>
      </c>
      <c r="T51" s="169" t="s">
        <v>1381</v>
      </c>
      <c r="U51" s="171"/>
      <c r="V51" s="231"/>
      <c r="W51" s="232" t="s">
        <v>1149</v>
      </c>
      <c r="X51" s="232"/>
      <c r="Y51" s="233" t="s">
        <v>1382</v>
      </c>
      <c r="Z51" s="195" t="s">
        <v>1383</v>
      </c>
      <c r="AA51" s="193" t="s">
        <v>1384</v>
      </c>
      <c r="AB51" s="175"/>
      <c r="AC51" s="175"/>
      <c r="AD51" s="175"/>
      <c r="AE51" s="183">
        <v>56</v>
      </c>
      <c r="AF51" s="177" t="s">
        <v>1171</v>
      </c>
      <c r="AG51" s="184" t="s">
        <v>1385</v>
      </c>
    </row>
    <row r="52" spans="1:33" ht="99.75" customHeight="1" x14ac:dyDescent="0.2">
      <c r="A52" s="225">
        <v>49</v>
      </c>
      <c r="B52" s="226" t="s">
        <v>1386</v>
      </c>
      <c r="C52" s="227" t="s">
        <v>1359</v>
      </c>
      <c r="D52" s="228" t="s">
        <v>1104</v>
      </c>
      <c r="E52" s="229">
        <v>100</v>
      </c>
      <c r="F52" s="229">
        <v>4</v>
      </c>
      <c r="G52" s="230" t="s">
        <v>440</v>
      </c>
      <c r="H52" s="19" t="s">
        <v>88</v>
      </c>
      <c r="I52" s="203" t="s">
        <v>1387</v>
      </c>
      <c r="J52" s="117" t="s">
        <v>1215</v>
      </c>
      <c r="K52" s="109" t="s">
        <v>1085</v>
      </c>
      <c r="L52" s="117" t="s">
        <v>1166</v>
      </c>
      <c r="M52" s="117" t="s">
        <v>1166</v>
      </c>
      <c r="N52" s="117" t="s">
        <v>1106</v>
      </c>
      <c r="O52" s="109" t="s">
        <v>1107</v>
      </c>
      <c r="P52" s="228" t="s">
        <v>1086</v>
      </c>
      <c r="Q52" s="228" t="s">
        <v>1087</v>
      </c>
      <c r="R52" s="168" t="s">
        <v>1388</v>
      </c>
      <c r="S52" s="169" t="s">
        <v>88</v>
      </c>
      <c r="T52" s="169" t="s">
        <v>1381</v>
      </c>
      <c r="U52" s="171"/>
      <c r="V52" s="231"/>
      <c r="W52" s="232" t="s">
        <v>1149</v>
      </c>
      <c r="X52" s="232"/>
      <c r="Y52" s="233" t="s">
        <v>1389</v>
      </c>
      <c r="Z52" s="195" t="s">
        <v>1390</v>
      </c>
      <c r="AA52" s="193" t="s">
        <v>1391</v>
      </c>
      <c r="AB52" s="175"/>
      <c r="AC52" s="175"/>
      <c r="AD52" s="175"/>
      <c r="AE52" s="183">
        <v>51</v>
      </c>
      <c r="AF52" s="177" t="s">
        <v>1171</v>
      </c>
      <c r="AG52" s="184" t="s">
        <v>1221</v>
      </c>
    </row>
    <row r="53" spans="1:33" ht="99.75" customHeight="1" x14ac:dyDescent="0.2">
      <c r="A53" s="225">
        <v>50</v>
      </c>
      <c r="B53" s="226" t="s">
        <v>1392</v>
      </c>
      <c r="C53" s="227" t="s">
        <v>1359</v>
      </c>
      <c r="D53" s="228" t="s">
        <v>1393</v>
      </c>
      <c r="E53" s="229">
        <v>100</v>
      </c>
      <c r="F53" s="229">
        <v>3</v>
      </c>
      <c r="G53" s="230" t="s">
        <v>440</v>
      </c>
      <c r="H53" s="19" t="s">
        <v>88</v>
      </c>
      <c r="I53" s="234" t="s">
        <v>1079</v>
      </c>
      <c r="J53" s="110" t="s">
        <v>444</v>
      </c>
      <c r="K53" s="120" t="s">
        <v>1148</v>
      </c>
      <c r="L53" s="117" t="s">
        <v>1166</v>
      </c>
      <c r="M53" s="117" t="s">
        <v>1166</v>
      </c>
      <c r="N53" s="117" t="s">
        <v>1106</v>
      </c>
      <c r="O53" s="109" t="s">
        <v>1107</v>
      </c>
      <c r="P53" s="228" t="s">
        <v>1086</v>
      </c>
      <c r="Q53" s="228" t="s">
        <v>1087</v>
      </c>
      <c r="R53" s="169" t="s">
        <v>1232</v>
      </c>
      <c r="S53" s="169" t="s">
        <v>1233</v>
      </c>
      <c r="T53" s="169" t="s">
        <v>1234</v>
      </c>
      <c r="U53" s="171"/>
      <c r="V53" s="231"/>
      <c r="W53" s="232" t="s">
        <v>1149</v>
      </c>
      <c r="X53" s="232"/>
      <c r="Y53" s="233" t="s">
        <v>1394</v>
      </c>
      <c r="Z53" s="195" t="s">
        <v>1395</v>
      </c>
      <c r="AA53" s="193" t="s">
        <v>1396</v>
      </c>
      <c r="AB53" s="175"/>
      <c r="AC53" s="175"/>
      <c r="AD53" s="175"/>
      <c r="AE53" s="183">
        <v>46</v>
      </c>
      <c r="AF53" s="177" t="s">
        <v>1171</v>
      </c>
      <c r="AG53" s="184" t="s">
        <v>1151</v>
      </c>
    </row>
    <row r="54" spans="1:33" ht="99.75" customHeight="1" x14ac:dyDescent="0.2">
      <c r="A54" s="225">
        <v>51</v>
      </c>
      <c r="B54" s="226" t="s">
        <v>1397</v>
      </c>
      <c r="C54" s="227" t="s">
        <v>1359</v>
      </c>
      <c r="D54" s="228" t="s">
        <v>1398</v>
      </c>
      <c r="E54" s="229">
        <v>100</v>
      </c>
      <c r="F54" s="229">
        <v>5</v>
      </c>
      <c r="G54" s="230" t="s">
        <v>440</v>
      </c>
      <c r="H54" s="19" t="s">
        <v>88</v>
      </c>
      <c r="I54" s="234" t="s">
        <v>1079</v>
      </c>
      <c r="J54" s="110" t="s">
        <v>444</v>
      </c>
      <c r="K54" s="120" t="s">
        <v>1148</v>
      </c>
      <c r="L54" s="117" t="s">
        <v>1166</v>
      </c>
      <c r="M54" s="117" t="s">
        <v>1166</v>
      </c>
      <c r="N54" s="117" t="s">
        <v>1106</v>
      </c>
      <c r="O54" s="109" t="s">
        <v>1107</v>
      </c>
      <c r="P54" s="228" t="s">
        <v>1086</v>
      </c>
      <c r="Q54" s="228" t="s">
        <v>1087</v>
      </c>
      <c r="R54" s="169" t="s">
        <v>1232</v>
      </c>
      <c r="S54" s="169" t="s">
        <v>1233</v>
      </c>
      <c r="T54" s="169" t="s">
        <v>1234</v>
      </c>
      <c r="U54" s="171"/>
      <c r="V54" s="231"/>
      <c r="W54" s="232" t="s">
        <v>1149</v>
      </c>
      <c r="X54" s="232"/>
      <c r="Y54" s="233" t="s">
        <v>1399</v>
      </c>
      <c r="Z54" s="195" t="s">
        <v>1400</v>
      </c>
      <c r="AA54" s="193" t="s">
        <v>1401</v>
      </c>
      <c r="AB54" s="175"/>
      <c r="AC54" s="175"/>
      <c r="AD54" s="175"/>
      <c r="AE54" s="183">
        <v>66</v>
      </c>
      <c r="AF54" s="177" t="s">
        <v>1171</v>
      </c>
      <c r="AG54" s="184" t="s">
        <v>1187</v>
      </c>
    </row>
    <row r="55" spans="1:33" ht="99.75" customHeight="1" x14ac:dyDescent="0.2">
      <c r="A55" s="225">
        <v>52</v>
      </c>
      <c r="B55" s="226" t="s">
        <v>1402</v>
      </c>
      <c r="C55" s="227" t="s">
        <v>1359</v>
      </c>
      <c r="D55" s="228" t="s">
        <v>1310</v>
      </c>
      <c r="E55" s="229">
        <v>100</v>
      </c>
      <c r="F55" s="229">
        <v>4</v>
      </c>
      <c r="G55" s="230" t="s">
        <v>440</v>
      </c>
      <c r="H55" s="19" t="s">
        <v>88</v>
      </c>
      <c r="I55" s="234" t="s">
        <v>1079</v>
      </c>
      <c r="J55" s="110" t="s">
        <v>444</v>
      </c>
      <c r="K55" s="120" t="s">
        <v>1148</v>
      </c>
      <c r="L55" s="117" t="s">
        <v>1166</v>
      </c>
      <c r="M55" s="117" t="s">
        <v>1166</v>
      </c>
      <c r="N55" s="117" t="s">
        <v>1106</v>
      </c>
      <c r="O55" s="109" t="s">
        <v>1107</v>
      </c>
      <c r="P55" s="228" t="s">
        <v>1086</v>
      </c>
      <c r="Q55" s="228" t="s">
        <v>1087</v>
      </c>
      <c r="R55" s="169" t="s">
        <v>1232</v>
      </c>
      <c r="S55" s="169" t="s">
        <v>1233</v>
      </c>
      <c r="T55" s="169" t="s">
        <v>1234</v>
      </c>
      <c r="U55" s="171"/>
      <c r="V55" s="231"/>
      <c r="W55" s="232" t="s">
        <v>1149</v>
      </c>
      <c r="X55" s="232"/>
      <c r="Y55" s="233" t="s">
        <v>1403</v>
      </c>
      <c r="Z55" s="195" t="s">
        <v>1404</v>
      </c>
      <c r="AA55" s="193" t="s">
        <v>1405</v>
      </c>
      <c r="AB55" s="175"/>
      <c r="AC55" s="175"/>
      <c r="AD55" s="175"/>
      <c r="AE55" s="183">
        <v>46</v>
      </c>
      <c r="AF55" s="177" t="s">
        <v>1171</v>
      </c>
      <c r="AG55" s="184" t="s">
        <v>1151</v>
      </c>
    </row>
    <row r="56" spans="1:33" ht="99.75" customHeight="1" x14ac:dyDescent="0.2">
      <c r="A56" s="225">
        <v>53</v>
      </c>
      <c r="B56" s="226" t="s">
        <v>1406</v>
      </c>
      <c r="C56" s="227" t="s">
        <v>1359</v>
      </c>
      <c r="D56" s="228" t="s">
        <v>1407</v>
      </c>
      <c r="E56" s="229">
        <v>150</v>
      </c>
      <c r="F56" s="229">
        <v>3</v>
      </c>
      <c r="G56" s="230" t="s">
        <v>440</v>
      </c>
      <c r="H56" s="19" t="s">
        <v>88</v>
      </c>
      <c r="I56" s="234" t="s">
        <v>1079</v>
      </c>
      <c r="J56" s="110" t="s">
        <v>444</v>
      </c>
      <c r="K56" s="120" t="s">
        <v>1148</v>
      </c>
      <c r="L56" s="117" t="s">
        <v>1166</v>
      </c>
      <c r="M56" s="117" t="s">
        <v>1166</v>
      </c>
      <c r="N56" s="117" t="s">
        <v>1106</v>
      </c>
      <c r="O56" s="109" t="s">
        <v>1107</v>
      </c>
      <c r="P56" s="228" t="s">
        <v>1086</v>
      </c>
      <c r="Q56" s="228" t="s">
        <v>1087</v>
      </c>
      <c r="R56" s="169" t="s">
        <v>1232</v>
      </c>
      <c r="S56" s="169" t="s">
        <v>1233</v>
      </c>
      <c r="T56" s="169" t="s">
        <v>1234</v>
      </c>
      <c r="U56" s="171"/>
      <c r="V56" s="231"/>
      <c r="W56" s="232" t="s">
        <v>1149</v>
      </c>
      <c r="X56" s="232"/>
      <c r="Y56" s="233" t="s">
        <v>1408</v>
      </c>
      <c r="Z56" s="195" t="s">
        <v>1409</v>
      </c>
      <c r="AA56" s="193" t="s">
        <v>1410</v>
      </c>
      <c r="AB56" s="175"/>
      <c r="AC56" s="175"/>
      <c r="AD56" s="175"/>
      <c r="AE56" s="183">
        <v>46</v>
      </c>
      <c r="AF56" s="177" t="s">
        <v>1171</v>
      </c>
      <c r="AG56" s="184" t="s">
        <v>1151</v>
      </c>
    </row>
    <row r="57" spans="1:33" ht="99.75" customHeight="1" x14ac:dyDescent="0.2">
      <c r="A57" s="225">
        <v>54</v>
      </c>
      <c r="B57" s="226" t="s">
        <v>1411</v>
      </c>
      <c r="C57" s="227" t="s">
        <v>1359</v>
      </c>
      <c r="D57" s="228" t="s">
        <v>1412</v>
      </c>
      <c r="E57" s="229">
        <v>100</v>
      </c>
      <c r="F57" s="229">
        <v>5</v>
      </c>
      <c r="G57" s="230" t="s">
        <v>440</v>
      </c>
      <c r="H57" s="19" t="s">
        <v>88</v>
      </c>
      <c r="I57" s="234" t="s">
        <v>1079</v>
      </c>
      <c r="J57" s="110" t="s">
        <v>444</v>
      </c>
      <c r="K57" s="120" t="s">
        <v>1148</v>
      </c>
      <c r="L57" s="117" t="s">
        <v>1166</v>
      </c>
      <c r="M57" s="117" t="s">
        <v>1166</v>
      </c>
      <c r="N57" s="117" t="s">
        <v>1106</v>
      </c>
      <c r="O57" s="109" t="s">
        <v>1107</v>
      </c>
      <c r="P57" s="228" t="s">
        <v>1086</v>
      </c>
      <c r="Q57" s="228" t="s">
        <v>1087</v>
      </c>
      <c r="R57" s="169" t="s">
        <v>1232</v>
      </c>
      <c r="S57" s="169" t="s">
        <v>1233</v>
      </c>
      <c r="T57" s="169" t="s">
        <v>1234</v>
      </c>
      <c r="U57" s="171"/>
      <c r="V57" s="231"/>
      <c r="W57" s="232" t="s">
        <v>1149</v>
      </c>
      <c r="X57" s="232"/>
      <c r="Y57" s="233" t="s">
        <v>1413</v>
      </c>
      <c r="Z57" s="195" t="s">
        <v>1414</v>
      </c>
      <c r="AA57" s="193" t="s">
        <v>1415</v>
      </c>
      <c r="AB57" s="175"/>
      <c r="AC57" s="175"/>
      <c r="AD57" s="175"/>
      <c r="AE57" s="183">
        <v>56</v>
      </c>
      <c r="AF57" s="177" t="s">
        <v>1171</v>
      </c>
      <c r="AG57" s="184" t="s">
        <v>1385</v>
      </c>
    </row>
    <row r="58" spans="1:33" ht="99.75" customHeight="1" x14ac:dyDescent="0.2">
      <c r="A58" s="225">
        <v>55</v>
      </c>
      <c r="B58" s="226" t="s">
        <v>1416</v>
      </c>
      <c r="C58" s="227" t="s">
        <v>1359</v>
      </c>
      <c r="D58" s="228" t="s">
        <v>1316</v>
      </c>
      <c r="E58" s="229">
        <v>100</v>
      </c>
      <c r="F58" s="229">
        <v>3</v>
      </c>
      <c r="G58" s="230" t="s">
        <v>440</v>
      </c>
      <c r="H58" s="19" t="s">
        <v>88</v>
      </c>
      <c r="I58" s="234" t="s">
        <v>1079</v>
      </c>
      <c r="J58" s="110" t="s">
        <v>444</v>
      </c>
      <c r="K58" s="120" t="s">
        <v>1148</v>
      </c>
      <c r="L58" s="117" t="s">
        <v>1166</v>
      </c>
      <c r="M58" s="117" t="s">
        <v>1166</v>
      </c>
      <c r="N58" s="117" t="s">
        <v>1106</v>
      </c>
      <c r="O58" s="109" t="s">
        <v>1107</v>
      </c>
      <c r="P58" s="228" t="s">
        <v>1086</v>
      </c>
      <c r="Q58" s="228" t="s">
        <v>1087</v>
      </c>
      <c r="R58" s="169" t="s">
        <v>1232</v>
      </c>
      <c r="S58" s="169" t="s">
        <v>1233</v>
      </c>
      <c r="T58" s="169" t="s">
        <v>1234</v>
      </c>
      <c r="U58" s="171"/>
      <c r="V58" s="231"/>
      <c r="W58" s="232" t="s">
        <v>1149</v>
      </c>
      <c r="X58" s="232"/>
      <c r="Y58" s="233" t="s">
        <v>1417</v>
      </c>
      <c r="Z58" s="195" t="s">
        <v>1418</v>
      </c>
      <c r="AA58" s="193" t="s">
        <v>1419</v>
      </c>
      <c r="AB58" s="175"/>
      <c r="AC58" s="175"/>
      <c r="AD58" s="175"/>
      <c r="AE58" s="183">
        <v>48</v>
      </c>
      <c r="AF58" s="177" t="s">
        <v>1171</v>
      </c>
      <c r="AG58" s="184" t="s">
        <v>1194</v>
      </c>
    </row>
    <row r="59" spans="1:33" ht="99.75" customHeight="1" x14ac:dyDescent="0.2">
      <c r="A59" s="235">
        <v>56</v>
      </c>
      <c r="B59" s="236" t="s">
        <v>1420</v>
      </c>
      <c r="C59" s="237" t="s">
        <v>120</v>
      </c>
      <c r="D59" s="238" t="s">
        <v>1132</v>
      </c>
      <c r="E59" s="239">
        <v>300</v>
      </c>
      <c r="F59" s="239">
        <v>5</v>
      </c>
      <c r="G59" s="240" t="s">
        <v>440</v>
      </c>
      <c r="H59" s="19" t="s">
        <v>88</v>
      </c>
      <c r="I59" s="203" t="s">
        <v>1421</v>
      </c>
      <c r="J59" s="110" t="s">
        <v>444</v>
      </c>
      <c r="K59" s="120" t="s">
        <v>1148</v>
      </c>
      <c r="L59" s="117" t="s">
        <v>1166</v>
      </c>
      <c r="M59" s="117" t="s">
        <v>1166</v>
      </c>
      <c r="N59" s="117" t="s">
        <v>1106</v>
      </c>
      <c r="O59" s="109" t="s">
        <v>1107</v>
      </c>
      <c r="P59" s="238" t="s">
        <v>1422</v>
      </c>
      <c r="Q59" s="238" t="s">
        <v>1423</v>
      </c>
      <c r="R59" s="169" t="s">
        <v>1424</v>
      </c>
      <c r="S59" s="169" t="s">
        <v>1425</v>
      </c>
      <c r="T59" s="169" t="s">
        <v>1426</v>
      </c>
      <c r="U59" s="171"/>
      <c r="V59" s="241"/>
      <c r="W59" s="242" t="s">
        <v>1427</v>
      </c>
      <c r="X59" s="242"/>
      <c r="Y59" s="243" t="s">
        <v>1428</v>
      </c>
      <c r="Z59" s="195" t="s">
        <v>1429</v>
      </c>
      <c r="AA59" s="193" t="s">
        <v>1430</v>
      </c>
      <c r="AB59" s="175"/>
      <c r="AC59" s="175"/>
      <c r="AD59" s="175"/>
      <c r="AE59" s="183">
        <v>61</v>
      </c>
      <c r="AF59" s="177" t="s">
        <v>1171</v>
      </c>
      <c r="AG59" s="184" t="s">
        <v>1309</v>
      </c>
    </row>
    <row r="60" spans="1:33" ht="99.75" customHeight="1" x14ac:dyDescent="0.2">
      <c r="A60" s="235">
        <v>57</v>
      </c>
      <c r="B60" s="236" t="s">
        <v>1431</v>
      </c>
      <c r="C60" s="237" t="s">
        <v>120</v>
      </c>
      <c r="D60" s="238" t="s">
        <v>1432</v>
      </c>
      <c r="E60" s="239">
        <v>300</v>
      </c>
      <c r="F60" s="239">
        <v>4</v>
      </c>
      <c r="G60" s="240" t="s">
        <v>440</v>
      </c>
      <c r="H60" s="19" t="s">
        <v>88</v>
      </c>
      <c r="I60" s="182" t="s">
        <v>1433</v>
      </c>
      <c r="J60" s="110" t="s">
        <v>444</v>
      </c>
      <c r="K60" s="120" t="s">
        <v>1148</v>
      </c>
      <c r="L60" s="117" t="s">
        <v>1166</v>
      </c>
      <c r="M60" s="117" t="s">
        <v>1166</v>
      </c>
      <c r="N60" s="117" t="s">
        <v>1106</v>
      </c>
      <c r="O60" s="109" t="s">
        <v>1107</v>
      </c>
      <c r="P60" s="238" t="s">
        <v>1086</v>
      </c>
      <c r="Q60" s="238" t="s">
        <v>1087</v>
      </c>
      <c r="R60" s="169" t="s">
        <v>1434</v>
      </c>
      <c r="S60" s="244" t="s">
        <v>1435</v>
      </c>
      <c r="T60" s="169" t="s">
        <v>1381</v>
      </c>
      <c r="U60" s="171"/>
      <c r="V60" s="241"/>
      <c r="W60" s="242" t="s">
        <v>1149</v>
      </c>
      <c r="X60" s="242"/>
      <c r="Y60" s="243" t="s">
        <v>1436</v>
      </c>
      <c r="Z60" s="192" t="s">
        <v>1437</v>
      </c>
      <c r="AA60" s="193" t="s">
        <v>1438</v>
      </c>
      <c r="AB60" s="175"/>
      <c r="AC60" s="175"/>
      <c r="AD60" s="175"/>
      <c r="AE60" s="183">
        <v>46</v>
      </c>
      <c r="AF60" s="177" t="s">
        <v>1171</v>
      </c>
      <c r="AG60" s="184" t="s">
        <v>1151</v>
      </c>
    </row>
    <row r="61" spans="1:33" ht="99.75" customHeight="1" x14ac:dyDescent="0.2">
      <c r="A61" s="235">
        <v>58</v>
      </c>
      <c r="B61" s="236" t="s">
        <v>1439</v>
      </c>
      <c r="C61" s="237" t="s">
        <v>120</v>
      </c>
      <c r="D61" s="238" t="s">
        <v>1136</v>
      </c>
      <c r="E61" s="239">
        <v>150</v>
      </c>
      <c r="F61" s="239">
        <v>4</v>
      </c>
      <c r="G61" s="240" t="s">
        <v>440</v>
      </c>
      <c r="H61" s="19" t="s">
        <v>88</v>
      </c>
      <c r="I61" s="203" t="s">
        <v>1440</v>
      </c>
      <c r="J61" s="110" t="s">
        <v>444</v>
      </c>
      <c r="K61" s="120" t="s">
        <v>1148</v>
      </c>
      <c r="L61" s="117" t="s">
        <v>1166</v>
      </c>
      <c r="M61" s="117" t="s">
        <v>1166</v>
      </c>
      <c r="N61" s="117" t="s">
        <v>1106</v>
      </c>
      <c r="O61" s="109" t="s">
        <v>1107</v>
      </c>
      <c r="P61" s="238" t="s">
        <v>1086</v>
      </c>
      <c r="Q61" s="238" t="s">
        <v>1087</v>
      </c>
      <c r="R61" s="169" t="s">
        <v>1441</v>
      </c>
      <c r="S61" s="169" t="s">
        <v>88</v>
      </c>
      <c r="T61" s="169" t="s">
        <v>1381</v>
      </c>
      <c r="U61" s="171"/>
      <c r="V61" s="241"/>
      <c r="W61" s="242" t="s">
        <v>1149</v>
      </c>
      <c r="X61" s="242"/>
      <c r="Y61" s="243" t="s">
        <v>1442</v>
      </c>
      <c r="Z61" s="195" t="s">
        <v>1443</v>
      </c>
      <c r="AA61" s="193" t="s">
        <v>1444</v>
      </c>
      <c r="AB61" s="175"/>
      <c r="AC61" s="175"/>
      <c r="AD61" s="175"/>
      <c r="AE61" s="176">
        <v>44</v>
      </c>
      <c r="AF61" s="177" t="s">
        <v>1171</v>
      </c>
      <c r="AG61" s="184" t="s">
        <v>1445</v>
      </c>
    </row>
    <row r="62" spans="1:33" ht="99.75" customHeight="1" x14ac:dyDescent="0.2">
      <c r="A62" s="235">
        <v>59</v>
      </c>
      <c r="B62" s="236" t="s">
        <v>1446</v>
      </c>
      <c r="C62" s="237" t="s">
        <v>120</v>
      </c>
      <c r="D62" s="238" t="s">
        <v>1111</v>
      </c>
      <c r="E62" s="239">
        <v>150</v>
      </c>
      <c r="F62" s="239">
        <v>3</v>
      </c>
      <c r="G62" s="240" t="s">
        <v>440</v>
      </c>
      <c r="H62" s="19" t="s">
        <v>88</v>
      </c>
      <c r="I62" s="245" t="s">
        <v>1079</v>
      </c>
      <c r="J62" s="108" t="s">
        <v>1447</v>
      </c>
      <c r="K62" s="109" t="s">
        <v>1085</v>
      </c>
      <c r="L62" s="117" t="s">
        <v>1166</v>
      </c>
      <c r="M62" s="117" t="s">
        <v>1166</v>
      </c>
      <c r="N62" s="117" t="s">
        <v>1106</v>
      </c>
      <c r="O62" s="109" t="s">
        <v>1107</v>
      </c>
      <c r="P62" s="238" t="s">
        <v>1086</v>
      </c>
      <c r="Q62" s="238" t="s">
        <v>1087</v>
      </c>
      <c r="R62" s="169" t="s">
        <v>1448</v>
      </c>
      <c r="S62" s="169" t="s">
        <v>88</v>
      </c>
      <c r="T62" s="169" t="s">
        <v>1381</v>
      </c>
      <c r="U62" s="171"/>
      <c r="V62" s="241"/>
      <c r="W62" s="242" t="s">
        <v>1149</v>
      </c>
      <c r="X62" s="242"/>
      <c r="Y62" s="243" t="s">
        <v>1449</v>
      </c>
      <c r="Z62" s="192" t="s">
        <v>1450</v>
      </c>
      <c r="AA62" s="193" t="s">
        <v>1451</v>
      </c>
      <c r="AB62" s="175"/>
      <c r="AC62" s="175"/>
      <c r="AD62" s="175"/>
      <c r="AE62" s="183">
        <v>46</v>
      </c>
      <c r="AF62" s="177" t="s">
        <v>1171</v>
      </c>
      <c r="AG62" s="184" t="s">
        <v>1151</v>
      </c>
    </row>
    <row r="63" spans="1:33" ht="99.75" customHeight="1" x14ac:dyDescent="0.2">
      <c r="A63" s="235">
        <v>60</v>
      </c>
      <c r="B63" s="236" t="s">
        <v>1452</v>
      </c>
      <c r="C63" s="237" t="s">
        <v>120</v>
      </c>
      <c r="D63" s="238" t="s">
        <v>1144</v>
      </c>
      <c r="E63" s="239">
        <v>100</v>
      </c>
      <c r="F63" s="239">
        <v>3</v>
      </c>
      <c r="G63" s="240" t="s">
        <v>440</v>
      </c>
      <c r="H63" s="19" t="s">
        <v>88</v>
      </c>
      <c r="I63" s="245" t="s">
        <v>1079</v>
      </c>
      <c r="J63" s="110" t="s">
        <v>444</v>
      </c>
      <c r="K63" s="120" t="s">
        <v>1148</v>
      </c>
      <c r="L63" s="117" t="s">
        <v>1166</v>
      </c>
      <c r="M63" s="117" t="s">
        <v>1166</v>
      </c>
      <c r="N63" s="117" t="s">
        <v>1106</v>
      </c>
      <c r="O63" s="109" t="s">
        <v>1107</v>
      </c>
      <c r="P63" s="238" t="s">
        <v>1086</v>
      </c>
      <c r="Q63" s="238" t="s">
        <v>1087</v>
      </c>
      <c r="R63" s="169" t="s">
        <v>1453</v>
      </c>
      <c r="S63" s="169" t="s">
        <v>88</v>
      </c>
      <c r="T63" s="169" t="s">
        <v>1381</v>
      </c>
      <c r="U63" s="171"/>
      <c r="V63" s="241"/>
      <c r="W63" s="242" t="s">
        <v>1149</v>
      </c>
      <c r="X63" s="242"/>
      <c r="Y63" s="243" t="s">
        <v>1454</v>
      </c>
      <c r="Z63" s="195" t="s">
        <v>1455</v>
      </c>
      <c r="AA63" s="193" t="s">
        <v>1456</v>
      </c>
      <c r="AB63" s="175"/>
      <c r="AC63" s="175"/>
      <c r="AD63" s="175"/>
      <c r="AE63" s="183">
        <v>46</v>
      </c>
      <c r="AF63" s="177" t="s">
        <v>1171</v>
      </c>
      <c r="AG63" s="184" t="s">
        <v>1151</v>
      </c>
    </row>
    <row r="64" spans="1:33" ht="99.75" customHeight="1" x14ac:dyDescent="0.2">
      <c r="A64" s="235">
        <v>61</v>
      </c>
      <c r="B64" s="236" t="s">
        <v>1457</v>
      </c>
      <c r="C64" s="237" t="s">
        <v>120</v>
      </c>
      <c r="D64" s="238" t="s">
        <v>1196</v>
      </c>
      <c r="E64" s="239">
        <v>100</v>
      </c>
      <c r="F64" s="239">
        <v>3</v>
      </c>
      <c r="G64" s="240" t="s">
        <v>440</v>
      </c>
      <c r="H64" s="19" t="s">
        <v>88</v>
      </c>
      <c r="I64" s="245" t="s">
        <v>1079</v>
      </c>
      <c r="J64" s="110" t="s">
        <v>444</v>
      </c>
      <c r="K64" s="120" t="s">
        <v>1148</v>
      </c>
      <c r="L64" s="117" t="s">
        <v>1166</v>
      </c>
      <c r="M64" s="117" t="s">
        <v>1166</v>
      </c>
      <c r="N64" s="117" t="s">
        <v>1106</v>
      </c>
      <c r="O64" s="109" t="s">
        <v>1107</v>
      </c>
      <c r="P64" s="238" t="s">
        <v>1086</v>
      </c>
      <c r="Q64" s="238" t="s">
        <v>1087</v>
      </c>
      <c r="R64" s="169" t="s">
        <v>1232</v>
      </c>
      <c r="S64" s="169" t="s">
        <v>1233</v>
      </c>
      <c r="T64" s="169" t="s">
        <v>1234</v>
      </c>
      <c r="U64" s="171"/>
      <c r="V64" s="241"/>
      <c r="W64" s="242" t="s">
        <v>1149</v>
      </c>
      <c r="X64" s="242"/>
      <c r="Y64" s="243" t="s">
        <v>1458</v>
      </c>
      <c r="Z64" s="195" t="s">
        <v>1459</v>
      </c>
      <c r="AA64" s="193" t="s">
        <v>1460</v>
      </c>
      <c r="AB64" s="175"/>
      <c r="AC64" s="175"/>
      <c r="AD64" s="175"/>
      <c r="AE64" s="176">
        <v>44</v>
      </c>
      <c r="AF64" s="177" t="s">
        <v>1171</v>
      </c>
      <c r="AG64" s="184" t="s">
        <v>1445</v>
      </c>
    </row>
    <row r="65" spans="1:33" ht="99.75" customHeight="1" x14ac:dyDescent="0.2">
      <c r="A65" s="235">
        <v>62</v>
      </c>
      <c r="B65" s="236" t="s">
        <v>1461</v>
      </c>
      <c r="C65" s="237" t="s">
        <v>120</v>
      </c>
      <c r="D65" s="238" t="s">
        <v>1348</v>
      </c>
      <c r="E65" s="239">
        <v>100</v>
      </c>
      <c r="F65" s="239">
        <v>3</v>
      </c>
      <c r="G65" s="240" t="s">
        <v>440</v>
      </c>
      <c r="H65" s="19" t="s">
        <v>88</v>
      </c>
      <c r="I65" s="246" t="s">
        <v>1099</v>
      </c>
      <c r="J65" s="110" t="s">
        <v>444</v>
      </c>
      <c r="K65" s="120" t="s">
        <v>1148</v>
      </c>
      <c r="L65" s="117" t="s">
        <v>1166</v>
      </c>
      <c r="M65" s="117" t="s">
        <v>1166</v>
      </c>
      <c r="N65" s="117" t="s">
        <v>1106</v>
      </c>
      <c r="O65" s="109" t="s">
        <v>1107</v>
      </c>
      <c r="P65" s="238" t="s">
        <v>1086</v>
      </c>
      <c r="Q65" s="238" t="s">
        <v>1087</v>
      </c>
      <c r="R65" s="169" t="s">
        <v>1232</v>
      </c>
      <c r="S65" s="169" t="s">
        <v>1233</v>
      </c>
      <c r="T65" s="169" t="s">
        <v>1234</v>
      </c>
      <c r="U65" s="171"/>
      <c r="V65" s="241"/>
      <c r="W65" s="242" t="s">
        <v>1149</v>
      </c>
      <c r="X65" s="242"/>
      <c r="Y65" s="243" t="s">
        <v>1462</v>
      </c>
      <c r="Z65" s="195" t="s">
        <v>1463</v>
      </c>
      <c r="AA65" s="193" t="s">
        <v>1464</v>
      </c>
      <c r="AB65" s="175"/>
      <c r="AC65" s="175"/>
      <c r="AD65" s="175"/>
      <c r="AE65" s="176">
        <v>44</v>
      </c>
      <c r="AF65" s="177" t="s">
        <v>1171</v>
      </c>
      <c r="AG65" s="184" t="s">
        <v>1445</v>
      </c>
    </row>
    <row r="66" spans="1:33" ht="99.75" customHeight="1" x14ac:dyDescent="0.2">
      <c r="A66" s="235">
        <v>63</v>
      </c>
      <c r="B66" s="236" t="s">
        <v>1465</v>
      </c>
      <c r="C66" s="237" t="s">
        <v>120</v>
      </c>
      <c r="D66" s="238" t="s">
        <v>1128</v>
      </c>
      <c r="E66" s="239">
        <v>100</v>
      </c>
      <c r="F66" s="239">
        <v>3</v>
      </c>
      <c r="G66" s="240" t="s">
        <v>440</v>
      </c>
      <c r="H66" s="19" t="s">
        <v>88</v>
      </c>
      <c r="I66" s="245" t="s">
        <v>1079</v>
      </c>
      <c r="J66" s="110" t="s">
        <v>444</v>
      </c>
      <c r="K66" s="120" t="s">
        <v>1148</v>
      </c>
      <c r="L66" s="117" t="s">
        <v>1166</v>
      </c>
      <c r="M66" s="117" t="s">
        <v>1166</v>
      </c>
      <c r="N66" s="117" t="s">
        <v>1106</v>
      </c>
      <c r="O66" s="109" t="s">
        <v>1107</v>
      </c>
      <c r="P66" s="238" t="s">
        <v>1086</v>
      </c>
      <c r="Q66" s="238" t="s">
        <v>1087</v>
      </c>
      <c r="R66" s="169" t="s">
        <v>1466</v>
      </c>
      <c r="S66" s="169" t="s">
        <v>88</v>
      </c>
      <c r="T66" s="169" t="s">
        <v>1381</v>
      </c>
      <c r="U66" s="171"/>
      <c r="V66" s="241"/>
      <c r="W66" s="242" t="s">
        <v>1149</v>
      </c>
      <c r="X66" s="242"/>
      <c r="Y66" s="243" t="s">
        <v>1467</v>
      </c>
      <c r="Z66" s="195" t="s">
        <v>1468</v>
      </c>
      <c r="AA66" s="193" t="s">
        <v>1469</v>
      </c>
      <c r="AB66" s="175"/>
      <c r="AC66" s="175"/>
      <c r="AD66" s="175"/>
      <c r="AE66" s="176">
        <v>44</v>
      </c>
      <c r="AF66" s="177" t="s">
        <v>1171</v>
      </c>
      <c r="AG66" s="184" t="s">
        <v>1445</v>
      </c>
    </row>
    <row r="67" spans="1:33" ht="120" customHeight="1" x14ac:dyDescent="0.2">
      <c r="A67" s="247">
        <v>64</v>
      </c>
      <c r="B67" s="248" t="s">
        <v>1470</v>
      </c>
      <c r="C67" s="249" t="s">
        <v>109</v>
      </c>
      <c r="D67" s="250" t="s">
        <v>1115</v>
      </c>
      <c r="E67" s="251">
        <v>200</v>
      </c>
      <c r="F67" s="251">
        <v>3</v>
      </c>
      <c r="G67" s="252" t="s">
        <v>440</v>
      </c>
      <c r="H67" s="19" t="s">
        <v>88</v>
      </c>
      <c r="I67" s="182" t="s">
        <v>1471</v>
      </c>
      <c r="J67" s="117" t="s">
        <v>1215</v>
      </c>
      <c r="K67" s="109" t="s">
        <v>1085</v>
      </c>
      <c r="L67" s="117" t="s">
        <v>1166</v>
      </c>
      <c r="M67" s="117" t="s">
        <v>1166</v>
      </c>
      <c r="N67" s="117" t="s">
        <v>1106</v>
      </c>
      <c r="O67" s="109" t="s">
        <v>1107</v>
      </c>
      <c r="P67" s="250" t="s">
        <v>1472</v>
      </c>
      <c r="Q67" s="250" t="s">
        <v>1473</v>
      </c>
      <c r="R67" s="168" t="s">
        <v>1474</v>
      </c>
      <c r="S67" s="244" t="s">
        <v>1475</v>
      </c>
      <c r="T67" s="169" t="s">
        <v>1476</v>
      </c>
      <c r="U67" s="171"/>
      <c r="V67" s="253"/>
      <c r="W67" s="254" t="s">
        <v>1477</v>
      </c>
      <c r="X67" s="254"/>
      <c r="Y67" s="255" t="s">
        <v>1478</v>
      </c>
      <c r="Z67" s="192" t="s">
        <v>1479</v>
      </c>
      <c r="AA67" s="193" t="s">
        <v>1480</v>
      </c>
      <c r="AB67" s="175"/>
      <c r="AC67" s="175"/>
      <c r="AD67" s="175"/>
      <c r="AE67" s="183">
        <v>49</v>
      </c>
      <c r="AF67" s="177" t="s">
        <v>1255</v>
      </c>
      <c r="AG67" s="184" t="s">
        <v>1335</v>
      </c>
    </row>
    <row r="68" spans="1:33" ht="109.5" customHeight="1" x14ac:dyDescent="0.2">
      <c r="A68" s="247">
        <v>65</v>
      </c>
      <c r="B68" s="248" t="s">
        <v>1481</v>
      </c>
      <c r="C68" s="249" t="s">
        <v>109</v>
      </c>
      <c r="D68" s="250" t="s">
        <v>1482</v>
      </c>
      <c r="E68" s="251">
        <v>150</v>
      </c>
      <c r="F68" s="251">
        <v>4</v>
      </c>
      <c r="G68" s="252" t="s">
        <v>440</v>
      </c>
      <c r="H68" s="19" t="s">
        <v>88</v>
      </c>
      <c r="I68" s="203" t="s">
        <v>1483</v>
      </c>
      <c r="J68" s="110" t="s">
        <v>444</v>
      </c>
      <c r="K68" s="120" t="s">
        <v>1148</v>
      </c>
      <c r="L68" s="117" t="s">
        <v>1166</v>
      </c>
      <c r="M68" s="117" t="s">
        <v>1166</v>
      </c>
      <c r="N68" s="117" t="s">
        <v>1106</v>
      </c>
      <c r="O68" s="109" t="s">
        <v>1107</v>
      </c>
      <c r="P68" s="250" t="s">
        <v>1086</v>
      </c>
      <c r="Q68" s="250" t="s">
        <v>1087</v>
      </c>
      <c r="R68" s="169" t="s">
        <v>1484</v>
      </c>
      <c r="S68" s="169" t="s">
        <v>88</v>
      </c>
      <c r="T68" s="169" t="s">
        <v>1381</v>
      </c>
      <c r="U68" s="171"/>
      <c r="V68" s="253"/>
      <c r="W68" s="254" t="s">
        <v>1149</v>
      </c>
      <c r="X68" s="254"/>
      <c r="Y68" s="255" t="s">
        <v>1485</v>
      </c>
      <c r="Z68" s="195" t="s">
        <v>1486</v>
      </c>
      <c r="AA68" s="193" t="s">
        <v>1487</v>
      </c>
      <c r="AB68" s="175"/>
      <c r="AC68" s="175"/>
      <c r="AD68" s="175"/>
      <c r="AE68" s="176">
        <v>44</v>
      </c>
      <c r="AF68" s="177" t="s">
        <v>1255</v>
      </c>
      <c r="AG68" s="184" t="s">
        <v>1488</v>
      </c>
    </row>
    <row r="69" spans="1:33" ht="120" customHeight="1" x14ac:dyDescent="0.2">
      <c r="A69" s="247">
        <v>66</v>
      </c>
      <c r="B69" s="248" t="s">
        <v>1489</v>
      </c>
      <c r="C69" s="249" t="s">
        <v>109</v>
      </c>
      <c r="D69" s="250" t="s">
        <v>1490</v>
      </c>
      <c r="E69" s="251">
        <v>100</v>
      </c>
      <c r="F69" s="251">
        <v>4</v>
      </c>
      <c r="G69" s="252" t="s">
        <v>440</v>
      </c>
      <c r="H69" s="19" t="s">
        <v>88</v>
      </c>
      <c r="I69" s="182" t="s">
        <v>1491</v>
      </c>
      <c r="J69" s="110" t="s">
        <v>444</v>
      </c>
      <c r="K69" s="120" t="s">
        <v>1148</v>
      </c>
      <c r="L69" s="117" t="s">
        <v>1166</v>
      </c>
      <c r="M69" s="117" t="s">
        <v>1166</v>
      </c>
      <c r="N69" s="117" t="s">
        <v>1106</v>
      </c>
      <c r="O69" s="109" t="s">
        <v>1107</v>
      </c>
      <c r="P69" s="250" t="s">
        <v>1086</v>
      </c>
      <c r="Q69" s="250" t="s">
        <v>1087</v>
      </c>
      <c r="R69" s="169" t="s">
        <v>1492</v>
      </c>
      <c r="S69" s="169" t="s">
        <v>88</v>
      </c>
      <c r="T69" s="169" t="s">
        <v>1381</v>
      </c>
      <c r="U69" s="171"/>
      <c r="V69" s="253"/>
      <c r="W69" s="254" t="s">
        <v>1149</v>
      </c>
      <c r="X69" s="254"/>
      <c r="Y69" s="255" t="s">
        <v>1493</v>
      </c>
      <c r="Z69" s="195" t="s">
        <v>1494</v>
      </c>
      <c r="AA69" s="193" t="s">
        <v>1495</v>
      </c>
      <c r="AB69" s="175"/>
      <c r="AC69" s="175"/>
      <c r="AD69" s="175"/>
      <c r="AE69" s="176">
        <v>44</v>
      </c>
      <c r="AF69" s="177" t="s">
        <v>1255</v>
      </c>
      <c r="AG69" s="184" t="s">
        <v>1488</v>
      </c>
    </row>
    <row r="70" spans="1:33" ht="109.5" customHeight="1" x14ac:dyDescent="0.2">
      <c r="A70" s="247">
        <v>67</v>
      </c>
      <c r="B70" s="248" t="s">
        <v>1496</v>
      </c>
      <c r="C70" s="249" t="s">
        <v>109</v>
      </c>
      <c r="D70" s="250" t="s">
        <v>1497</v>
      </c>
      <c r="E70" s="251">
        <v>100</v>
      </c>
      <c r="F70" s="251">
        <v>2</v>
      </c>
      <c r="G70" s="252" t="s">
        <v>440</v>
      </c>
      <c r="H70" s="19" t="s">
        <v>88</v>
      </c>
      <c r="I70" s="182" t="s">
        <v>1498</v>
      </c>
      <c r="J70" s="110" t="s">
        <v>444</v>
      </c>
      <c r="K70" s="120" t="s">
        <v>1148</v>
      </c>
      <c r="L70" s="117" t="s">
        <v>1166</v>
      </c>
      <c r="M70" s="117" t="s">
        <v>1166</v>
      </c>
      <c r="N70" s="117" t="s">
        <v>1106</v>
      </c>
      <c r="O70" s="109" t="s">
        <v>1107</v>
      </c>
      <c r="P70" s="250" t="s">
        <v>1086</v>
      </c>
      <c r="Q70" s="250" t="s">
        <v>1087</v>
      </c>
      <c r="R70" s="169" t="s">
        <v>1492</v>
      </c>
      <c r="S70" s="169" t="s">
        <v>88</v>
      </c>
      <c r="T70" s="169" t="s">
        <v>1381</v>
      </c>
      <c r="U70" s="171"/>
      <c r="V70" s="253"/>
      <c r="W70" s="254" t="s">
        <v>1149</v>
      </c>
      <c r="X70" s="254"/>
      <c r="Y70" s="255" t="s">
        <v>1499</v>
      </c>
      <c r="Z70" s="195" t="s">
        <v>1500</v>
      </c>
      <c r="AA70" s="193" t="s">
        <v>1501</v>
      </c>
      <c r="AB70" s="175"/>
      <c r="AC70" s="175"/>
      <c r="AD70" s="175"/>
      <c r="AE70" s="183">
        <v>46</v>
      </c>
      <c r="AF70" s="177" t="s">
        <v>1255</v>
      </c>
      <c r="AG70" s="184" t="s">
        <v>1385</v>
      </c>
    </row>
    <row r="71" spans="1:33" ht="109.5" customHeight="1" x14ac:dyDescent="0.2">
      <c r="A71" s="247">
        <v>68</v>
      </c>
      <c r="B71" s="248" t="s">
        <v>1502</v>
      </c>
      <c r="C71" s="249" t="s">
        <v>109</v>
      </c>
      <c r="D71" s="250" t="s">
        <v>1398</v>
      </c>
      <c r="E71" s="251">
        <v>100</v>
      </c>
      <c r="F71" s="251">
        <v>5</v>
      </c>
      <c r="G71" s="252" t="s">
        <v>440</v>
      </c>
      <c r="H71" s="19" t="s">
        <v>88</v>
      </c>
      <c r="I71" s="182" t="s">
        <v>1503</v>
      </c>
      <c r="J71" s="110" t="s">
        <v>444</v>
      </c>
      <c r="K71" s="120" t="s">
        <v>1148</v>
      </c>
      <c r="L71" s="117" t="s">
        <v>1166</v>
      </c>
      <c r="M71" s="117" t="s">
        <v>1166</v>
      </c>
      <c r="N71" s="117" t="s">
        <v>1106</v>
      </c>
      <c r="O71" s="109" t="s">
        <v>1107</v>
      </c>
      <c r="P71" s="250" t="s">
        <v>1086</v>
      </c>
      <c r="Q71" s="250" t="s">
        <v>1087</v>
      </c>
      <c r="R71" s="169" t="s">
        <v>1232</v>
      </c>
      <c r="S71" s="169" t="s">
        <v>1233</v>
      </c>
      <c r="T71" s="169" t="s">
        <v>1234</v>
      </c>
      <c r="U71" s="171"/>
      <c r="V71" s="253"/>
      <c r="W71" s="254" t="s">
        <v>1149</v>
      </c>
      <c r="X71" s="254"/>
      <c r="Y71" s="255" t="s">
        <v>1504</v>
      </c>
      <c r="Z71" s="195" t="s">
        <v>1505</v>
      </c>
      <c r="AA71" s="193" t="s">
        <v>1506</v>
      </c>
      <c r="AB71" s="175"/>
      <c r="AC71" s="175"/>
      <c r="AD71" s="175"/>
      <c r="AE71" s="183">
        <v>64</v>
      </c>
      <c r="AF71" s="177" t="s">
        <v>1255</v>
      </c>
      <c r="AG71" s="210" t="s">
        <v>1507</v>
      </c>
    </row>
    <row r="72" spans="1:33" ht="99.75" customHeight="1" x14ac:dyDescent="0.2">
      <c r="A72" s="256">
        <v>69</v>
      </c>
      <c r="B72" s="257" t="s">
        <v>1508</v>
      </c>
      <c r="C72" s="258" t="s">
        <v>95</v>
      </c>
      <c r="D72" s="259" t="s">
        <v>1144</v>
      </c>
      <c r="E72" s="260">
        <v>150</v>
      </c>
      <c r="F72" s="260">
        <v>4</v>
      </c>
      <c r="G72" s="261" t="s">
        <v>440</v>
      </c>
      <c r="H72" s="19" t="s">
        <v>88</v>
      </c>
      <c r="I72" s="203" t="s">
        <v>1509</v>
      </c>
      <c r="J72" s="110" t="s">
        <v>1510</v>
      </c>
      <c r="K72" s="109" t="s">
        <v>1085</v>
      </c>
      <c r="L72" s="117" t="s">
        <v>1166</v>
      </c>
      <c r="M72" s="117" t="s">
        <v>1166</v>
      </c>
      <c r="N72" s="117" t="s">
        <v>1106</v>
      </c>
      <c r="O72" s="109" t="s">
        <v>1107</v>
      </c>
      <c r="P72" s="259" t="s">
        <v>1511</v>
      </c>
      <c r="Q72" s="259" t="s">
        <v>1512</v>
      </c>
      <c r="R72" s="204" t="s">
        <v>1513</v>
      </c>
      <c r="S72" s="169" t="s">
        <v>1514</v>
      </c>
      <c r="T72" s="169" t="s">
        <v>1381</v>
      </c>
      <c r="U72" s="171"/>
      <c r="V72" s="262"/>
      <c r="W72" s="263" t="s">
        <v>1515</v>
      </c>
      <c r="X72" s="263"/>
      <c r="Y72" s="264" t="s">
        <v>1516</v>
      </c>
      <c r="Z72" s="195" t="s">
        <v>1517</v>
      </c>
      <c r="AA72" s="193" t="s">
        <v>1518</v>
      </c>
      <c r="AB72" s="175"/>
      <c r="AC72" s="175"/>
      <c r="AD72" s="175"/>
      <c r="AE72" s="176">
        <v>43</v>
      </c>
      <c r="AF72" s="177" t="s">
        <v>1171</v>
      </c>
      <c r="AG72" s="184" t="s">
        <v>1225</v>
      </c>
    </row>
    <row r="73" spans="1:33" ht="99.75" customHeight="1" x14ac:dyDescent="0.2">
      <c r="A73" s="256">
        <v>70</v>
      </c>
      <c r="B73" s="257" t="s">
        <v>1519</v>
      </c>
      <c r="C73" s="258" t="s">
        <v>95</v>
      </c>
      <c r="D73" s="259" t="s">
        <v>1520</v>
      </c>
      <c r="E73" s="260">
        <v>100</v>
      </c>
      <c r="F73" s="260">
        <v>5</v>
      </c>
      <c r="G73" s="261" t="s">
        <v>440</v>
      </c>
      <c r="H73" s="19" t="s">
        <v>88</v>
      </c>
      <c r="I73" s="203" t="s">
        <v>1521</v>
      </c>
      <c r="J73" s="110" t="s">
        <v>444</v>
      </c>
      <c r="K73" s="120" t="s">
        <v>1148</v>
      </c>
      <c r="L73" s="117" t="s">
        <v>1166</v>
      </c>
      <c r="M73" s="117" t="s">
        <v>1166</v>
      </c>
      <c r="N73" s="117" t="s">
        <v>1106</v>
      </c>
      <c r="O73" s="109" t="s">
        <v>1107</v>
      </c>
      <c r="P73" s="259" t="s">
        <v>1086</v>
      </c>
      <c r="Q73" s="259" t="s">
        <v>1087</v>
      </c>
      <c r="R73" s="204" t="s">
        <v>1522</v>
      </c>
      <c r="S73" s="169" t="s">
        <v>1182</v>
      </c>
      <c r="T73" s="169" t="s">
        <v>1381</v>
      </c>
      <c r="U73" s="171"/>
      <c r="V73" s="262"/>
      <c r="W73" s="263" t="s">
        <v>1149</v>
      </c>
      <c r="X73" s="263"/>
      <c r="Y73" s="264" t="s">
        <v>1523</v>
      </c>
      <c r="Z73" s="195" t="s">
        <v>1524</v>
      </c>
      <c r="AA73" s="193" t="s">
        <v>1525</v>
      </c>
      <c r="AB73" s="175"/>
      <c r="AC73" s="175"/>
      <c r="AD73" s="175"/>
      <c r="AE73" s="183">
        <v>51</v>
      </c>
      <c r="AF73" s="177" t="s">
        <v>1171</v>
      </c>
      <c r="AG73" s="184" t="s">
        <v>1221</v>
      </c>
    </row>
    <row r="74" spans="1:33" ht="99.75" customHeight="1" x14ac:dyDescent="0.2">
      <c r="A74" s="256">
        <v>71</v>
      </c>
      <c r="B74" s="257" t="s">
        <v>1526</v>
      </c>
      <c r="C74" s="258" t="s">
        <v>95</v>
      </c>
      <c r="D74" s="259" t="s">
        <v>1527</v>
      </c>
      <c r="E74" s="260">
        <v>50</v>
      </c>
      <c r="F74" s="260">
        <v>4</v>
      </c>
      <c r="G74" s="261" t="s">
        <v>440</v>
      </c>
      <c r="H74" s="19" t="s">
        <v>88</v>
      </c>
      <c r="I74" s="265" t="s">
        <v>1079</v>
      </c>
      <c r="J74" s="110" t="s">
        <v>444</v>
      </c>
      <c r="K74" s="120" t="s">
        <v>1148</v>
      </c>
      <c r="L74" s="117" t="s">
        <v>1166</v>
      </c>
      <c r="M74" s="117" t="s">
        <v>1166</v>
      </c>
      <c r="N74" s="117" t="s">
        <v>1106</v>
      </c>
      <c r="O74" s="109" t="s">
        <v>1107</v>
      </c>
      <c r="P74" s="259" t="s">
        <v>1086</v>
      </c>
      <c r="Q74" s="259" t="s">
        <v>1087</v>
      </c>
      <c r="R74" s="169" t="s">
        <v>1232</v>
      </c>
      <c r="S74" s="169" t="s">
        <v>1233</v>
      </c>
      <c r="T74" s="169" t="s">
        <v>1234</v>
      </c>
      <c r="U74" s="171"/>
      <c r="V74" s="262"/>
      <c r="W74" s="263" t="s">
        <v>1149</v>
      </c>
      <c r="X74" s="263"/>
      <c r="Y74" s="264" t="s">
        <v>1528</v>
      </c>
      <c r="Z74" s="195" t="s">
        <v>1529</v>
      </c>
      <c r="AA74" s="193" t="s">
        <v>1530</v>
      </c>
      <c r="AB74" s="175"/>
      <c r="AC74" s="175"/>
      <c r="AD74" s="175"/>
      <c r="AE74" s="176">
        <v>41</v>
      </c>
      <c r="AF74" s="177" t="s">
        <v>1171</v>
      </c>
      <c r="AG74" s="178" t="s">
        <v>1531</v>
      </c>
    </row>
    <row r="75" spans="1:33" ht="99.75" customHeight="1" x14ac:dyDescent="0.2">
      <c r="A75" s="256">
        <v>72</v>
      </c>
      <c r="B75" s="257" t="s">
        <v>1532</v>
      </c>
      <c r="C75" s="258" t="s">
        <v>95</v>
      </c>
      <c r="D75" s="259" t="s">
        <v>1533</v>
      </c>
      <c r="E75" s="260">
        <v>50</v>
      </c>
      <c r="F75" s="260">
        <v>3</v>
      </c>
      <c r="G75" s="261" t="s">
        <v>440</v>
      </c>
      <c r="H75" s="19" t="s">
        <v>88</v>
      </c>
      <c r="I75" s="266" t="s">
        <v>1099</v>
      </c>
      <c r="J75" s="110" t="s">
        <v>444</v>
      </c>
      <c r="K75" s="120" t="s">
        <v>1148</v>
      </c>
      <c r="L75" s="117" t="s">
        <v>1166</v>
      </c>
      <c r="M75" s="117" t="s">
        <v>1166</v>
      </c>
      <c r="N75" s="117" t="s">
        <v>1106</v>
      </c>
      <c r="O75" s="109" t="s">
        <v>1107</v>
      </c>
      <c r="P75" s="259" t="s">
        <v>1086</v>
      </c>
      <c r="Q75" s="259" t="s">
        <v>1087</v>
      </c>
      <c r="R75" s="169" t="s">
        <v>1232</v>
      </c>
      <c r="S75" s="169" t="s">
        <v>1233</v>
      </c>
      <c r="T75" s="169" t="s">
        <v>1234</v>
      </c>
      <c r="U75" s="171"/>
      <c r="V75" s="262"/>
      <c r="W75" s="263" t="s">
        <v>1149</v>
      </c>
      <c r="X75" s="263"/>
      <c r="Y75" s="264" t="s">
        <v>1534</v>
      </c>
      <c r="Z75" s="195" t="s">
        <v>1535</v>
      </c>
      <c r="AA75" s="193" t="s">
        <v>1536</v>
      </c>
      <c r="AB75" s="175"/>
      <c r="AC75" s="175"/>
      <c r="AD75" s="175"/>
      <c r="AE75" s="176">
        <v>41</v>
      </c>
      <c r="AF75" s="177" t="s">
        <v>1171</v>
      </c>
      <c r="AG75" s="178" t="s">
        <v>1531</v>
      </c>
    </row>
    <row r="76" spans="1:33" ht="99.75" customHeight="1" x14ac:dyDescent="0.2">
      <c r="A76" s="256">
        <v>73</v>
      </c>
      <c r="B76" s="257" t="s">
        <v>1537</v>
      </c>
      <c r="C76" s="258" t="s">
        <v>95</v>
      </c>
      <c r="D76" s="259" t="s">
        <v>1378</v>
      </c>
      <c r="E76" s="260">
        <v>50</v>
      </c>
      <c r="F76" s="260">
        <v>4</v>
      </c>
      <c r="G76" s="261" t="s">
        <v>440</v>
      </c>
      <c r="H76" s="19" t="s">
        <v>88</v>
      </c>
      <c r="I76" s="265" t="s">
        <v>1079</v>
      </c>
      <c r="J76" s="110" t="s">
        <v>444</v>
      </c>
      <c r="K76" s="120" t="s">
        <v>1148</v>
      </c>
      <c r="L76" s="117" t="s">
        <v>1166</v>
      </c>
      <c r="M76" s="117" t="s">
        <v>1166</v>
      </c>
      <c r="N76" s="117" t="s">
        <v>1106</v>
      </c>
      <c r="O76" s="109" t="s">
        <v>1107</v>
      </c>
      <c r="P76" s="259" t="s">
        <v>1086</v>
      </c>
      <c r="Q76" s="259" t="s">
        <v>1087</v>
      </c>
      <c r="R76" s="169" t="s">
        <v>1232</v>
      </c>
      <c r="S76" s="169" t="s">
        <v>1233</v>
      </c>
      <c r="T76" s="169" t="s">
        <v>1234</v>
      </c>
      <c r="U76" s="171"/>
      <c r="V76" s="262"/>
      <c r="W76" s="263" t="s">
        <v>1149</v>
      </c>
      <c r="X76" s="263"/>
      <c r="Y76" s="264" t="s">
        <v>1538</v>
      </c>
      <c r="Z76" s="195" t="s">
        <v>1539</v>
      </c>
      <c r="AA76" s="193" t="s">
        <v>1540</v>
      </c>
      <c r="AB76" s="175"/>
      <c r="AC76" s="175"/>
      <c r="AD76" s="175"/>
      <c r="AE76" s="176">
        <v>41</v>
      </c>
      <c r="AF76" s="177" t="s">
        <v>1171</v>
      </c>
      <c r="AG76" s="178" t="s">
        <v>1531</v>
      </c>
    </row>
    <row r="77" spans="1:33" ht="99.75" customHeight="1" x14ac:dyDescent="0.2">
      <c r="A77" s="267">
        <v>74</v>
      </c>
      <c r="B77" s="268" t="s">
        <v>1541</v>
      </c>
      <c r="C77" s="269" t="s">
        <v>1542</v>
      </c>
      <c r="D77" s="270" t="s">
        <v>1432</v>
      </c>
      <c r="E77" s="271">
        <v>500</v>
      </c>
      <c r="F77" s="271">
        <v>4</v>
      </c>
      <c r="G77" s="272" t="s">
        <v>440</v>
      </c>
      <c r="H77" s="19" t="s">
        <v>88</v>
      </c>
      <c r="I77" s="203" t="s">
        <v>1543</v>
      </c>
      <c r="J77" s="108" t="s">
        <v>1544</v>
      </c>
      <c r="K77" s="120" t="s">
        <v>1148</v>
      </c>
      <c r="L77" s="117" t="s">
        <v>1166</v>
      </c>
      <c r="M77" s="117" t="s">
        <v>1166</v>
      </c>
      <c r="N77" s="117" t="s">
        <v>1106</v>
      </c>
      <c r="O77" s="109" t="s">
        <v>1107</v>
      </c>
      <c r="P77" s="270" t="s">
        <v>1086</v>
      </c>
      <c r="Q77" s="270" t="s">
        <v>1087</v>
      </c>
      <c r="R77" s="204" t="s">
        <v>1545</v>
      </c>
      <c r="S77" s="244" t="s">
        <v>1546</v>
      </c>
      <c r="T77" s="170" t="s">
        <v>1547</v>
      </c>
      <c r="U77" s="171"/>
      <c r="V77" s="273"/>
      <c r="W77" s="274" t="s">
        <v>1149</v>
      </c>
      <c r="X77" s="274"/>
      <c r="Y77" s="275" t="s">
        <v>1548</v>
      </c>
      <c r="Z77" s="195" t="s">
        <v>1549</v>
      </c>
      <c r="AA77" s="193" t="s">
        <v>1550</v>
      </c>
      <c r="AB77" s="175"/>
      <c r="AC77" s="175"/>
      <c r="AD77" s="175"/>
      <c r="AE77" s="183">
        <v>51</v>
      </c>
      <c r="AF77" s="177" t="s">
        <v>1171</v>
      </c>
      <c r="AG77" s="184" t="s">
        <v>1221</v>
      </c>
    </row>
    <row r="78" spans="1:33" ht="99.75" customHeight="1" x14ac:dyDescent="0.2">
      <c r="A78" s="267">
        <v>75</v>
      </c>
      <c r="B78" s="268" t="s">
        <v>1551</v>
      </c>
      <c r="C78" s="269" t="s">
        <v>1542</v>
      </c>
      <c r="D78" s="270" t="s">
        <v>1552</v>
      </c>
      <c r="E78" s="271">
        <v>200</v>
      </c>
      <c r="F78" s="271">
        <v>4</v>
      </c>
      <c r="G78" s="272" t="s">
        <v>440</v>
      </c>
      <c r="H78" s="19" t="s">
        <v>88</v>
      </c>
      <c r="I78" s="203" t="s">
        <v>1553</v>
      </c>
      <c r="J78" s="108" t="s">
        <v>1544</v>
      </c>
      <c r="K78" s="120" t="s">
        <v>1148</v>
      </c>
      <c r="L78" s="117" t="s">
        <v>1166</v>
      </c>
      <c r="M78" s="117" t="s">
        <v>1166</v>
      </c>
      <c r="N78" s="117" t="s">
        <v>1106</v>
      </c>
      <c r="O78" s="109" t="s">
        <v>1107</v>
      </c>
      <c r="P78" s="270" t="s">
        <v>1086</v>
      </c>
      <c r="Q78" s="270" t="s">
        <v>1087</v>
      </c>
      <c r="R78" s="204" t="s">
        <v>1554</v>
      </c>
      <c r="S78" s="169" t="s">
        <v>1555</v>
      </c>
      <c r="T78" s="170" t="s">
        <v>1556</v>
      </c>
      <c r="U78" s="171"/>
      <c r="V78" s="273"/>
      <c r="W78" s="274" t="s">
        <v>1149</v>
      </c>
      <c r="X78" s="274"/>
      <c r="Y78" s="275" t="s">
        <v>1557</v>
      </c>
      <c r="Z78" s="195" t="s">
        <v>1558</v>
      </c>
      <c r="AA78" s="193" t="s">
        <v>1559</v>
      </c>
      <c r="AB78" s="175"/>
      <c r="AC78" s="175"/>
      <c r="AD78" s="175"/>
      <c r="AE78" s="183">
        <v>49</v>
      </c>
      <c r="AF78" s="177" t="s">
        <v>1171</v>
      </c>
      <c r="AG78" s="184" t="s">
        <v>1560</v>
      </c>
    </row>
    <row r="79" spans="1:33" ht="99.75" customHeight="1" x14ac:dyDescent="0.2">
      <c r="A79" s="267">
        <v>76</v>
      </c>
      <c r="B79" s="268" t="s">
        <v>1561</v>
      </c>
      <c r="C79" s="269" t="s">
        <v>1542</v>
      </c>
      <c r="D79" s="270" t="s">
        <v>1316</v>
      </c>
      <c r="E79" s="271">
        <v>100</v>
      </c>
      <c r="F79" s="271">
        <v>3</v>
      </c>
      <c r="G79" s="272" t="s">
        <v>440</v>
      </c>
      <c r="H79" s="19" t="s">
        <v>88</v>
      </c>
      <c r="I79" s="276" t="s">
        <v>1079</v>
      </c>
      <c r="J79" s="108" t="s">
        <v>1544</v>
      </c>
      <c r="K79" s="120" t="s">
        <v>1148</v>
      </c>
      <c r="L79" s="117" t="s">
        <v>1166</v>
      </c>
      <c r="M79" s="117" t="s">
        <v>1166</v>
      </c>
      <c r="N79" s="117" t="s">
        <v>1106</v>
      </c>
      <c r="O79" s="109" t="s">
        <v>1107</v>
      </c>
      <c r="P79" s="270" t="s">
        <v>1086</v>
      </c>
      <c r="Q79" s="270" t="s">
        <v>1087</v>
      </c>
      <c r="R79" s="204" t="s">
        <v>1562</v>
      </c>
      <c r="S79" s="169" t="s">
        <v>88</v>
      </c>
      <c r="T79" s="170" t="s">
        <v>1563</v>
      </c>
      <c r="U79" s="171"/>
      <c r="V79" s="273"/>
      <c r="W79" s="274" t="s">
        <v>1149</v>
      </c>
      <c r="X79" s="274"/>
      <c r="Y79" s="275" t="s">
        <v>1564</v>
      </c>
      <c r="Z79" s="195" t="s">
        <v>1565</v>
      </c>
      <c r="AA79" s="193" t="s">
        <v>1566</v>
      </c>
      <c r="AB79" s="175"/>
      <c r="AC79" s="175"/>
      <c r="AD79" s="175"/>
      <c r="AE79" s="183">
        <v>51</v>
      </c>
      <c r="AF79" s="177" t="s">
        <v>1171</v>
      </c>
      <c r="AG79" s="184" t="s">
        <v>1221</v>
      </c>
    </row>
    <row r="80" spans="1:33" ht="99.75" customHeight="1" x14ac:dyDescent="0.2">
      <c r="A80" s="267">
        <v>77</v>
      </c>
      <c r="B80" s="268" t="s">
        <v>1567</v>
      </c>
      <c r="C80" s="269" t="s">
        <v>1542</v>
      </c>
      <c r="D80" s="270" t="s">
        <v>1568</v>
      </c>
      <c r="E80" s="271">
        <v>50</v>
      </c>
      <c r="F80" s="271">
        <v>4</v>
      </c>
      <c r="G80" s="272" t="s">
        <v>440</v>
      </c>
      <c r="H80" s="19" t="s">
        <v>88</v>
      </c>
      <c r="I80" s="276" t="s">
        <v>1079</v>
      </c>
      <c r="J80" s="110" t="s">
        <v>444</v>
      </c>
      <c r="K80" s="120" t="s">
        <v>1148</v>
      </c>
      <c r="L80" s="117" t="s">
        <v>1166</v>
      </c>
      <c r="M80" s="117" t="s">
        <v>1166</v>
      </c>
      <c r="N80" s="117" t="s">
        <v>1106</v>
      </c>
      <c r="O80" s="109" t="s">
        <v>1107</v>
      </c>
      <c r="P80" s="270" t="s">
        <v>1086</v>
      </c>
      <c r="Q80" s="270" t="s">
        <v>1087</v>
      </c>
      <c r="R80" s="204" t="s">
        <v>1569</v>
      </c>
      <c r="S80" s="244" t="s">
        <v>1570</v>
      </c>
      <c r="T80" s="170" t="s">
        <v>1563</v>
      </c>
      <c r="U80" s="171"/>
      <c r="V80" s="273"/>
      <c r="W80" s="274" t="s">
        <v>1149</v>
      </c>
      <c r="X80" s="274"/>
      <c r="Y80" s="275" t="s">
        <v>1571</v>
      </c>
      <c r="Z80" s="195" t="s">
        <v>1572</v>
      </c>
      <c r="AA80" s="193" t="s">
        <v>1573</v>
      </c>
      <c r="AB80" s="175"/>
      <c r="AC80" s="175"/>
      <c r="AD80" s="175"/>
      <c r="AE80" s="183">
        <v>49</v>
      </c>
      <c r="AF80" s="177" t="s">
        <v>1171</v>
      </c>
      <c r="AG80" s="184" t="s">
        <v>1560</v>
      </c>
    </row>
    <row r="81" spans="1:33" ht="99.75" customHeight="1" x14ac:dyDescent="0.2">
      <c r="A81" s="267">
        <v>78</v>
      </c>
      <c r="B81" s="268" t="s">
        <v>1574</v>
      </c>
      <c r="C81" s="269" t="s">
        <v>1542</v>
      </c>
      <c r="D81" s="270" t="s">
        <v>1128</v>
      </c>
      <c r="E81" s="271">
        <v>50</v>
      </c>
      <c r="F81" s="271">
        <v>3</v>
      </c>
      <c r="G81" s="272" t="s">
        <v>440</v>
      </c>
      <c r="H81" s="19" t="s">
        <v>88</v>
      </c>
      <c r="I81" s="276" t="s">
        <v>1079</v>
      </c>
      <c r="J81" s="110" t="s">
        <v>444</v>
      </c>
      <c r="K81" s="120" t="s">
        <v>1148</v>
      </c>
      <c r="L81" s="117" t="s">
        <v>1166</v>
      </c>
      <c r="M81" s="117" t="s">
        <v>1166</v>
      </c>
      <c r="N81" s="117" t="s">
        <v>1106</v>
      </c>
      <c r="O81" s="109" t="s">
        <v>1107</v>
      </c>
      <c r="P81" s="270" t="s">
        <v>1086</v>
      </c>
      <c r="Q81" s="270" t="s">
        <v>1087</v>
      </c>
      <c r="R81" s="169" t="s">
        <v>1232</v>
      </c>
      <c r="S81" s="169" t="s">
        <v>1233</v>
      </c>
      <c r="T81" s="169" t="s">
        <v>1234</v>
      </c>
      <c r="U81" s="171"/>
      <c r="V81" s="273"/>
      <c r="W81" s="274" t="s">
        <v>1149</v>
      </c>
      <c r="X81" s="274"/>
      <c r="Y81" s="275" t="s">
        <v>1575</v>
      </c>
      <c r="Z81" s="195" t="s">
        <v>1576</v>
      </c>
      <c r="AA81" s="193" t="s">
        <v>1577</v>
      </c>
      <c r="AB81" s="175"/>
      <c r="AC81" s="175"/>
      <c r="AD81" s="175"/>
      <c r="AE81" s="183">
        <v>49</v>
      </c>
      <c r="AF81" s="177" t="s">
        <v>1171</v>
      </c>
      <c r="AG81" s="184" t="s">
        <v>1560</v>
      </c>
    </row>
  </sheetData>
  <mergeCells count="2">
    <mergeCell ref="A1:P1"/>
    <mergeCell ref="A2:P2"/>
  </mergeCells>
  <dataValidations count="3">
    <dataValidation type="list" allowBlank="1" sqref="L4:L81" xr:uid="{00000000-0002-0000-0400-000000000000}">
      <formula1>"Not Started,Researching,Contacted,Replied,Call Scheduled,Discovery Done,Proposal Sent,Negotiating,Pilot Closed,Stalled,Not a Fit"</formula1>
      <formula2>0</formula2>
    </dataValidation>
    <dataValidation type="list" allowBlank="1" sqref="I4:I81" xr:uid="{00000000-0002-0000-0400-000001000000}">
      <formula1>"HIGH,MED,LOW"</formula1>
      <formula2>0</formula2>
    </dataValidation>
    <dataValidation type="list" allowBlank="1" sqref="H4:H81" xr:uid="{00000000-0002-0000-0400-000002000000}">
      <formula1>"YES,TBD,NO"</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82"/>
  <sheetViews>
    <sheetView showGridLines="0" zoomScaleNormal="100" workbookViewId="0">
      <pane ySplit="4" topLeftCell="A5" activePane="bottomLeft" state="frozen"/>
      <selection pane="bottomLeft"/>
    </sheetView>
  </sheetViews>
  <sheetFormatPr baseColWidth="10" defaultColWidth="8.6640625" defaultRowHeight="15" x14ac:dyDescent="0.2"/>
  <cols>
    <col min="1" max="1" width="5" customWidth="1"/>
    <col min="2" max="2" width="10" customWidth="1"/>
    <col min="3" max="3" width="8" customWidth="1"/>
    <col min="4" max="4" width="22" customWidth="1"/>
    <col min="5" max="5" width="18" customWidth="1"/>
    <col min="6" max="6" width="16" customWidth="1"/>
    <col min="7" max="7" width="11" customWidth="1"/>
    <col min="8" max="8" width="14" customWidth="1"/>
    <col min="9" max="9" width="16" customWidth="1"/>
    <col min="10" max="10" width="35" customWidth="1"/>
    <col min="11" max="11" width="22" customWidth="1"/>
    <col min="12" max="13" width="20" customWidth="1"/>
    <col min="14" max="14" width="10" customWidth="1"/>
    <col min="15" max="15" width="12" customWidth="1"/>
    <col min="16" max="16" width="28" customWidth="1"/>
  </cols>
  <sheetData>
    <row r="1" spans="1:16" ht="37.5" customHeight="1" x14ac:dyDescent="0.2">
      <c r="A1" s="449" t="s">
        <v>1578</v>
      </c>
      <c r="B1" s="435"/>
      <c r="C1" s="435"/>
      <c r="D1" s="435"/>
      <c r="E1" s="435"/>
      <c r="F1" s="435"/>
      <c r="G1" s="435"/>
      <c r="H1" s="435"/>
      <c r="I1" s="435"/>
      <c r="J1" s="435"/>
      <c r="K1" s="435"/>
      <c r="L1" s="435"/>
      <c r="M1" s="435"/>
      <c r="N1" s="435"/>
      <c r="O1" s="435"/>
      <c r="P1" s="435"/>
    </row>
    <row r="2" spans="1:16" ht="15.75" customHeight="1" x14ac:dyDescent="0.2">
      <c r="A2" s="460" t="s">
        <v>1579</v>
      </c>
      <c r="B2" s="435"/>
      <c r="C2" s="435"/>
      <c r="D2" s="435"/>
      <c r="E2" s="435"/>
      <c r="F2" s="435"/>
      <c r="G2" s="435"/>
      <c r="H2" s="435"/>
      <c r="I2" s="435"/>
      <c r="J2" s="435"/>
      <c r="K2" s="435"/>
      <c r="L2" s="435"/>
      <c r="M2" s="435"/>
      <c r="N2" s="435"/>
      <c r="O2" s="435"/>
      <c r="P2" s="435"/>
    </row>
    <row r="3" spans="1:16" ht="18" customHeight="1" x14ac:dyDescent="0.2">
      <c r="A3" s="485" t="s">
        <v>1580</v>
      </c>
      <c r="B3" s="435"/>
      <c r="C3" s="435"/>
      <c r="D3" s="435"/>
      <c r="E3" s="435"/>
      <c r="F3" s="435"/>
      <c r="G3" s="435"/>
      <c r="H3" s="435"/>
      <c r="I3" s="486" t="s">
        <v>1581</v>
      </c>
      <c r="J3" s="435"/>
      <c r="K3" s="435"/>
      <c r="L3" s="435"/>
      <c r="M3" s="435"/>
      <c r="N3" s="435"/>
      <c r="O3" s="435"/>
      <c r="P3" s="435"/>
    </row>
    <row r="4" spans="1:16" ht="37.5" customHeight="1" x14ac:dyDescent="0.2">
      <c r="A4" s="64" t="s">
        <v>1582</v>
      </c>
      <c r="B4" s="64" t="s">
        <v>78</v>
      </c>
      <c r="C4" s="64" t="s">
        <v>1583</v>
      </c>
      <c r="D4" s="64" t="s">
        <v>1584</v>
      </c>
      <c r="E4" s="64" t="s">
        <v>1585</v>
      </c>
      <c r="F4" s="64" t="s">
        <v>1063</v>
      </c>
      <c r="G4" s="64" t="s">
        <v>31</v>
      </c>
      <c r="H4" s="64" t="s">
        <v>80</v>
      </c>
      <c r="I4" s="64" t="s">
        <v>1586</v>
      </c>
      <c r="J4" s="64" t="s">
        <v>1587</v>
      </c>
      <c r="K4" s="64" t="s">
        <v>1588</v>
      </c>
      <c r="L4" s="64" t="s">
        <v>1589</v>
      </c>
      <c r="M4" s="64" t="s">
        <v>1590</v>
      </c>
      <c r="N4" s="64" t="s">
        <v>692</v>
      </c>
      <c r="O4" s="64" t="s">
        <v>83</v>
      </c>
      <c r="P4" s="64" t="s">
        <v>1591</v>
      </c>
    </row>
    <row r="5" spans="1:16" ht="64.5" customHeight="1" x14ac:dyDescent="0.2">
      <c r="A5" s="147">
        <v>1</v>
      </c>
      <c r="B5" s="80" t="s">
        <v>1592</v>
      </c>
      <c r="C5" s="1" t="s">
        <v>659</v>
      </c>
      <c r="D5" s="57" t="s">
        <v>523</v>
      </c>
      <c r="E5" s="103" t="s">
        <v>1593</v>
      </c>
      <c r="F5" s="103" t="s">
        <v>1594</v>
      </c>
      <c r="G5" s="277" t="s">
        <v>1595</v>
      </c>
      <c r="H5" s="277" t="s">
        <v>1596</v>
      </c>
      <c r="I5" s="19" t="s">
        <v>1597</v>
      </c>
      <c r="J5" s="278"/>
      <c r="K5" s="279"/>
      <c r="L5" s="76" t="s">
        <v>1598</v>
      </c>
      <c r="M5" s="103" t="s">
        <v>1599</v>
      </c>
      <c r="N5" s="103" t="s">
        <v>1600</v>
      </c>
      <c r="O5" s="59" t="s">
        <v>1601</v>
      </c>
      <c r="P5" s="81" t="s">
        <v>1602</v>
      </c>
    </row>
    <row r="6" spans="1:16" ht="64.5" customHeight="1" x14ac:dyDescent="0.2">
      <c r="A6" s="147">
        <v>2</v>
      </c>
      <c r="B6" s="80" t="s">
        <v>1592</v>
      </c>
      <c r="C6" s="1" t="s">
        <v>659</v>
      </c>
      <c r="D6" s="57" t="s">
        <v>488</v>
      </c>
      <c r="E6" s="103" t="s">
        <v>1603</v>
      </c>
      <c r="F6" s="103" t="s">
        <v>1604</v>
      </c>
      <c r="G6" s="277" t="s">
        <v>1605</v>
      </c>
      <c r="H6" s="277" t="s">
        <v>1606</v>
      </c>
      <c r="I6" s="202" t="s">
        <v>1607</v>
      </c>
      <c r="J6" s="280" t="s">
        <v>1608</v>
      </c>
      <c r="K6" s="279"/>
      <c r="L6" s="76" t="s">
        <v>1609</v>
      </c>
      <c r="M6" s="103" t="s">
        <v>1610</v>
      </c>
      <c r="N6" s="103" t="s">
        <v>1600</v>
      </c>
      <c r="O6" s="59" t="s">
        <v>1611</v>
      </c>
      <c r="P6" s="81" t="s">
        <v>1612</v>
      </c>
    </row>
    <row r="7" spans="1:16" ht="64.5" customHeight="1" x14ac:dyDescent="0.2">
      <c r="A7" s="147">
        <v>3</v>
      </c>
      <c r="B7" s="80" t="s">
        <v>1613</v>
      </c>
      <c r="C7" s="1" t="s">
        <v>659</v>
      </c>
      <c r="D7" s="57" t="s">
        <v>504</v>
      </c>
      <c r="E7" s="103" t="s">
        <v>1614</v>
      </c>
      <c r="F7" s="103" t="s">
        <v>1615</v>
      </c>
      <c r="G7" s="277" t="s">
        <v>1595</v>
      </c>
      <c r="H7" s="277" t="s">
        <v>1596</v>
      </c>
      <c r="I7" s="19" t="s">
        <v>1597</v>
      </c>
      <c r="J7" s="278"/>
      <c r="K7" s="279"/>
      <c r="L7" s="76"/>
      <c r="M7" s="103" t="s">
        <v>1616</v>
      </c>
      <c r="N7" s="103" t="s">
        <v>1617</v>
      </c>
      <c r="O7" s="59" t="s">
        <v>1601</v>
      </c>
      <c r="P7" s="81" t="s">
        <v>1618</v>
      </c>
    </row>
    <row r="8" spans="1:16" ht="64.5" customHeight="1" x14ac:dyDescent="0.2">
      <c r="A8" s="281">
        <v>4</v>
      </c>
      <c r="B8" s="282" t="s">
        <v>1619</v>
      </c>
      <c r="C8" s="93" t="s">
        <v>1620</v>
      </c>
      <c r="D8" s="283" t="s">
        <v>1420</v>
      </c>
      <c r="E8" s="284" t="s">
        <v>1621</v>
      </c>
      <c r="F8" s="284" t="s">
        <v>1622</v>
      </c>
      <c r="G8" s="285" t="s">
        <v>1595</v>
      </c>
      <c r="H8" s="285" t="s">
        <v>1596</v>
      </c>
      <c r="I8" s="19" t="s">
        <v>1597</v>
      </c>
      <c r="J8" s="278"/>
      <c r="K8" s="279"/>
      <c r="L8" s="76"/>
      <c r="M8" s="284" t="s">
        <v>1623</v>
      </c>
      <c r="N8" s="284" t="s">
        <v>1624</v>
      </c>
      <c r="O8" s="59" t="s">
        <v>1625</v>
      </c>
      <c r="P8" s="286" t="s">
        <v>1626</v>
      </c>
    </row>
    <row r="9" spans="1:16" ht="64.5" customHeight="1" x14ac:dyDescent="0.2">
      <c r="A9" s="147">
        <v>5</v>
      </c>
      <c r="B9" s="80" t="s">
        <v>1619</v>
      </c>
      <c r="C9" s="1" t="s">
        <v>659</v>
      </c>
      <c r="D9" s="57" t="s">
        <v>508</v>
      </c>
      <c r="E9" s="103" t="s">
        <v>1627</v>
      </c>
      <c r="F9" s="103" t="s">
        <v>1628</v>
      </c>
      <c r="G9" s="277" t="s">
        <v>1595</v>
      </c>
      <c r="H9" s="277" t="s">
        <v>1596</v>
      </c>
      <c r="I9" s="202" t="s">
        <v>1629</v>
      </c>
      <c r="J9" s="280" t="s">
        <v>1630</v>
      </c>
      <c r="K9" s="279"/>
      <c r="L9" s="76"/>
      <c r="M9" s="103" t="s">
        <v>1631</v>
      </c>
      <c r="N9" s="103" t="s">
        <v>1632</v>
      </c>
      <c r="O9" s="64" t="s">
        <v>1633</v>
      </c>
      <c r="P9" s="81" t="s">
        <v>1634</v>
      </c>
    </row>
    <row r="10" spans="1:16" ht="49.5" customHeight="1" x14ac:dyDescent="0.2">
      <c r="A10" s="287">
        <v>6</v>
      </c>
      <c r="B10" s="287" t="s">
        <v>1600</v>
      </c>
      <c r="C10" s="288" t="s">
        <v>659</v>
      </c>
      <c r="D10" s="289" t="s">
        <v>523</v>
      </c>
      <c r="E10" s="287" t="s">
        <v>1593</v>
      </c>
      <c r="F10" s="287" t="s">
        <v>1594</v>
      </c>
      <c r="G10" s="287" t="s">
        <v>1595</v>
      </c>
      <c r="H10" s="287" t="s">
        <v>1635</v>
      </c>
      <c r="I10" s="287" t="s">
        <v>1636</v>
      </c>
      <c r="J10" s="287"/>
      <c r="K10" s="287"/>
      <c r="L10" s="290" t="s">
        <v>1637</v>
      </c>
      <c r="M10" s="287" t="s">
        <v>1638</v>
      </c>
      <c r="N10" s="287" t="s">
        <v>1600</v>
      </c>
      <c r="O10" s="287" t="s">
        <v>1639</v>
      </c>
      <c r="P10" s="287" t="s">
        <v>1640</v>
      </c>
    </row>
    <row r="11" spans="1:16" ht="49.5" customHeight="1" x14ac:dyDescent="0.2">
      <c r="A11" s="287">
        <v>7</v>
      </c>
      <c r="B11" s="287" t="s">
        <v>1600</v>
      </c>
      <c r="C11" s="288" t="s">
        <v>659</v>
      </c>
      <c r="D11" s="289" t="s">
        <v>488</v>
      </c>
      <c r="E11" s="287" t="s">
        <v>1603</v>
      </c>
      <c r="F11" s="287" t="s">
        <v>1604</v>
      </c>
      <c r="G11" s="287" t="s">
        <v>1641</v>
      </c>
      <c r="H11" s="287" t="s">
        <v>1642</v>
      </c>
      <c r="I11" s="287" t="s">
        <v>1636</v>
      </c>
      <c r="J11" s="287"/>
      <c r="K11" s="287"/>
      <c r="L11" s="290" t="s">
        <v>1643</v>
      </c>
      <c r="M11" s="287" t="s">
        <v>1644</v>
      </c>
      <c r="N11" s="287" t="s">
        <v>1600</v>
      </c>
      <c r="O11" s="291" t="s">
        <v>1645</v>
      </c>
      <c r="P11" s="287" t="s">
        <v>1646</v>
      </c>
    </row>
    <row r="12" spans="1:16" ht="49.5" customHeight="1" x14ac:dyDescent="0.2">
      <c r="A12" s="287">
        <v>8</v>
      </c>
      <c r="B12" s="287" t="s">
        <v>1632</v>
      </c>
      <c r="C12" s="288" t="s">
        <v>659</v>
      </c>
      <c r="D12" s="289" t="s">
        <v>508</v>
      </c>
      <c r="E12" s="287" t="s">
        <v>1627</v>
      </c>
      <c r="F12" s="287" t="s">
        <v>1628</v>
      </c>
      <c r="G12" s="287" t="s">
        <v>1647</v>
      </c>
      <c r="H12" s="287" t="s">
        <v>1606</v>
      </c>
      <c r="I12" s="287" t="s">
        <v>1648</v>
      </c>
      <c r="J12" s="292" t="s">
        <v>1649</v>
      </c>
      <c r="K12" s="287"/>
      <c r="L12" s="287"/>
      <c r="M12" s="287" t="s">
        <v>1650</v>
      </c>
      <c r="N12" s="287" t="s">
        <v>1632</v>
      </c>
      <c r="O12" s="287" t="s">
        <v>1651</v>
      </c>
      <c r="P12" s="287" t="s">
        <v>1652</v>
      </c>
    </row>
    <row r="13" spans="1:16" ht="49.5" customHeight="1" x14ac:dyDescent="0.2">
      <c r="A13" s="287">
        <v>9</v>
      </c>
      <c r="B13" s="287" t="s">
        <v>1632</v>
      </c>
      <c r="C13" s="288" t="s">
        <v>659</v>
      </c>
      <c r="D13" s="289" t="s">
        <v>504</v>
      </c>
      <c r="E13" s="287" t="s">
        <v>1614</v>
      </c>
      <c r="F13" s="287" t="s">
        <v>1615</v>
      </c>
      <c r="G13" s="287" t="s">
        <v>45</v>
      </c>
      <c r="H13" s="287" t="s">
        <v>1653</v>
      </c>
      <c r="I13" s="287" t="s">
        <v>1636</v>
      </c>
      <c r="J13" s="287"/>
      <c r="K13" s="287"/>
      <c r="L13" s="287"/>
      <c r="M13" s="287" t="s">
        <v>1654</v>
      </c>
      <c r="N13" s="287" t="s">
        <v>1632</v>
      </c>
      <c r="O13" s="287" t="s">
        <v>1639</v>
      </c>
      <c r="P13" s="287" t="s">
        <v>1655</v>
      </c>
    </row>
    <row r="14" spans="1:16" ht="49.5" customHeight="1" x14ac:dyDescent="0.2">
      <c r="A14" s="287">
        <v>10</v>
      </c>
      <c r="B14" s="287" t="s">
        <v>1656</v>
      </c>
      <c r="C14" s="288" t="s">
        <v>659</v>
      </c>
      <c r="D14" s="289" t="s">
        <v>519</v>
      </c>
      <c r="E14" s="287" t="s">
        <v>1657</v>
      </c>
      <c r="F14" s="287" t="s">
        <v>1658</v>
      </c>
      <c r="G14" s="287" t="s">
        <v>1595</v>
      </c>
      <c r="H14" s="287" t="s">
        <v>1596</v>
      </c>
      <c r="I14" s="287" t="s">
        <v>1636</v>
      </c>
      <c r="J14" s="287"/>
      <c r="K14" s="287"/>
      <c r="L14" s="287"/>
      <c r="M14" s="287" t="s">
        <v>1659</v>
      </c>
      <c r="N14" s="287" t="s">
        <v>1656</v>
      </c>
      <c r="O14" s="287" t="s">
        <v>1639</v>
      </c>
      <c r="P14" s="287" t="s">
        <v>1660</v>
      </c>
    </row>
    <row r="15" spans="1:16" ht="49.5" customHeight="1" x14ac:dyDescent="0.2">
      <c r="A15" s="287">
        <v>11</v>
      </c>
      <c r="B15" s="287" t="s">
        <v>1661</v>
      </c>
      <c r="C15" s="288" t="s">
        <v>659</v>
      </c>
      <c r="D15" s="289" t="s">
        <v>512</v>
      </c>
      <c r="E15" s="287" t="s">
        <v>1662</v>
      </c>
      <c r="F15" s="287" t="s">
        <v>1663</v>
      </c>
      <c r="G15" s="287" t="s">
        <v>1595</v>
      </c>
      <c r="H15" s="287" t="s">
        <v>1596</v>
      </c>
      <c r="I15" s="287" t="s">
        <v>1636</v>
      </c>
      <c r="J15" s="287"/>
      <c r="K15" s="287"/>
      <c r="L15" s="287"/>
      <c r="M15" s="287" t="s">
        <v>1664</v>
      </c>
      <c r="N15" s="287" t="s">
        <v>1661</v>
      </c>
      <c r="O15" s="287" t="s">
        <v>1639</v>
      </c>
      <c r="P15" s="287" t="s">
        <v>1665</v>
      </c>
    </row>
    <row r="16" spans="1:16" ht="49.5" customHeight="1" x14ac:dyDescent="0.2">
      <c r="A16" s="287">
        <v>12</v>
      </c>
      <c r="B16" s="287" t="s">
        <v>1666</v>
      </c>
      <c r="C16" s="288" t="s">
        <v>659</v>
      </c>
      <c r="D16" s="289" t="s">
        <v>550</v>
      </c>
      <c r="E16" s="287" t="s">
        <v>1667</v>
      </c>
      <c r="F16" s="287" t="s">
        <v>1668</v>
      </c>
      <c r="G16" s="287" t="s">
        <v>1595</v>
      </c>
      <c r="H16" s="287" t="s">
        <v>1596</v>
      </c>
      <c r="I16" s="287" t="s">
        <v>1636</v>
      </c>
      <c r="J16" s="287"/>
      <c r="K16" s="287"/>
      <c r="L16" s="290" t="s">
        <v>1669</v>
      </c>
      <c r="M16" s="287" t="s">
        <v>1670</v>
      </c>
      <c r="N16" s="287" t="s">
        <v>1666</v>
      </c>
      <c r="O16" s="287" t="s">
        <v>1639</v>
      </c>
      <c r="P16" s="287" t="s">
        <v>1671</v>
      </c>
    </row>
    <row r="17" spans="1:16" ht="49.5" customHeight="1" x14ac:dyDescent="0.2">
      <c r="A17" s="293">
        <v>13</v>
      </c>
      <c r="B17" s="293" t="s">
        <v>1672</v>
      </c>
      <c r="C17" s="288" t="s">
        <v>1620</v>
      </c>
      <c r="D17" s="289" t="s">
        <v>1243</v>
      </c>
      <c r="E17" s="293" t="s">
        <v>1673</v>
      </c>
      <c r="F17" s="293" t="s">
        <v>1087</v>
      </c>
      <c r="G17" s="293" t="s">
        <v>52</v>
      </c>
      <c r="H17" s="293" t="s">
        <v>1674</v>
      </c>
      <c r="I17" s="293" t="s">
        <v>1636</v>
      </c>
      <c r="J17" s="293"/>
      <c r="K17" s="293"/>
      <c r="L17" s="290" t="s">
        <v>1675</v>
      </c>
      <c r="M17" s="293" t="s">
        <v>1676</v>
      </c>
      <c r="N17" s="293" t="s">
        <v>1672</v>
      </c>
      <c r="O17" s="294" t="s">
        <v>1677</v>
      </c>
      <c r="P17" s="293" t="s">
        <v>1678</v>
      </c>
    </row>
    <row r="18" spans="1:16" ht="49.5" customHeight="1" x14ac:dyDescent="0.2">
      <c r="A18" s="287">
        <v>14</v>
      </c>
      <c r="B18" s="287" t="s">
        <v>1679</v>
      </c>
      <c r="C18" s="288" t="s">
        <v>659</v>
      </c>
      <c r="D18" s="289" t="s">
        <v>499</v>
      </c>
      <c r="E18" s="287" t="s">
        <v>1680</v>
      </c>
      <c r="F18" s="287" t="s">
        <v>1681</v>
      </c>
      <c r="G18" s="287" t="s">
        <v>1595</v>
      </c>
      <c r="H18" s="287" t="s">
        <v>1596</v>
      </c>
      <c r="I18" s="287" t="s">
        <v>1636</v>
      </c>
      <c r="J18" s="287"/>
      <c r="K18" s="287"/>
      <c r="L18" s="290" t="s">
        <v>1682</v>
      </c>
      <c r="M18" s="287" t="s">
        <v>1683</v>
      </c>
      <c r="N18" s="287" t="s">
        <v>1679</v>
      </c>
      <c r="O18" s="287" t="s">
        <v>1639</v>
      </c>
      <c r="P18" s="287" t="s">
        <v>1684</v>
      </c>
    </row>
    <row r="19" spans="1:16" ht="49.5" customHeight="1" x14ac:dyDescent="0.2">
      <c r="A19" s="293">
        <v>15</v>
      </c>
      <c r="B19" s="293" t="s">
        <v>1679</v>
      </c>
      <c r="C19" s="288" t="s">
        <v>1620</v>
      </c>
      <c r="D19" s="289" t="s">
        <v>1541</v>
      </c>
      <c r="E19" s="293" t="s">
        <v>1627</v>
      </c>
      <c r="F19" s="293" t="s">
        <v>1628</v>
      </c>
      <c r="G19" s="293" t="s">
        <v>1606</v>
      </c>
      <c r="H19" s="293" t="s">
        <v>1685</v>
      </c>
      <c r="I19" s="293" t="s">
        <v>1636</v>
      </c>
      <c r="J19" s="293"/>
      <c r="K19" s="293"/>
      <c r="L19" s="293"/>
      <c r="M19" s="293" t="s">
        <v>1686</v>
      </c>
      <c r="N19" s="293" t="s">
        <v>1679</v>
      </c>
      <c r="O19" s="293" t="s">
        <v>1687</v>
      </c>
      <c r="P19" s="293" t="s">
        <v>1688</v>
      </c>
    </row>
    <row r="20" spans="1:16" ht="49.5" customHeight="1" x14ac:dyDescent="0.2">
      <c r="A20" s="287">
        <v>16</v>
      </c>
      <c r="B20" s="287" t="s">
        <v>1689</v>
      </c>
      <c r="C20" s="288" t="s">
        <v>659</v>
      </c>
      <c r="D20" s="289" t="s">
        <v>516</v>
      </c>
      <c r="E20" s="287" t="s">
        <v>1690</v>
      </c>
      <c r="F20" s="287" t="s">
        <v>1691</v>
      </c>
      <c r="G20" s="287" t="s">
        <v>1595</v>
      </c>
      <c r="H20" s="287" t="s">
        <v>1596</v>
      </c>
      <c r="I20" s="287" t="s">
        <v>1636</v>
      </c>
      <c r="J20" s="287"/>
      <c r="K20" s="287"/>
      <c r="L20" s="287"/>
      <c r="M20" s="287" t="s">
        <v>1692</v>
      </c>
      <c r="N20" s="287" t="s">
        <v>1689</v>
      </c>
      <c r="O20" s="287" t="s">
        <v>1639</v>
      </c>
      <c r="P20" s="287" t="s">
        <v>1693</v>
      </c>
    </row>
    <row r="21" spans="1:16" ht="49.5" customHeight="1" x14ac:dyDescent="0.2">
      <c r="A21" s="287">
        <v>17</v>
      </c>
      <c r="B21" s="287" t="s">
        <v>1694</v>
      </c>
      <c r="C21" s="288" t="s">
        <v>659</v>
      </c>
      <c r="D21" s="289" t="s">
        <v>523</v>
      </c>
      <c r="E21" s="287" t="s">
        <v>1695</v>
      </c>
      <c r="F21" s="287" t="s">
        <v>1696</v>
      </c>
      <c r="G21" s="287" t="s">
        <v>1697</v>
      </c>
      <c r="H21" s="287" t="s">
        <v>1698</v>
      </c>
      <c r="I21" s="287" t="s">
        <v>1636</v>
      </c>
      <c r="J21" s="287"/>
      <c r="K21" s="287"/>
      <c r="L21" s="290" t="s">
        <v>1699</v>
      </c>
      <c r="M21" s="287" t="s">
        <v>1700</v>
      </c>
      <c r="N21" s="287" t="s">
        <v>1694</v>
      </c>
      <c r="O21" s="294" t="s">
        <v>1701</v>
      </c>
      <c r="P21" s="287" t="s">
        <v>1702</v>
      </c>
    </row>
    <row r="22" spans="1:16" ht="49.5" customHeight="1" x14ac:dyDescent="0.2">
      <c r="A22" s="293">
        <v>18</v>
      </c>
      <c r="B22" s="293" t="s">
        <v>1703</v>
      </c>
      <c r="C22" s="288" t="s">
        <v>1620</v>
      </c>
      <c r="D22" s="289" t="s">
        <v>1276</v>
      </c>
      <c r="E22" s="293" t="s">
        <v>1673</v>
      </c>
      <c r="F22" s="293" t="s">
        <v>1087</v>
      </c>
      <c r="G22" s="293" t="s">
        <v>52</v>
      </c>
      <c r="H22" s="293" t="s">
        <v>1704</v>
      </c>
      <c r="I22" s="293" t="s">
        <v>1636</v>
      </c>
      <c r="J22" s="293"/>
      <c r="K22" s="293"/>
      <c r="L22" s="290" t="s">
        <v>1705</v>
      </c>
      <c r="M22" s="293" t="s">
        <v>1706</v>
      </c>
      <c r="N22" s="293" t="s">
        <v>1703</v>
      </c>
      <c r="O22" s="294" t="s">
        <v>1677</v>
      </c>
      <c r="P22" s="293" t="s">
        <v>1707</v>
      </c>
    </row>
    <row r="23" spans="1:16" ht="49.5" customHeight="1" x14ac:dyDescent="0.2">
      <c r="A23" s="287">
        <v>19</v>
      </c>
      <c r="B23" s="287" t="s">
        <v>1703</v>
      </c>
      <c r="C23" s="288" t="s">
        <v>659</v>
      </c>
      <c r="D23" s="289" t="s">
        <v>504</v>
      </c>
      <c r="E23" s="287" t="s">
        <v>1363</v>
      </c>
      <c r="F23" s="287" t="s">
        <v>1364</v>
      </c>
      <c r="G23" s="287" t="s">
        <v>1595</v>
      </c>
      <c r="H23" s="287" t="s">
        <v>1708</v>
      </c>
      <c r="I23" s="287" t="s">
        <v>1636</v>
      </c>
      <c r="J23" s="287"/>
      <c r="K23" s="287"/>
      <c r="L23" s="287"/>
      <c r="M23" s="287" t="s">
        <v>1709</v>
      </c>
      <c r="N23" s="287" t="s">
        <v>1703</v>
      </c>
      <c r="O23" s="287" t="s">
        <v>1639</v>
      </c>
      <c r="P23" s="287" t="s">
        <v>1710</v>
      </c>
    </row>
    <row r="24" spans="1:16" ht="49.5" customHeight="1" x14ac:dyDescent="0.2">
      <c r="A24" s="293">
        <v>20</v>
      </c>
      <c r="B24" s="293" t="s">
        <v>1711</v>
      </c>
      <c r="C24" s="288" t="s">
        <v>1620</v>
      </c>
      <c r="D24" s="289" t="s">
        <v>1519</v>
      </c>
      <c r="E24" s="293" t="s">
        <v>1712</v>
      </c>
      <c r="F24" s="293" t="s">
        <v>1713</v>
      </c>
      <c r="G24" s="293" t="s">
        <v>1714</v>
      </c>
      <c r="H24" s="293" t="s">
        <v>1715</v>
      </c>
      <c r="I24" s="293" t="s">
        <v>1636</v>
      </c>
      <c r="J24" s="293"/>
      <c r="K24" s="293"/>
      <c r="L24" s="293"/>
      <c r="M24" s="293" t="s">
        <v>1716</v>
      </c>
      <c r="N24" s="293" t="s">
        <v>1711</v>
      </c>
      <c r="O24" s="293" t="s">
        <v>1717</v>
      </c>
      <c r="P24" s="293" t="s">
        <v>1718</v>
      </c>
    </row>
    <row r="25" spans="1:16" ht="120" customHeight="1" x14ac:dyDescent="0.2">
      <c r="A25" s="295">
        <v>21</v>
      </c>
      <c r="B25" s="295" t="s">
        <v>1600</v>
      </c>
      <c r="C25" s="296" t="s">
        <v>1719</v>
      </c>
      <c r="D25" s="296" t="s">
        <v>1720</v>
      </c>
      <c r="E25" s="295" t="s">
        <v>1721</v>
      </c>
      <c r="F25" s="295" t="s">
        <v>1722</v>
      </c>
      <c r="G25" s="295" t="s">
        <v>1719</v>
      </c>
      <c r="H25" s="295" t="s">
        <v>1723</v>
      </c>
      <c r="I25" s="295" t="s">
        <v>1724</v>
      </c>
      <c r="J25" s="297"/>
      <c r="K25" s="298"/>
      <c r="L25" s="299" t="s">
        <v>1725</v>
      </c>
      <c r="M25" s="300" t="s">
        <v>1726</v>
      </c>
      <c r="N25" s="295" t="s">
        <v>1666</v>
      </c>
      <c r="O25" s="301" t="s">
        <v>1645</v>
      </c>
      <c r="P25" s="295" t="s">
        <v>1727</v>
      </c>
    </row>
    <row r="26" spans="1:16" ht="51.75" customHeight="1" x14ac:dyDescent="0.2">
      <c r="A26" s="302"/>
      <c r="B26" s="302"/>
      <c r="C26" s="302"/>
      <c r="D26" s="302"/>
      <c r="E26" s="302"/>
      <c r="F26" s="302"/>
      <c r="G26" s="302"/>
      <c r="H26" s="302"/>
      <c r="I26" s="302"/>
      <c r="J26" s="302"/>
      <c r="K26" s="302"/>
      <c r="L26" s="302"/>
      <c r="M26" s="302"/>
      <c r="N26" s="302"/>
      <c r="O26" s="302"/>
      <c r="P26" s="302"/>
    </row>
    <row r="27" spans="1:16" ht="51.75" customHeight="1" x14ac:dyDescent="0.2">
      <c r="A27" s="303"/>
      <c r="B27" s="303"/>
      <c r="C27" s="303"/>
      <c r="D27" s="303"/>
      <c r="E27" s="303"/>
      <c r="F27" s="303"/>
      <c r="G27" s="303"/>
      <c r="H27" s="303"/>
      <c r="I27" s="303"/>
      <c r="J27" s="303"/>
      <c r="K27" s="303"/>
      <c r="L27" s="303"/>
      <c r="M27" s="303"/>
      <c r="N27" s="303"/>
      <c r="O27" s="303"/>
      <c r="P27" s="303"/>
    </row>
    <row r="28" spans="1:16" ht="51.75" customHeight="1" x14ac:dyDescent="0.2">
      <c r="A28" s="302"/>
      <c r="B28" s="302"/>
      <c r="C28" s="302"/>
      <c r="D28" s="302"/>
      <c r="E28" s="302"/>
      <c r="F28" s="302"/>
      <c r="G28" s="302"/>
      <c r="H28" s="302"/>
      <c r="I28" s="302"/>
      <c r="J28" s="302"/>
      <c r="K28" s="302"/>
      <c r="L28" s="302"/>
      <c r="M28" s="302"/>
      <c r="N28" s="302"/>
      <c r="O28" s="302"/>
      <c r="P28" s="302"/>
    </row>
    <row r="29" spans="1:16" ht="51.75" customHeight="1" x14ac:dyDescent="0.2">
      <c r="A29" s="303"/>
      <c r="B29" s="303"/>
      <c r="C29" s="303"/>
      <c r="D29" s="303"/>
      <c r="E29" s="303"/>
      <c r="F29" s="303"/>
      <c r="G29" s="303"/>
      <c r="H29" s="303"/>
      <c r="I29" s="303"/>
      <c r="J29" s="303"/>
      <c r="K29" s="303"/>
      <c r="L29" s="303"/>
      <c r="M29" s="303"/>
      <c r="N29" s="303"/>
      <c r="O29" s="303"/>
      <c r="P29" s="303"/>
    </row>
    <row r="30" spans="1:16" ht="51.75" customHeight="1" x14ac:dyDescent="0.2">
      <c r="A30" s="302"/>
      <c r="B30" s="302"/>
      <c r="C30" s="302"/>
      <c r="D30" s="302"/>
      <c r="E30" s="302"/>
      <c r="F30" s="302"/>
      <c r="G30" s="302"/>
      <c r="H30" s="302"/>
      <c r="I30" s="302"/>
      <c r="J30" s="302"/>
      <c r="K30" s="302"/>
      <c r="L30" s="302"/>
      <c r="M30" s="302"/>
      <c r="N30" s="302"/>
      <c r="O30" s="302"/>
      <c r="P30" s="302"/>
    </row>
    <row r="31" spans="1:16" ht="51.75" customHeight="1" x14ac:dyDescent="0.2">
      <c r="A31" s="303"/>
      <c r="B31" s="303"/>
      <c r="C31" s="303"/>
      <c r="D31" s="303"/>
      <c r="E31" s="303"/>
      <c r="F31" s="303"/>
      <c r="G31" s="303"/>
      <c r="H31" s="303"/>
      <c r="I31" s="303"/>
      <c r="J31" s="303"/>
      <c r="K31" s="303"/>
      <c r="L31" s="303"/>
      <c r="M31" s="303"/>
      <c r="N31" s="303"/>
      <c r="O31" s="303"/>
      <c r="P31" s="303"/>
    </row>
    <row r="32" spans="1:16" ht="51.75" customHeight="1" x14ac:dyDescent="0.2">
      <c r="A32" s="302"/>
      <c r="B32" s="302"/>
      <c r="C32" s="302"/>
      <c r="D32" s="302"/>
      <c r="E32" s="302"/>
      <c r="F32" s="302"/>
      <c r="G32" s="302"/>
      <c r="H32" s="302"/>
      <c r="I32" s="302"/>
      <c r="J32" s="302"/>
      <c r="K32" s="302"/>
      <c r="L32" s="302"/>
      <c r="M32" s="302"/>
      <c r="N32" s="302"/>
      <c r="O32" s="302"/>
      <c r="P32" s="302"/>
    </row>
    <row r="33" spans="1:16" ht="51.75" customHeight="1" x14ac:dyDescent="0.2">
      <c r="A33" s="303"/>
      <c r="B33" s="303"/>
      <c r="C33" s="303"/>
      <c r="D33" s="303"/>
      <c r="E33" s="303"/>
      <c r="F33" s="303"/>
      <c r="G33" s="303"/>
      <c r="H33" s="303"/>
      <c r="I33" s="303"/>
      <c r="J33" s="303"/>
      <c r="K33" s="303"/>
      <c r="L33" s="303"/>
      <c r="M33" s="303"/>
      <c r="N33" s="303"/>
      <c r="O33" s="303"/>
      <c r="P33" s="303"/>
    </row>
    <row r="34" spans="1:16" ht="51.75" customHeight="1" x14ac:dyDescent="0.2">
      <c r="A34" s="302"/>
      <c r="B34" s="302"/>
      <c r="C34" s="302"/>
      <c r="D34" s="302"/>
      <c r="E34" s="302"/>
      <c r="F34" s="302"/>
      <c r="G34" s="302"/>
      <c r="H34" s="302"/>
      <c r="I34" s="302"/>
      <c r="J34" s="302"/>
      <c r="K34" s="302"/>
      <c r="L34" s="302"/>
      <c r="M34" s="302"/>
      <c r="N34" s="302"/>
      <c r="O34" s="302"/>
      <c r="P34" s="302"/>
    </row>
    <row r="35" spans="1:16" ht="51.75" customHeight="1" x14ac:dyDescent="0.2">
      <c r="A35" s="303"/>
      <c r="B35" s="303"/>
      <c r="C35" s="303"/>
      <c r="D35" s="303"/>
      <c r="E35" s="303"/>
      <c r="F35" s="303"/>
      <c r="G35" s="303"/>
      <c r="H35" s="303"/>
      <c r="I35" s="303"/>
      <c r="J35" s="303"/>
      <c r="K35" s="303"/>
      <c r="L35" s="303"/>
      <c r="M35" s="303"/>
      <c r="N35" s="303"/>
      <c r="O35" s="303"/>
      <c r="P35" s="303"/>
    </row>
    <row r="36" spans="1:16" ht="51.75" customHeight="1" x14ac:dyDescent="0.2">
      <c r="A36" s="302"/>
      <c r="B36" s="302"/>
      <c r="C36" s="302"/>
      <c r="D36" s="302"/>
      <c r="E36" s="302"/>
      <c r="F36" s="302"/>
      <c r="G36" s="302"/>
      <c r="H36" s="302"/>
      <c r="I36" s="302"/>
      <c r="J36" s="302"/>
      <c r="K36" s="302"/>
      <c r="L36" s="302"/>
      <c r="M36" s="302"/>
      <c r="N36" s="302"/>
      <c r="O36" s="302"/>
      <c r="P36" s="302"/>
    </row>
    <row r="37" spans="1:16" ht="51.75" customHeight="1" x14ac:dyDescent="0.2">
      <c r="A37" s="303"/>
      <c r="B37" s="303"/>
      <c r="C37" s="303"/>
      <c r="D37" s="303"/>
      <c r="E37" s="303"/>
      <c r="F37" s="303"/>
      <c r="G37" s="303"/>
      <c r="H37" s="303"/>
      <c r="I37" s="303"/>
      <c r="J37" s="303"/>
      <c r="K37" s="303"/>
      <c r="L37" s="303"/>
      <c r="M37" s="303"/>
      <c r="N37" s="303"/>
      <c r="O37" s="303"/>
      <c r="P37" s="303"/>
    </row>
    <row r="38" spans="1:16" ht="51.75" customHeight="1" x14ac:dyDescent="0.2">
      <c r="A38" s="302"/>
      <c r="B38" s="302"/>
      <c r="C38" s="302"/>
      <c r="D38" s="302"/>
      <c r="E38" s="302"/>
      <c r="F38" s="302"/>
      <c r="G38" s="302"/>
      <c r="H38" s="302"/>
      <c r="I38" s="302"/>
      <c r="J38" s="302"/>
      <c r="K38" s="302"/>
      <c r="L38" s="302"/>
      <c r="M38" s="302"/>
      <c r="N38" s="302"/>
      <c r="O38" s="302"/>
      <c r="P38" s="302"/>
    </row>
    <row r="39" spans="1:16" ht="51.75" customHeight="1" x14ac:dyDescent="0.2">
      <c r="A39" s="303"/>
      <c r="B39" s="303"/>
      <c r="C39" s="303"/>
      <c r="D39" s="303"/>
      <c r="E39" s="303"/>
      <c r="F39" s="303"/>
      <c r="G39" s="303"/>
      <c r="H39" s="303"/>
      <c r="I39" s="303"/>
      <c r="J39" s="303"/>
      <c r="K39" s="303"/>
      <c r="L39" s="303"/>
      <c r="M39" s="303"/>
      <c r="N39" s="303"/>
      <c r="O39" s="303"/>
      <c r="P39" s="303"/>
    </row>
    <row r="40" spans="1:16" ht="51.75" customHeight="1" x14ac:dyDescent="0.2">
      <c r="A40" s="302"/>
      <c r="B40" s="302"/>
      <c r="C40" s="302"/>
      <c r="D40" s="302"/>
      <c r="E40" s="302"/>
      <c r="F40" s="302"/>
      <c r="G40" s="302"/>
      <c r="H40" s="302"/>
      <c r="I40" s="302"/>
      <c r="J40" s="302"/>
      <c r="K40" s="302"/>
      <c r="L40" s="302"/>
      <c r="M40" s="302"/>
      <c r="N40" s="302"/>
      <c r="O40" s="302"/>
      <c r="P40" s="302"/>
    </row>
    <row r="41" spans="1:16" ht="51.75" customHeight="1" x14ac:dyDescent="0.2">
      <c r="A41" s="303"/>
      <c r="B41" s="303"/>
      <c r="C41" s="303"/>
      <c r="D41" s="303"/>
      <c r="E41" s="303"/>
      <c r="F41" s="303"/>
      <c r="G41" s="303"/>
      <c r="H41" s="303"/>
      <c r="I41" s="303"/>
      <c r="J41" s="303"/>
      <c r="K41" s="303"/>
      <c r="L41" s="303"/>
      <c r="M41" s="303"/>
      <c r="N41" s="303"/>
      <c r="O41" s="303"/>
      <c r="P41" s="303"/>
    </row>
    <row r="42" spans="1:16" ht="51.75" customHeight="1" x14ac:dyDescent="0.2">
      <c r="A42" s="302"/>
      <c r="B42" s="302"/>
      <c r="C42" s="302"/>
      <c r="D42" s="302"/>
      <c r="E42" s="302"/>
      <c r="F42" s="302"/>
      <c r="G42" s="302"/>
      <c r="H42" s="302"/>
      <c r="I42" s="302"/>
      <c r="J42" s="302"/>
      <c r="K42" s="302"/>
      <c r="L42" s="302"/>
      <c r="M42" s="302"/>
      <c r="N42" s="302"/>
      <c r="O42" s="302"/>
      <c r="P42" s="302"/>
    </row>
    <row r="43" spans="1:16" ht="51.75" customHeight="1" x14ac:dyDescent="0.2">
      <c r="A43" s="303"/>
      <c r="B43" s="303"/>
      <c r="C43" s="303"/>
      <c r="D43" s="303"/>
      <c r="E43" s="303"/>
      <c r="F43" s="303"/>
      <c r="G43" s="303"/>
      <c r="H43" s="303"/>
      <c r="I43" s="303"/>
      <c r="J43" s="303"/>
      <c r="K43" s="303"/>
      <c r="L43" s="303"/>
      <c r="M43" s="303"/>
      <c r="N43" s="303"/>
      <c r="O43" s="303"/>
      <c r="P43" s="303"/>
    </row>
    <row r="44" spans="1:16" ht="51.75" customHeight="1" x14ac:dyDescent="0.2">
      <c r="A44" s="302"/>
      <c r="B44" s="302"/>
      <c r="C44" s="302"/>
      <c r="D44" s="302"/>
      <c r="E44" s="302"/>
      <c r="F44" s="302"/>
      <c r="G44" s="302"/>
      <c r="H44" s="302"/>
      <c r="I44" s="302"/>
      <c r="J44" s="302"/>
      <c r="K44" s="302"/>
      <c r="L44" s="302"/>
      <c r="M44" s="302"/>
      <c r="N44" s="302"/>
      <c r="O44" s="302"/>
      <c r="P44" s="302"/>
    </row>
    <row r="45" spans="1:16" ht="51.75" customHeight="1" x14ac:dyDescent="0.2">
      <c r="A45" s="303"/>
      <c r="B45" s="303"/>
      <c r="C45" s="303"/>
      <c r="D45" s="303"/>
      <c r="E45" s="303"/>
      <c r="F45" s="303"/>
      <c r="G45" s="303"/>
      <c r="H45" s="303"/>
      <c r="I45" s="303"/>
      <c r="J45" s="303"/>
      <c r="K45" s="303"/>
      <c r="L45" s="303"/>
      <c r="M45" s="303"/>
      <c r="N45" s="303"/>
      <c r="O45" s="303"/>
      <c r="P45" s="303"/>
    </row>
    <row r="46" spans="1:16" ht="51.75" customHeight="1" x14ac:dyDescent="0.2">
      <c r="A46" s="302"/>
      <c r="B46" s="302"/>
      <c r="C46" s="302"/>
      <c r="D46" s="302"/>
      <c r="E46" s="302"/>
      <c r="F46" s="302"/>
      <c r="G46" s="302"/>
      <c r="H46" s="302"/>
      <c r="I46" s="302"/>
      <c r="J46" s="302"/>
      <c r="K46" s="302"/>
      <c r="L46" s="302"/>
      <c r="M46" s="302"/>
      <c r="N46" s="302"/>
      <c r="O46" s="302"/>
      <c r="P46" s="302"/>
    </row>
    <row r="47" spans="1:16" ht="51.75" customHeight="1" x14ac:dyDescent="0.2">
      <c r="A47" s="303"/>
      <c r="B47" s="303"/>
      <c r="C47" s="303"/>
      <c r="D47" s="303"/>
      <c r="E47" s="303"/>
      <c r="F47" s="303"/>
      <c r="G47" s="303"/>
      <c r="H47" s="303"/>
      <c r="I47" s="303"/>
      <c r="J47" s="303"/>
      <c r="K47" s="303"/>
      <c r="L47" s="303"/>
      <c r="M47" s="303"/>
      <c r="N47" s="303"/>
      <c r="O47" s="303"/>
      <c r="P47" s="303"/>
    </row>
    <row r="48" spans="1:16" ht="51.75" customHeight="1" x14ac:dyDescent="0.2">
      <c r="A48" s="302"/>
      <c r="B48" s="302"/>
      <c r="C48" s="302"/>
      <c r="D48" s="302"/>
      <c r="E48" s="302"/>
      <c r="F48" s="302"/>
      <c r="G48" s="302"/>
      <c r="H48" s="302"/>
      <c r="I48" s="302"/>
      <c r="J48" s="302"/>
      <c r="K48" s="302"/>
      <c r="L48" s="302"/>
      <c r="M48" s="302"/>
      <c r="N48" s="302"/>
      <c r="O48" s="302"/>
      <c r="P48" s="302"/>
    </row>
    <row r="49" spans="1:16" ht="51.75" customHeight="1" x14ac:dyDescent="0.2">
      <c r="A49" s="303"/>
      <c r="B49" s="303"/>
      <c r="C49" s="303"/>
      <c r="D49" s="303"/>
      <c r="E49" s="303"/>
      <c r="F49" s="303"/>
      <c r="G49" s="303"/>
      <c r="H49" s="303"/>
      <c r="I49" s="303"/>
      <c r="J49" s="303"/>
      <c r="K49" s="303"/>
      <c r="L49" s="303"/>
      <c r="M49" s="303"/>
      <c r="N49" s="303"/>
      <c r="O49" s="303"/>
      <c r="P49" s="303"/>
    </row>
    <row r="50" spans="1:16" ht="51.75" customHeight="1" x14ac:dyDescent="0.2">
      <c r="A50" s="302"/>
      <c r="B50" s="302"/>
      <c r="C50" s="302"/>
      <c r="D50" s="302"/>
      <c r="E50" s="302"/>
      <c r="F50" s="302"/>
      <c r="G50" s="302"/>
      <c r="H50" s="302"/>
      <c r="I50" s="302"/>
      <c r="J50" s="302"/>
      <c r="K50" s="302"/>
      <c r="L50" s="302"/>
      <c r="M50" s="302"/>
      <c r="N50" s="302"/>
      <c r="O50" s="302"/>
      <c r="P50" s="302"/>
    </row>
    <row r="51" spans="1:16" ht="51.75" customHeight="1" x14ac:dyDescent="0.2">
      <c r="A51" s="303"/>
      <c r="B51" s="303"/>
      <c r="C51" s="303"/>
      <c r="D51" s="303"/>
      <c r="E51" s="303"/>
      <c r="F51" s="303"/>
      <c r="G51" s="303"/>
      <c r="H51" s="303"/>
      <c r="I51" s="303"/>
      <c r="J51" s="303"/>
      <c r="K51" s="303"/>
      <c r="L51" s="303"/>
      <c r="M51" s="303"/>
      <c r="N51" s="303"/>
      <c r="O51" s="303"/>
      <c r="P51" s="303"/>
    </row>
    <row r="52" spans="1:16" ht="51.75" customHeight="1" x14ac:dyDescent="0.2">
      <c r="A52" s="302"/>
      <c r="B52" s="302"/>
      <c r="C52" s="302"/>
      <c r="D52" s="302"/>
      <c r="E52" s="302"/>
      <c r="F52" s="302"/>
      <c r="G52" s="302"/>
      <c r="H52" s="302"/>
      <c r="I52" s="302"/>
      <c r="J52" s="302"/>
      <c r="K52" s="302"/>
      <c r="L52" s="302"/>
      <c r="M52" s="302"/>
      <c r="N52" s="302"/>
      <c r="O52" s="302"/>
      <c r="P52" s="302"/>
    </row>
    <row r="53" spans="1:16" ht="51.75" customHeight="1" x14ac:dyDescent="0.2">
      <c r="A53" s="303"/>
      <c r="B53" s="303"/>
      <c r="C53" s="303"/>
      <c r="D53" s="303"/>
      <c r="E53" s="303"/>
      <c r="F53" s="303"/>
      <c r="G53" s="303"/>
      <c r="H53" s="303"/>
      <c r="I53" s="303"/>
      <c r="J53" s="303"/>
      <c r="K53" s="303"/>
      <c r="L53" s="303"/>
      <c r="M53" s="303"/>
      <c r="N53" s="303"/>
      <c r="O53" s="303"/>
      <c r="P53" s="303"/>
    </row>
    <row r="54" spans="1:16" ht="51.75" customHeight="1" x14ac:dyDescent="0.2">
      <c r="A54" s="302"/>
      <c r="B54" s="302"/>
      <c r="C54" s="302"/>
      <c r="D54" s="302"/>
      <c r="E54" s="302"/>
      <c r="F54" s="302"/>
      <c r="G54" s="302"/>
      <c r="H54" s="302"/>
      <c r="I54" s="302"/>
      <c r="J54" s="302"/>
      <c r="K54" s="302"/>
      <c r="L54" s="302"/>
      <c r="M54" s="302"/>
      <c r="N54" s="302"/>
      <c r="O54" s="302"/>
      <c r="P54" s="302"/>
    </row>
    <row r="55" spans="1:16" ht="51.75" customHeight="1" x14ac:dyDescent="0.2">
      <c r="A55" s="303"/>
      <c r="B55" s="303"/>
      <c r="C55" s="303"/>
      <c r="D55" s="303"/>
      <c r="E55" s="303"/>
      <c r="F55" s="303"/>
      <c r="G55" s="303"/>
      <c r="H55" s="303"/>
      <c r="I55" s="303"/>
      <c r="J55" s="303"/>
      <c r="K55" s="303"/>
      <c r="L55" s="303"/>
      <c r="M55" s="303"/>
      <c r="N55" s="303"/>
      <c r="O55" s="303"/>
      <c r="P55" s="303"/>
    </row>
    <row r="56" spans="1:16" ht="51.75" customHeight="1" x14ac:dyDescent="0.2">
      <c r="A56" s="302"/>
      <c r="B56" s="302"/>
      <c r="C56" s="302"/>
      <c r="D56" s="302"/>
      <c r="E56" s="302"/>
      <c r="F56" s="302"/>
      <c r="G56" s="302"/>
      <c r="H56" s="302"/>
      <c r="I56" s="302"/>
      <c r="J56" s="302"/>
      <c r="K56" s="302"/>
      <c r="L56" s="302"/>
      <c r="M56" s="302"/>
      <c r="N56" s="302"/>
      <c r="O56" s="302"/>
      <c r="P56" s="302"/>
    </row>
    <row r="57" spans="1:16" ht="51.75" customHeight="1" x14ac:dyDescent="0.2">
      <c r="A57" s="303"/>
      <c r="B57" s="303"/>
      <c r="C57" s="303"/>
      <c r="D57" s="303"/>
      <c r="E57" s="303"/>
      <c r="F57" s="303"/>
      <c r="G57" s="303"/>
      <c r="H57" s="303"/>
      <c r="I57" s="303"/>
      <c r="J57" s="303"/>
      <c r="K57" s="303"/>
      <c r="L57" s="303"/>
      <c r="M57" s="303"/>
      <c r="N57" s="303"/>
      <c r="O57" s="303"/>
      <c r="P57" s="303"/>
    </row>
    <row r="58" spans="1:16" ht="51.75" customHeight="1" x14ac:dyDescent="0.2">
      <c r="A58" s="302"/>
      <c r="B58" s="302"/>
      <c r="C58" s="302"/>
      <c r="D58" s="302"/>
      <c r="E58" s="302"/>
      <c r="F58" s="302"/>
      <c r="G58" s="302"/>
      <c r="H58" s="302"/>
      <c r="I58" s="302"/>
      <c r="J58" s="302"/>
      <c r="K58" s="302"/>
      <c r="L58" s="302"/>
      <c r="M58" s="302"/>
      <c r="N58" s="302"/>
      <c r="O58" s="302"/>
      <c r="P58" s="302"/>
    </row>
    <row r="59" spans="1:16" ht="51.75" customHeight="1" x14ac:dyDescent="0.2">
      <c r="A59" s="303"/>
      <c r="B59" s="303"/>
      <c r="C59" s="303"/>
      <c r="D59" s="303"/>
      <c r="E59" s="303"/>
      <c r="F59" s="303"/>
      <c r="G59" s="303"/>
      <c r="H59" s="303"/>
      <c r="I59" s="303"/>
      <c r="J59" s="303"/>
      <c r="K59" s="303"/>
      <c r="L59" s="303"/>
      <c r="M59" s="303"/>
      <c r="N59" s="303"/>
      <c r="O59" s="303"/>
      <c r="P59" s="303"/>
    </row>
    <row r="60" spans="1:16" ht="51.75" customHeight="1" x14ac:dyDescent="0.2">
      <c r="A60" s="302"/>
      <c r="B60" s="302"/>
      <c r="C60" s="302"/>
      <c r="D60" s="302"/>
      <c r="E60" s="302"/>
      <c r="F60" s="302"/>
      <c r="G60" s="302"/>
      <c r="H60" s="302"/>
      <c r="I60" s="302"/>
      <c r="J60" s="302"/>
      <c r="K60" s="302"/>
      <c r="L60" s="302"/>
      <c r="M60" s="302"/>
      <c r="N60" s="302"/>
      <c r="O60" s="302"/>
      <c r="P60" s="302"/>
    </row>
    <row r="61" spans="1:16" ht="51.75" customHeight="1" x14ac:dyDescent="0.2">
      <c r="A61" s="303"/>
      <c r="B61" s="303"/>
      <c r="C61" s="303"/>
      <c r="D61" s="303"/>
      <c r="E61" s="303"/>
      <c r="F61" s="303"/>
      <c r="G61" s="303"/>
      <c r="H61" s="303"/>
      <c r="I61" s="303"/>
      <c r="J61" s="303"/>
      <c r="K61" s="303"/>
      <c r="L61" s="303"/>
      <c r="M61" s="303"/>
      <c r="N61" s="303"/>
      <c r="O61" s="303"/>
      <c r="P61" s="303"/>
    </row>
    <row r="62" spans="1:16" ht="51.75" customHeight="1" x14ac:dyDescent="0.2">
      <c r="A62" s="302"/>
      <c r="B62" s="302"/>
      <c r="C62" s="302"/>
      <c r="D62" s="302"/>
      <c r="E62" s="302"/>
      <c r="F62" s="302"/>
      <c r="G62" s="302"/>
      <c r="H62" s="302"/>
      <c r="I62" s="302"/>
      <c r="J62" s="302"/>
      <c r="K62" s="302"/>
      <c r="L62" s="302"/>
      <c r="M62" s="302"/>
      <c r="N62" s="302"/>
      <c r="O62" s="302"/>
      <c r="P62" s="302"/>
    </row>
    <row r="63" spans="1:16" ht="51.75" customHeight="1" x14ac:dyDescent="0.2">
      <c r="A63" s="303"/>
      <c r="B63" s="303"/>
      <c r="C63" s="303"/>
      <c r="D63" s="303"/>
      <c r="E63" s="303"/>
      <c r="F63" s="303"/>
      <c r="G63" s="303"/>
      <c r="H63" s="303"/>
      <c r="I63" s="303"/>
      <c r="J63" s="303"/>
      <c r="K63" s="303"/>
      <c r="L63" s="303"/>
      <c r="M63" s="303"/>
      <c r="N63" s="303"/>
      <c r="O63" s="303"/>
      <c r="P63" s="303"/>
    </row>
    <row r="64" spans="1:16" ht="51.75" customHeight="1" x14ac:dyDescent="0.2">
      <c r="A64" s="302"/>
      <c r="B64" s="302"/>
      <c r="C64" s="302"/>
      <c r="D64" s="302"/>
      <c r="E64" s="302"/>
      <c r="F64" s="302"/>
      <c r="G64" s="302"/>
      <c r="H64" s="302"/>
      <c r="I64" s="302"/>
      <c r="J64" s="302"/>
      <c r="K64" s="302"/>
      <c r="L64" s="302"/>
      <c r="M64" s="302"/>
      <c r="N64" s="302"/>
      <c r="O64" s="302"/>
      <c r="P64" s="302"/>
    </row>
    <row r="65" spans="1:16" ht="51.75" customHeight="1" x14ac:dyDescent="0.2">
      <c r="A65" s="303"/>
      <c r="B65" s="303"/>
      <c r="C65" s="303"/>
      <c r="D65" s="303"/>
      <c r="E65" s="303"/>
      <c r="F65" s="303"/>
      <c r="G65" s="303"/>
      <c r="H65" s="303"/>
      <c r="I65" s="303"/>
      <c r="J65" s="303"/>
      <c r="K65" s="303"/>
      <c r="L65" s="303"/>
      <c r="M65" s="303"/>
      <c r="N65" s="303"/>
      <c r="O65" s="303"/>
      <c r="P65" s="303"/>
    </row>
    <row r="66" spans="1:16" ht="51.75" customHeight="1" x14ac:dyDescent="0.2">
      <c r="A66" s="302"/>
      <c r="B66" s="302"/>
      <c r="C66" s="302"/>
      <c r="D66" s="302"/>
      <c r="E66" s="302"/>
      <c r="F66" s="302"/>
      <c r="G66" s="302"/>
      <c r="H66" s="302"/>
      <c r="I66" s="302"/>
      <c r="J66" s="302"/>
      <c r="K66" s="302"/>
      <c r="L66" s="302"/>
      <c r="M66" s="302"/>
      <c r="N66" s="302"/>
      <c r="O66" s="302"/>
      <c r="P66" s="302"/>
    </row>
    <row r="67" spans="1:16" ht="51.75" customHeight="1" x14ac:dyDescent="0.2">
      <c r="A67" s="303"/>
      <c r="B67" s="303"/>
      <c r="C67" s="303"/>
      <c r="D67" s="303"/>
      <c r="E67" s="303"/>
      <c r="F67" s="303"/>
      <c r="G67" s="303"/>
      <c r="H67" s="303"/>
      <c r="I67" s="303"/>
      <c r="J67" s="303"/>
      <c r="K67" s="303"/>
      <c r="L67" s="303"/>
      <c r="M67" s="303"/>
      <c r="N67" s="303"/>
      <c r="O67" s="303"/>
      <c r="P67" s="303"/>
    </row>
    <row r="68" spans="1:16" ht="51.75" customHeight="1" x14ac:dyDescent="0.2">
      <c r="A68" s="302"/>
      <c r="B68" s="302"/>
      <c r="C68" s="302"/>
      <c r="D68" s="302"/>
      <c r="E68" s="302"/>
      <c r="F68" s="302"/>
      <c r="G68" s="302"/>
      <c r="H68" s="302"/>
      <c r="I68" s="302"/>
      <c r="J68" s="302"/>
      <c r="K68" s="302"/>
      <c r="L68" s="302"/>
      <c r="M68" s="302"/>
      <c r="N68" s="302"/>
      <c r="O68" s="302"/>
      <c r="P68" s="302"/>
    </row>
    <row r="69" spans="1:16" ht="51.75" customHeight="1" x14ac:dyDescent="0.2">
      <c r="A69" s="303"/>
      <c r="B69" s="303"/>
      <c r="C69" s="303"/>
      <c r="D69" s="303"/>
      <c r="E69" s="303"/>
      <c r="F69" s="303"/>
      <c r="G69" s="303"/>
      <c r="H69" s="303"/>
      <c r="I69" s="303"/>
      <c r="J69" s="303"/>
      <c r="K69" s="303"/>
      <c r="L69" s="303"/>
      <c r="M69" s="303"/>
      <c r="N69" s="303"/>
      <c r="O69" s="303"/>
      <c r="P69" s="303"/>
    </row>
    <row r="70" spans="1:16" ht="51.75" customHeight="1" x14ac:dyDescent="0.2">
      <c r="A70" s="302"/>
      <c r="B70" s="302"/>
      <c r="C70" s="302"/>
      <c r="D70" s="302"/>
      <c r="E70" s="302"/>
      <c r="F70" s="302"/>
      <c r="G70" s="302"/>
      <c r="H70" s="302"/>
      <c r="I70" s="302"/>
      <c r="J70" s="302"/>
      <c r="K70" s="302"/>
      <c r="L70" s="302"/>
      <c r="M70" s="302"/>
      <c r="N70" s="302"/>
      <c r="O70" s="302"/>
      <c r="P70" s="302"/>
    </row>
    <row r="71" spans="1:16" ht="51.75" customHeight="1" x14ac:dyDescent="0.2">
      <c r="A71" s="303"/>
      <c r="B71" s="303"/>
      <c r="C71" s="303"/>
      <c r="D71" s="303"/>
      <c r="E71" s="303"/>
      <c r="F71" s="303"/>
      <c r="G71" s="303"/>
      <c r="H71" s="303"/>
      <c r="I71" s="303"/>
      <c r="J71" s="303"/>
      <c r="K71" s="303"/>
      <c r="L71" s="303"/>
      <c r="M71" s="303"/>
      <c r="N71" s="303"/>
      <c r="O71" s="303"/>
      <c r="P71" s="303"/>
    </row>
    <row r="72" spans="1:16" ht="51.75" customHeight="1" x14ac:dyDescent="0.2">
      <c r="A72" s="302"/>
      <c r="B72" s="302"/>
      <c r="C72" s="302"/>
      <c r="D72" s="302"/>
      <c r="E72" s="302"/>
      <c r="F72" s="302"/>
      <c r="G72" s="302"/>
      <c r="H72" s="302"/>
      <c r="I72" s="302"/>
      <c r="J72" s="302"/>
      <c r="K72" s="302"/>
      <c r="L72" s="302"/>
      <c r="M72" s="302"/>
      <c r="N72" s="302"/>
      <c r="O72" s="302"/>
      <c r="P72" s="302"/>
    </row>
    <row r="73" spans="1:16" ht="51.75" customHeight="1" x14ac:dyDescent="0.2">
      <c r="A73" s="303"/>
      <c r="B73" s="303"/>
      <c r="C73" s="303"/>
      <c r="D73" s="303"/>
      <c r="E73" s="303"/>
      <c r="F73" s="303"/>
      <c r="G73" s="303"/>
      <c r="H73" s="303"/>
      <c r="I73" s="303"/>
      <c r="J73" s="303"/>
      <c r="K73" s="303"/>
      <c r="L73" s="303"/>
      <c r="M73" s="303"/>
      <c r="N73" s="303"/>
      <c r="O73" s="303"/>
      <c r="P73" s="303"/>
    </row>
    <row r="74" spans="1:16" ht="51.75" customHeight="1" x14ac:dyDescent="0.2">
      <c r="A74" s="302"/>
      <c r="B74" s="302"/>
      <c r="C74" s="302"/>
      <c r="D74" s="302"/>
      <c r="E74" s="302"/>
      <c r="F74" s="302"/>
      <c r="G74" s="302"/>
      <c r="H74" s="302"/>
      <c r="I74" s="302"/>
      <c r="J74" s="302"/>
      <c r="K74" s="302"/>
      <c r="L74" s="302"/>
      <c r="M74" s="302"/>
      <c r="N74" s="302"/>
      <c r="O74" s="302"/>
      <c r="P74" s="302"/>
    </row>
    <row r="75" spans="1:16" ht="51.75" customHeight="1" x14ac:dyDescent="0.2">
      <c r="A75" s="303"/>
      <c r="B75" s="303"/>
      <c r="C75" s="303"/>
      <c r="D75" s="303"/>
      <c r="E75" s="303"/>
      <c r="F75" s="303"/>
      <c r="G75" s="303"/>
      <c r="H75" s="303"/>
      <c r="I75" s="303"/>
      <c r="J75" s="303"/>
      <c r="K75" s="303"/>
      <c r="L75" s="303"/>
      <c r="M75" s="303"/>
      <c r="N75" s="303"/>
      <c r="O75" s="303"/>
      <c r="P75" s="303"/>
    </row>
    <row r="76" spans="1:16" ht="51.75" customHeight="1" x14ac:dyDescent="0.2">
      <c r="A76" s="302"/>
      <c r="B76" s="302"/>
      <c r="C76" s="302"/>
      <c r="D76" s="302"/>
      <c r="E76" s="302"/>
      <c r="F76" s="302"/>
      <c r="G76" s="302"/>
      <c r="H76" s="302"/>
      <c r="I76" s="302"/>
      <c r="J76" s="302"/>
      <c r="K76" s="302"/>
      <c r="L76" s="302"/>
      <c r="M76" s="302"/>
      <c r="N76" s="302"/>
      <c r="O76" s="302"/>
      <c r="P76" s="302"/>
    </row>
    <row r="77" spans="1:16" ht="51.75" customHeight="1" x14ac:dyDescent="0.2">
      <c r="A77" s="303"/>
      <c r="B77" s="303"/>
      <c r="C77" s="303"/>
      <c r="D77" s="303"/>
      <c r="E77" s="303"/>
      <c r="F77" s="303"/>
      <c r="G77" s="303"/>
      <c r="H77" s="303"/>
      <c r="I77" s="303"/>
      <c r="J77" s="303"/>
      <c r="K77" s="303"/>
      <c r="L77" s="303"/>
      <c r="M77" s="303"/>
      <c r="N77" s="303"/>
      <c r="O77" s="303"/>
      <c r="P77" s="303"/>
    </row>
    <row r="78" spans="1:16" ht="51.75" customHeight="1" x14ac:dyDescent="0.2">
      <c r="A78" s="302"/>
      <c r="B78" s="302"/>
      <c r="C78" s="302"/>
      <c r="D78" s="302"/>
      <c r="E78" s="302"/>
      <c r="F78" s="302"/>
      <c r="G78" s="302"/>
      <c r="H78" s="302"/>
      <c r="I78" s="302"/>
      <c r="J78" s="302"/>
      <c r="K78" s="302"/>
      <c r="L78" s="302"/>
      <c r="M78" s="302"/>
      <c r="N78" s="302"/>
      <c r="O78" s="302"/>
      <c r="P78" s="302"/>
    </row>
    <row r="79" spans="1:16" ht="51.75" customHeight="1" x14ac:dyDescent="0.2">
      <c r="A79" s="303"/>
      <c r="B79" s="303"/>
      <c r="C79" s="303"/>
      <c r="D79" s="303"/>
      <c r="E79" s="303"/>
      <c r="F79" s="303"/>
      <c r="G79" s="303"/>
      <c r="H79" s="303"/>
      <c r="I79" s="303"/>
      <c r="J79" s="303"/>
      <c r="K79" s="303"/>
      <c r="L79" s="303"/>
      <c r="M79" s="303"/>
      <c r="N79" s="303"/>
      <c r="O79" s="303"/>
      <c r="P79" s="303"/>
    </row>
    <row r="80" spans="1:16" ht="51.75" customHeight="1" x14ac:dyDescent="0.2">
      <c r="A80" s="302"/>
      <c r="B80" s="302"/>
      <c r="C80" s="302"/>
      <c r="D80" s="302"/>
      <c r="E80" s="302"/>
      <c r="F80" s="302"/>
      <c r="G80" s="302"/>
      <c r="H80" s="302"/>
      <c r="I80" s="302"/>
      <c r="J80" s="302"/>
      <c r="K80" s="302"/>
      <c r="L80" s="302"/>
      <c r="M80" s="302"/>
      <c r="N80" s="302"/>
      <c r="O80" s="302"/>
      <c r="P80" s="302"/>
    </row>
    <row r="81" spans="1:16" ht="99.75" customHeight="1" x14ac:dyDescent="0.2">
      <c r="A81" s="304">
        <v>77</v>
      </c>
      <c r="B81" s="304" t="s">
        <v>1600</v>
      </c>
      <c r="C81" s="305" t="s">
        <v>1719</v>
      </c>
      <c r="D81" s="306" t="s">
        <v>1720</v>
      </c>
      <c r="E81" s="304" t="s">
        <v>1603</v>
      </c>
      <c r="F81" s="304" t="s">
        <v>1604</v>
      </c>
      <c r="G81" s="304" t="s">
        <v>1728</v>
      </c>
      <c r="H81" s="304" t="s">
        <v>1729</v>
      </c>
      <c r="I81" s="304" t="s">
        <v>1730</v>
      </c>
      <c r="J81" s="304" t="s">
        <v>1731</v>
      </c>
      <c r="K81" s="304"/>
      <c r="L81" s="307" t="s">
        <v>1732</v>
      </c>
      <c r="M81" s="304" t="s">
        <v>1733</v>
      </c>
      <c r="N81" s="304" t="s">
        <v>1666</v>
      </c>
      <c r="O81" s="308" t="s">
        <v>1645</v>
      </c>
      <c r="P81" s="304" t="s">
        <v>1734</v>
      </c>
    </row>
    <row r="82" spans="1:16" ht="99.75" customHeight="1" x14ac:dyDescent="0.2">
      <c r="A82" s="304">
        <v>78</v>
      </c>
      <c r="B82" s="304" t="s">
        <v>1600</v>
      </c>
      <c r="C82" s="305" t="s">
        <v>1719</v>
      </c>
      <c r="D82" s="306" t="s">
        <v>1720</v>
      </c>
      <c r="E82" s="304" t="s">
        <v>1721</v>
      </c>
      <c r="F82" s="304" t="s">
        <v>1722</v>
      </c>
      <c r="G82" s="304" t="s">
        <v>1719</v>
      </c>
      <c r="H82" s="304" t="s">
        <v>1735</v>
      </c>
      <c r="I82" s="304" t="s">
        <v>1724</v>
      </c>
      <c r="J82" s="304"/>
      <c r="K82" s="304"/>
      <c r="L82" s="307" t="s">
        <v>1736</v>
      </c>
      <c r="M82" s="304" t="s">
        <v>1737</v>
      </c>
      <c r="N82" s="304" t="s">
        <v>1666</v>
      </c>
      <c r="O82" s="308" t="s">
        <v>1645</v>
      </c>
      <c r="P82" s="304" t="s">
        <v>1738</v>
      </c>
    </row>
  </sheetData>
  <mergeCells count="4">
    <mergeCell ref="A2:P2"/>
    <mergeCell ref="A1:P1"/>
    <mergeCell ref="A3:H3"/>
    <mergeCell ref="I3:P3"/>
  </mergeCells>
  <dataValidations count="5">
    <dataValidation type="list" allowBlank="1" sqref="C5:C80" xr:uid="{00000000-0002-0000-0500-000000000000}">
      <formula1>"Track 1,Track 2"</formula1>
      <formula2>0</formula2>
    </dataValidation>
    <dataValidation type="list" allowBlank="1" sqref="G5:G80" xr:uid="{00000000-0002-0000-0500-000001000000}">
      <formula1>"LinkedIn,Email,Phone Call,Video Call,In-Person,Text,Referral,Event,Other"</formula1>
      <formula2>0</formula2>
    </dataValidation>
    <dataValidation type="list" allowBlank="1" sqref="H5:H80" xr:uid="{00000000-0002-0000-0500-000002000000}">
      <formula1>"First Touch,Follow-Up,Discovery Call,Proposal,Pilot Discussion,Negotiation,Check-In,Referral Ask,Meeting,Other"</formula1>
      <formula2>0</formula2>
    </dataValidation>
    <dataValidation type="list" allowBlank="1" sqref="I5:I80" xr:uid="{00000000-0002-0000-0500-000003000000}">
      <formula1>"No Response,Opened,Replied – Positive,Replied – Neutral,Replied – Negative,Call Scheduled,Call Complete,Meeting Complete,Proposal Requested,Pilot Agreed,Stalled,Not a Fit"</formula1>
      <formula2>0</formula2>
    </dataValidation>
    <dataValidation type="list" allowBlank="1" sqref="O5:O80" xr:uid="{00000000-0002-0000-0500-000004000000}">
      <formula1>"Not Started,Researching,Contacted,Replied,Call Scheduled,Discovery Done,Proposal Sent,Negotiating,Pilot Closed,Stalled,Not a Fit"</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9"/>
  <sheetViews>
    <sheetView showGridLines="0" zoomScaleNormal="100" workbookViewId="0">
      <pane ySplit="3" topLeftCell="A4" activePane="bottomLeft" state="frozen"/>
      <selection pane="bottomLeft"/>
    </sheetView>
  </sheetViews>
  <sheetFormatPr baseColWidth="10" defaultColWidth="8.6640625" defaultRowHeight="15" x14ac:dyDescent="0.2"/>
  <cols>
    <col min="1" max="1" width="22" customWidth="1"/>
    <col min="2" max="2" width="8" customWidth="1"/>
    <col min="3" max="3" width="13" customWidth="1"/>
    <col min="4" max="4" width="8" customWidth="1"/>
    <col min="5" max="5" width="11" customWidth="1"/>
    <col min="6" max="6" width="14" customWidth="1"/>
    <col min="7" max="7" width="35" customWidth="1"/>
    <col min="8" max="8" width="24" customWidth="1"/>
    <col min="9" max="9" width="10" customWidth="1"/>
    <col min="10" max="10" width="22" customWidth="1"/>
  </cols>
  <sheetData>
    <row r="1" spans="1:10" ht="37.5" customHeight="1" x14ac:dyDescent="0.2">
      <c r="A1" s="449" t="s">
        <v>1739</v>
      </c>
      <c r="B1" s="435"/>
      <c r="C1" s="435"/>
      <c r="D1" s="435"/>
      <c r="E1" s="435"/>
      <c r="F1" s="435"/>
      <c r="G1" s="435"/>
      <c r="H1" s="435"/>
      <c r="I1" s="435"/>
      <c r="J1" s="435"/>
    </row>
    <row r="2" spans="1:10" ht="15.75" customHeight="1" x14ac:dyDescent="0.2">
      <c r="A2" s="460" t="s">
        <v>1740</v>
      </c>
      <c r="B2" s="435"/>
      <c r="C2" s="435"/>
      <c r="D2" s="435"/>
      <c r="E2" s="435"/>
      <c r="F2" s="435"/>
      <c r="G2" s="435"/>
      <c r="H2" s="435"/>
      <c r="I2" s="435"/>
      <c r="J2" s="435"/>
    </row>
    <row r="3" spans="1:10" ht="37.5" customHeight="1" x14ac:dyDescent="0.2">
      <c r="A3" s="64" t="s">
        <v>360</v>
      </c>
      <c r="B3" s="64" t="s">
        <v>1583</v>
      </c>
      <c r="C3" s="64" t="s">
        <v>83</v>
      </c>
      <c r="D3" s="64" t="s">
        <v>1741</v>
      </c>
      <c r="E3" s="64" t="s">
        <v>1742</v>
      </c>
      <c r="F3" s="64" t="s">
        <v>1743</v>
      </c>
      <c r="G3" s="64" t="s">
        <v>1744</v>
      </c>
      <c r="H3" s="64" t="s">
        <v>1745</v>
      </c>
      <c r="I3" s="64" t="s">
        <v>1746</v>
      </c>
      <c r="J3" s="64" t="s">
        <v>1747</v>
      </c>
    </row>
    <row r="4" spans="1:10" ht="60" customHeight="1" x14ac:dyDescent="0.2">
      <c r="A4" s="309" t="s">
        <v>523</v>
      </c>
      <c r="B4" s="309" t="s">
        <v>660</v>
      </c>
      <c r="C4" s="293" t="s">
        <v>1625</v>
      </c>
      <c r="D4" s="309">
        <v>1</v>
      </c>
      <c r="E4" s="309" t="s">
        <v>1600</v>
      </c>
      <c r="F4" s="309" t="s">
        <v>1748</v>
      </c>
      <c r="G4" s="292" t="s">
        <v>1749</v>
      </c>
      <c r="H4" s="309"/>
      <c r="I4" s="310" t="s">
        <v>1750</v>
      </c>
      <c r="J4" s="311" t="s">
        <v>1751</v>
      </c>
    </row>
    <row r="5" spans="1:10" ht="60" customHeight="1" x14ac:dyDescent="0.2">
      <c r="A5" s="309" t="s">
        <v>550</v>
      </c>
      <c r="B5" s="309" t="s">
        <v>660</v>
      </c>
      <c r="C5" s="293" t="s">
        <v>1625</v>
      </c>
      <c r="D5" s="309">
        <v>0</v>
      </c>
      <c r="E5" s="309"/>
      <c r="F5" s="309" t="s">
        <v>1752</v>
      </c>
      <c r="G5" s="292" t="s">
        <v>1753</v>
      </c>
      <c r="H5" s="309"/>
      <c r="I5" s="312" t="s">
        <v>1754</v>
      </c>
      <c r="J5" s="311" t="s">
        <v>1755</v>
      </c>
    </row>
    <row r="6" spans="1:10" ht="60" customHeight="1" x14ac:dyDescent="0.2">
      <c r="A6" s="309" t="s">
        <v>504</v>
      </c>
      <c r="B6" s="309" t="s">
        <v>659</v>
      </c>
      <c r="C6" s="294" t="s">
        <v>1601</v>
      </c>
      <c r="D6" s="309">
        <v>1</v>
      </c>
      <c r="E6" s="309" t="s">
        <v>1613</v>
      </c>
      <c r="F6" s="309" t="s">
        <v>1756</v>
      </c>
      <c r="G6" s="292" t="s">
        <v>1757</v>
      </c>
      <c r="H6" s="309"/>
      <c r="I6" s="312" t="s">
        <v>1754</v>
      </c>
      <c r="J6" s="311" t="s">
        <v>1758</v>
      </c>
    </row>
    <row r="7" spans="1:10" ht="60" customHeight="1" x14ac:dyDescent="0.2">
      <c r="A7" s="309" t="s">
        <v>516</v>
      </c>
      <c r="B7" s="309" t="s">
        <v>659</v>
      </c>
      <c r="C7" s="309" t="s">
        <v>703</v>
      </c>
      <c r="D7" s="309">
        <v>0</v>
      </c>
      <c r="E7" s="309"/>
      <c r="F7" s="309" t="s">
        <v>1752</v>
      </c>
      <c r="G7" s="292" t="s">
        <v>1759</v>
      </c>
      <c r="H7" s="309"/>
      <c r="I7" s="312" t="s">
        <v>1754</v>
      </c>
      <c r="J7" s="311" t="s">
        <v>1760</v>
      </c>
    </row>
    <row r="8" spans="1:10" ht="60" customHeight="1" x14ac:dyDescent="0.2">
      <c r="A8" s="309" t="s">
        <v>508</v>
      </c>
      <c r="B8" s="309" t="s">
        <v>659</v>
      </c>
      <c r="C8" s="313" t="s">
        <v>1761</v>
      </c>
      <c r="D8" s="309">
        <v>2</v>
      </c>
      <c r="E8" s="309" t="s">
        <v>1619</v>
      </c>
      <c r="F8" s="309" t="s">
        <v>1762</v>
      </c>
      <c r="G8" s="292" t="s">
        <v>1763</v>
      </c>
      <c r="H8" s="292" t="s">
        <v>1764</v>
      </c>
      <c r="I8" s="314" t="s">
        <v>1765</v>
      </c>
      <c r="J8" s="311" t="s">
        <v>1766</v>
      </c>
    </row>
    <row r="9" spans="1:10" ht="60" customHeight="1" x14ac:dyDescent="0.2">
      <c r="A9" s="309" t="s">
        <v>512</v>
      </c>
      <c r="B9" s="309" t="s">
        <v>659</v>
      </c>
      <c r="C9" s="309" t="s">
        <v>703</v>
      </c>
      <c r="D9" s="309">
        <v>0</v>
      </c>
      <c r="E9" s="309"/>
      <c r="F9" s="309" t="s">
        <v>1752</v>
      </c>
      <c r="G9" s="292" t="s">
        <v>1767</v>
      </c>
      <c r="H9" s="309"/>
      <c r="I9" s="312" t="s">
        <v>1754</v>
      </c>
      <c r="J9" s="311" t="s">
        <v>1768</v>
      </c>
    </row>
    <row r="10" spans="1:10" ht="60" customHeight="1" x14ac:dyDescent="0.2">
      <c r="A10" s="309" t="s">
        <v>519</v>
      </c>
      <c r="B10" s="309" t="s">
        <v>659</v>
      </c>
      <c r="C10" s="309" t="s">
        <v>703</v>
      </c>
      <c r="D10" s="309">
        <v>0</v>
      </c>
      <c r="E10" s="309"/>
      <c r="F10" s="309" t="s">
        <v>1752</v>
      </c>
      <c r="G10" s="292" t="s">
        <v>1769</v>
      </c>
      <c r="H10" s="309"/>
      <c r="I10" s="312" t="s">
        <v>1754</v>
      </c>
      <c r="J10" s="311" t="s">
        <v>1770</v>
      </c>
    </row>
    <row r="11" spans="1:10" ht="60" customHeight="1" x14ac:dyDescent="0.2">
      <c r="A11" s="309" t="s">
        <v>499</v>
      </c>
      <c r="B11" s="309" t="s">
        <v>659</v>
      </c>
      <c r="C11" s="309" t="s">
        <v>703</v>
      </c>
      <c r="D11" s="309">
        <v>0</v>
      </c>
      <c r="E11" s="309"/>
      <c r="F11" s="309" t="s">
        <v>1752</v>
      </c>
      <c r="G11" s="292" t="s">
        <v>1771</v>
      </c>
      <c r="H11" s="309"/>
      <c r="I11" s="312" t="s">
        <v>1754</v>
      </c>
      <c r="J11" s="311" t="s">
        <v>1772</v>
      </c>
    </row>
    <row r="12" spans="1:10" ht="60" customHeight="1" x14ac:dyDescent="0.2">
      <c r="A12" s="309" t="s">
        <v>488</v>
      </c>
      <c r="B12" s="309" t="s">
        <v>659</v>
      </c>
      <c r="C12" s="313" t="s">
        <v>1773</v>
      </c>
      <c r="D12" s="309">
        <v>1</v>
      </c>
      <c r="E12" s="309" t="s">
        <v>1592</v>
      </c>
      <c r="F12" s="309" t="s">
        <v>1774</v>
      </c>
      <c r="G12" s="292" t="s">
        <v>1775</v>
      </c>
      <c r="H12" s="292" t="s">
        <v>1776</v>
      </c>
      <c r="I12" s="310" t="s">
        <v>1750</v>
      </c>
      <c r="J12" s="311" t="s">
        <v>1777</v>
      </c>
    </row>
    <row r="13" spans="1:10" ht="60" customHeight="1" x14ac:dyDescent="0.2">
      <c r="A13" s="309" t="s">
        <v>1778</v>
      </c>
      <c r="B13" s="309" t="s">
        <v>1620</v>
      </c>
      <c r="C13" s="293" t="s">
        <v>1625</v>
      </c>
      <c r="D13" s="309">
        <v>0</v>
      </c>
      <c r="E13" s="309"/>
      <c r="F13" s="309" t="s">
        <v>1779</v>
      </c>
      <c r="G13" s="292" t="s">
        <v>1780</v>
      </c>
      <c r="H13" s="309"/>
      <c r="I13" s="310" t="s">
        <v>1750</v>
      </c>
      <c r="J13" s="311" t="s">
        <v>1781</v>
      </c>
    </row>
    <row r="14" spans="1:10" ht="60" customHeight="1" x14ac:dyDescent="0.2">
      <c r="A14" s="309" t="s">
        <v>1782</v>
      </c>
      <c r="B14" s="309" t="s">
        <v>1620</v>
      </c>
      <c r="C14" s="309" t="s">
        <v>1636</v>
      </c>
      <c r="D14" s="309">
        <v>0</v>
      </c>
      <c r="E14" s="309"/>
      <c r="F14" s="309" t="s">
        <v>1783</v>
      </c>
      <c r="G14" s="292" t="s">
        <v>1784</v>
      </c>
      <c r="H14" s="309"/>
      <c r="I14" s="310" t="s">
        <v>1750</v>
      </c>
      <c r="J14" s="311" t="s">
        <v>1785</v>
      </c>
    </row>
    <row r="15" spans="1:10" ht="60" customHeight="1" x14ac:dyDescent="0.2">
      <c r="A15" s="309" t="s">
        <v>1786</v>
      </c>
      <c r="B15" s="309" t="s">
        <v>1620</v>
      </c>
      <c r="C15" s="293" t="s">
        <v>1625</v>
      </c>
      <c r="D15" s="309">
        <v>0</v>
      </c>
      <c r="E15" s="309"/>
      <c r="F15" s="309" t="s">
        <v>1752</v>
      </c>
      <c r="G15" s="292" t="s">
        <v>1787</v>
      </c>
      <c r="H15" s="292" t="s">
        <v>1788</v>
      </c>
      <c r="I15" s="312" t="s">
        <v>1754</v>
      </c>
      <c r="J15" s="311" t="s">
        <v>1789</v>
      </c>
    </row>
    <row r="16" spans="1:10" ht="60" customHeight="1" x14ac:dyDescent="0.2">
      <c r="A16" s="309" t="s">
        <v>1790</v>
      </c>
      <c r="B16" s="309" t="s">
        <v>1620</v>
      </c>
      <c r="C16" s="293" t="s">
        <v>1625</v>
      </c>
      <c r="D16" s="309">
        <v>0</v>
      </c>
      <c r="E16" s="309"/>
      <c r="F16" s="309" t="s">
        <v>1791</v>
      </c>
      <c r="G16" s="292" t="s">
        <v>1792</v>
      </c>
      <c r="H16" s="309"/>
      <c r="I16" s="312" t="s">
        <v>1754</v>
      </c>
      <c r="J16" s="311" t="s">
        <v>1793</v>
      </c>
    </row>
    <row r="17" spans="1:10" ht="60" customHeight="1" x14ac:dyDescent="0.2">
      <c r="A17" s="309" t="s">
        <v>1794</v>
      </c>
      <c r="B17" s="309" t="s">
        <v>1620</v>
      </c>
      <c r="C17" s="293" t="s">
        <v>1625</v>
      </c>
      <c r="D17" s="309">
        <v>0</v>
      </c>
      <c r="E17" s="309"/>
      <c r="F17" s="309" t="s">
        <v>1752</v>
      </c>
      <c r="G17" s="292" t="s">
        <v>1795</v>
      </c>
      <c r="H17" s="292" t="s">
        <v>1796</v>
      </c>
      <c r="I17" s="312" t="s">
        <v>1754</v>
      </c>
      <c r="J17" s="311" t="s">
        <v>1797</v>
      </c>
    </row>
    <row r="18" spans="1:10" ht="60" customHeight="1" x14ac:dyDescent="0.2">
      <c r="A18" s="309" t="s">
        <v>1798</v>
      </c>
      <c r="B18" s="309" t="s">
        <v>1620</v>
      </c>
      <c r="C18" s="309" t="s">
        <v>703</v>
      </c>
      <c r="D18" s="309">
        <v>0</v>
      </c>
      <c r="E18" s="309"/>
      <c r="F18" s="309" t="s">
        <v>1752</v>
      </c>
      <c r="G18" s="292" t="s">
        <v>1799</v>
      </c>
      <c r="H18" s="309"/>
      <c r="I18" s="312" t="s">
        <v>1754</v>
      </c>
      <c r="J18" s="311" t="s">
        <v>1800</v>
      </c>
    </row>
    <row r="19" spans="1:10" ht="60" customHeight="1" x14ac:dyDescent="0.2">
      <c r="A19" s="309" t="s">
        <v>1801</v>
      </c>
      <c r="B19" s="309" t="s">
        <v>1620</v>
      </c>
      <c r="C19" s="309" t="s">
        <v>703</v>
      </c>
      <c r="D19" s="309">
        <v>0</v>
      </c>
      <c r="E19" s="309"/>
      <c r="F19" s="309" t="s">
        <v>1752</v>
      </c>
      <c r="G19" s="292" t="s">
        <v>1802</v>
      </c>
      <c r="H19" s="292" t="s">
        <v>1803</v>
      </c>
      <c r="I19" s="312" t="s">
        <v>1754</v>
      </c>
      <c r="J19" s="311" t="s">
        <v>1804</v>
      </c>
    </row>
    <row r="20" spans="1:10" ht="60" customHeight="1" x14ac:dyDescent="0.2">
      <c r="A20" s="309" t="s">
        <v>1805</v>
      </c>
      <c r="B20" s="309" t="s">
        <v>1620</v>
      </c>
      <c r="C20" s="309" t="s">
        <v>703</v>
      </c>
      <c r="D20" s="309">
        <v>0</v>
      </c>
      <c r="E20" s="309"/>
      <c r="F20" s="309" t="s">
        <v>1752</v>
      </c>
      <c r="G20" s="309" t="s">
        <v>664</v>
      </c>
      <c r="H20" s="309"/>
      <c r="I20" s="312" t="s">
        <v>1754</v>
      </c>
      <c r="J20" s="311" t="s">
        <v>1806</v>
      </c>
    </row>
    <row r="21" spans="1:10" ht="60" customHeight="1" x14ac:dyDescent="0.2">
      <c r="A21" s="309" t="s">
        <v>1807</v>
      </c>
      <c r="B21" s="309" t="s">
        <v>1620</v>
      </c>
      <c r="C21" s="293" t="s">
        <v>1625</v>
      </c>
      <c r="D21" s="309">
        <v>0</v>
      </c>
      <c r="E21" s="309"/>
      <c r="F21" s="309" t="s">
        <v>1752</v>
      </c>
      <c r="G21" s="292" t="s">
        <v>1808</v>
      </c>
      <c r="H21" s="292" t="s">
        <v>1809</v>
      </c>
      <c r="I21" s="312" t="s">
        <v>1754</v>
      </c>
      <c r="J21" s="311" t="s">
        <v>1810</v>
      </c>
    </row>
    <row r="22" spans="1:10" ht="60" customHeight="1" x14ac:dyDescent="0.2">
      <c r="A22" s="309" t="s">
        <v>1811</v>
      </c>
      <c r="B22" s="309" t="s">
        <v>1620</v>
      </c>
      <c r="C22" s="293" t="s">
        <v>1625</v>
      </c>
      <c r="D22" s="309">
        <v>0</v>
      </c>
      <c r="E22" s="309"/>
      <c r="F22" s="309" t="s">
        <v>1752</v>
      </c>
      <c r="G22" s="292" t="s">
        <v>1812</v>
      </c>
      <c r="H22" s="292" t="s">
        <v>1813</v>
      </c>
      <c r="I22" s="312" t="s">
        <v>1754</v>
      </c>
      <c r="J22" s="311" t="s">
        <v>1814</v>
      </c>
    </row>
    <row r="23" spans="1:10" ht="60" customHeight="1" x14ac:dyDescent="0.2">
      <c r="A23" s="309" t="s">
        <v>1815</v>
      </c>
      <c r="B23" s="309" t="s">
        <v>1620</v>
      </c>
      <c r="C23" s="293" t="s">
        <v>1625</v>
      </c>
      <c r="D23" s="309">
        <v>0</v>
      </c>
      <c r="E23" s="309"/>
      <c r="F23" s="309" t="s">
        <v>1752</v>
      </c>
      <c r="G23" s="292" t="s">
        <v>1816</v>
      </c>
      <c r="H23" s="292" t="s">
        <v>1817</v>
      </c>
      <c r="I23" s="312" t="s">
        <v>1754</v>
      </c>
      <c r="J23" s="311" t="s">
        <v>1818</v>
      </c>
    </row>
    <row r="24" spans="1:10" ht="60" customHeight="1" x14ac:dyDescent="0.2">
      <c r="A24" s="309" t="s">
        <v>1819</v>
      </c>
      <c r="B24" s="309" t="s">
        <v>1620</v>
      </c>
      <c r="C24" s="309" t="s">
        <v>1636</v>
      </c>
      <c r="D24" s="309">
        <v>0</v>
      </c>
      <c r="E24" s="309"/>
      <c r="F24" s="309" t="s">
        <v>1783</v>
      </c>
      <c r="G24" s="292" t="s">
        <v>1820</v>
      </c>
      <c r="H24" s="309"/>
      <c r="I24" s="310" t="s">
        <v>1750</v>
      </c>
      <c r="J24" s="311" t="s">
        <v>1821</v>
      </c>
    </row>
    <row r="25" spans="1:10" ht="60" customHeight="1" x14ac:dyDescent="0.2">
      <c r="A25" s="309" t="s">
        <v>1822</v>
      </c>
      <c r="B25" s="309" t="s">
        <v>1620</v>
      </c>
      <c r="C25" s="309" t="s">
        <v>703</v>
      </c>
      <c r="D25" s="309">
        <v>0</v>
      </c>
      <c r="E25" s="309"/>
      <c r="F25" s="309" t="s">
        <v>1752</v>
      </c>
      <c r="G25" s="292" t="s">
        <v>1823</v>
      </c>
      <c r="H25" s="309"/>
      <c r="I25" s="312" t="s">
        <v>1754</v>
      </c>
      <c r="J25" s="311" t="s">
        <v>1824</v>
      </c>
    </row>
    <row r="26" spans="1:10" ht="60" customHeight="1" x14ac:dyDescent="0.2">
      <c r="A26" s="309" t="s">
        <v>1825</v>
      </c>
      <c r="B26" s="309" t="s">
        <v>1620</v>
      </c>
      <c r="C26" s="309" t="s">
        <v>703</v>
      </c>
      <c r="D26" s="309">
        <v>0</v>
      </c>
      <c r="E26" s="309"/>
      <c r="F26" s="309" t="s">
        <v>1752</v>
      </c>
      <c r="G26" s="292" t="s">
        <v>1826</v>
      </c>
      <c r="H26" s="309"/>
      <c r="I26" s="312" t="s">
        <v>1754</v>
      </c>
      <c r="J26" s="311" t="s">
        <v>1827</v>
      </c>
    </row>
    <row r="27" spans="1:10" ht="60" customHeight="1" x14ac:dyDescent="0.2">
      <c r="A27" s="309" t="s">
        <v>1828</v>
      </c>
      <c r="B27" s="309" t="s">
        <v>1620</v>
      </c>
      <c r="C27" s="293" t="s">
        <v>1625</v>
      </c>
      <c r="D27" s="309">
        <v>0</v>
      </c>
      <c r="E27" s="309"/>
      <c r="F27" s="309" t="s">
        <v>1752</v>
      </c>
      <c r="G27" s="292" t="s">
        <v>1829</v>
      </c>
      <c r="H27" s="292" t="s">
        <v>1796</v>
      </c>
      <c r="I27" s="312" t="s">
        <v>1754</v>
      </c>
      <c r="J27" s="311" t="s">
        <v>1830</v>
      </c>
    </row>
    <row r="28" spans="1:10" ht="60" customHeight="1" x14ac:dyDescent="0.2">
      <c r="A28" s="309" t="s">
        <v>1831</v>
      </c>
      <c r="B28" s="309" t="s">
        <v>1620</v>
      </c>
      <c r="C28" s="309" t="s">
        <v>703</v>
      </c>
      <c r="D28" s="309">
        <v>0</v>
      </c>
      <c r="E28" s="309"/>
      <c r="F28" s="309" t="s">
        <v>1752</v>
      </c>
      <c r="G28" s="292" t="s">
        <v>1832</v>
      </c>
      <c r="H28" s="309"/>
      <c r="I28" s="312" t="s">
        <v>1754</v>
      </c>
      <c r="J28" s="311" t="s">
        <v>1833</v>
      </c>
    </row>
    <row r="29" spans="1:10" ht="69.75" customHeight="1" x14ac:dyDescent="0.2">
      <c r="A29" s="315" t="s">
        <v>1834</v>
      </c>
      <c r="B29" s="316" t="s">
        <v>1719</v>
      </c>
      <c r="C29" s="316" t="s">
        <v>1724</v>
      </c>
      <c r="D29" s="316">
        <v>0</v>
      </c>
      <c r="E29" s="316" t="s">
        <v>1600</v>
      </c>
      <c r="F29" s="316" t="s">
        <v>1835</v>
      </c>
      <c r="G29" s="317" t="s">
        <v>1836</v>
      </c>
      <c r="H29" s="318" t="s">
        <v>1837</v>
      </c>
      <c r="I29" s="319" t="s">
        <v>1838</v>
      </c>
      <c r="J29" s="320" t="s">
        <v>1839</v>
      </c>
    </row>
  </sheetData>
  <mergeCells count="2">
    <mergeCell ref="A1:J1"/>
    <mergeCell ref="A2:J2"/>
  </mergeCells>
  <dataValidations count="2">
    <dataValidation type="list" allowBlank="1" sqref="C4:C28" xr:uid="{00000000-0002-0000-0600-000000000000}">
      <formula1>"Not Started,Researching,Contacted,Replied,Call Scheduled,Discovery Done,Proposal Sent,Negotiating,Pilot Closed,Stalled,Not a Fit"</formula1>
      <formula2>0</formula2>
    </dataValidation>
    <dataValidation type="list" allowBlank="1" sqref="I4:I28" xr:uid="{00000000-0002-0000-0600-000001000000}">
      <formula1>"🔥 Hot,🌡 Warm,❄ Cold,⛔ Dead"</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36"/>
  <sheetViews>
    <sheetView showGridLines="0" zoomScaleNormal="100" workbookViewId="0"/>
  </sheetViews>
  <sheetFormatPr baseColWidth="10" defaultColWidth="8.6640625" defaultRowHeight="15" x14ac:dyDescent="0.2"/>
  <cols>
    <col min="1" max="1" width="3" customWidth="1"/>
    <col min="2" max="2" width="22" customWidth="1"/>
    <col min="3" max="3" width="55" customWidth="1"/>
    <col min="4" max="4" width="22" customWidth="1"/>
    <col min="5" max="5" width="3" customWidth="1"/>
  </cols>
  <sheetData>
    <row r="1" spans="1:5" ht="43.5" customHeight="1" x14ac:dyDescent="0.2">
      <c r="A1" s="449" t="s">
        <v>1840</v>
      </c>
      <c r="B1" s="435"/>
      <c r="C1" s="435"/>
      <c r="D1" s="435"/>
      <c r="E1" s="435"/>
    </row>
    <row r="2" spans="1:5" ht="19.5" customHeight="1" x14ac:dyDescent="0.2">
      <c r="A2" s="460" t="s">
        <v>1841</v>
      </c>
      <c r="B2" s="435"/>
      <c r="C2" s="435"/>
      <c r="D2" s="435"/>
      <c r="E2" s="435"/>
    </row>
    <row r="3" spans="1:5" ht="12" customHeight="1" x14ac:dyDescent="0.2">
      <c r="A3" s="321"/>
      <c r="B3" s="321"/>
      <c r="C3" s="321"/>
      <c r="D3" s="321"/>
      <c r="E3" s="321"/>
    </row>
    <row r="4" spans="1:5" ht="15.75" customHeight="1" x14ac:dyDescent="0.2">
      <c r="B4" s="481" t="s">
        <v>1842</v>
      </c>
      <c r="C4" s="435"/>
      <c r="D4" s="435"/>
    </row>
    <row r="5" spans="1:5" ht="60" customHeight="1" x14ac:dyDescent="0.2">
      <c r="B5" s="498" t="s">
        <v>1843</v>
      </c>
      <c r="C5" s="451"/>
      <c r="D5" s="452"/>
    </row>
    <row r="6" spans="1:5" ht="12" customHeight="1" x14ac:dyDescent="0.2">
      <c r="A6" s="321"/>
      <c r="B6" s="321"/>
      <c r="C6" s="321"/>
      <c r="D6" s="321"/>
      <c r="E6" s="321"/>
    </row>
    <row r="7" spans="1:5" ht="30" customHeight="1" x14ac:dyDescent="0.2">
      <c r="B7" s="458" t="s">
        <v>1844</v>
      </c>
      <c r="C7" s="435"/>
      <c r="D7" s="435"/>
    </row>
    <row r="8" spans="1:5" ht="3.75" customHeight="1" x14ac:dyDescent="0.2">
      <c r="A8" s="321"/>
      <c r="B8" s="321"/>
      <c r="C8" s="321"/>
      <c r="D8" s="321"/>
      <c r="E8" s="321"/>
    </row>
    <row r="9" spans="1:5" ht="24" customHeight="1" x14ac:dyDescent="0.2">
      <c r="B9" s="491" t="s">
        <v>1845</v>
      </c>
      <c r="C9" s="451"/>
      <c r="D9" s="452"/>
    </row>
    <row r="10" spans="1:5" ht="54.75" customHeight="1" x14ac:dyDescent="0.2">
      <c r="B10" s="487" t="s">
        <v>1846</v>
      </c>
      <c r="C10" s="451"/>
      <c r="D10" s="452"/>
    </row>
    <row r="11" spans="1:5" ht="6" customHeight="1" x14ac:dyDescent="0.2">
      <c r="A11" s="321"/>
      <c r="B11" s="321"/>
      <c r="C11" s="321"/>
      <c r="D11" s="321"/>
      <c r="E11" s="321"/>
    </row>
    <row r="12" spans="1:5" ht="24" customHeight="1" x14ac:dyDescent="0.2">
      <c r="B12" s="493" t="s">
        <v>1847</v>
      </c>
      <c r="C12" s="451"/>
      <c r="D12" s="452"/>
    </row>
    <row r="13" spans="1:5" ht="54.75" customHeight="1" x14ac:dyDescent="0.2">
      <c r="B13" s="489" t="s">
        <v>1848</v>
      </c>
      <c r="C13" s="451"/>
      <c r="D13" s="452"/>
    </row>
    <row r="14" spans="1:5" ht="6" customHeight="1" x14ac:dyDescent="0.2">
      <c r="A14" s="321"/>
      <c r="B14" s="321"/>
      <c r="C14" s="321"/>
      <c r="D14" s="321"/>
      <c r="E14" s="321"/>
    </row>
    <row r="15" spans="1:5" ht="24" customHeight="1" x14ac:dyDescent="0.2">
      <c r="B15" s="497" t="s">
        <v>1849</v>
      </c>
      <c r="C15" s="451"/>
      <c r="D15" s="452"/>
    </row>
    <row r="16" spans="1:5" ht="54.75" customHeight="1" x14ac:dyDescent="0.2">
      <c r="B16" s="487" t="s">
        <v>1850</v>
      </c>
      <c r="C16" s="451"/>
      <c r="D16" s="452"/>
    </row>
    <row r="17" spans="1:5" ht="6" customHeight="1" x14ac:dyDescent="0.2">
      <c r="A17" s="321"/>
      <c r="B17" s="321"/>
      <c r="C17" s="321"/>
      <c r="D17" s="321"/>
      <c r="E17" s="321"/>
    </row>
    <row r="18" spans="1:5" ht="24" customHeight="1" x14ac:dyDescent="0.2">
      <c r="B18" s="492" t="s">
        <v>1851</v>
      </c>
      <c r="C18" s="451"/>
      <c r="D18" s="452"/>
    </row>
    <row r="19" spans="1:5" ht="54.75" customHeight="1" x14ac:dyDescent="0.2">
      <c r="B19" s="489" t="s">
        <v>1852</v>
      </c>
      <c r="C19" s="451"/>
      <c r="D19" s="452"/>
    </row>
    <row r="20" spans="1:5" ht="6" customHeight="1" x14ac:dyDescent="0.2">
      <c r="A20" s="321"/>
      <c r="B20" s="321"/>
      <c r="C20" s="321"/>
      <c r="D20" s="321"/>
      <c r="E20" s="321"/>
    </row>
    <row r="21" spans="1:5" ht="12" customHeight="1" x14ac:dyDescent="0.2">
      <c r="A21" s="321"/>
      <c r="B21" s="321"/>
      <c r="C21" s="321"/>
      <c r="D21" s="321"/>
      <c r="E21" s="321"/>
    </row>
    <row r="22" spans="1:5" ht="30" customHeight="1" x14ac:dyDescent="0.2">
      <c r="B22" s="459" t="s">
        <v>1853</v>
      </c>
      <c r="C22" s="435"/>
      <c r="D22" s="435"/>
    </row>
    <row r="23" spans="1:5" ht="3.75" customHeight="1" x14ac:dyDescent="0.2">
      <c r="A23" s="321"/>
      <c r="B23" s="321"/>
      <c r="C23" s="321"/>
      <c r="D23" s="321"/>
      <c r="E23" s="321"/>
    </row>
    <row r="24" spans="1:5" ht="24" customHeight="1" x14ac:dyDescent="0.2">
      <c r="B24" s="491" t="s">
        <v>1854</v>
      </c>
      <c r="C24" s="451"/>
      <c r="D24" s="452"/>
    </row>
    <row r="25" spans="1:5" ht="54.75" customHeight="1" x14ac:dyDescent="0.2">
      <c r="B25" s="487" t="s">
        <v>1855</v>
      </c>
      <c r="C25" s="451"/>
      <c r="D25" s="452"/>
    </row>
    <row r="26" spans="1:5" ht="24" customHeight="1" x14ac:dyDescent="0.2">
      <c r="B26" s="493" t="s">
        <v>1856</v>
      </c>
      <c r="C26" s="451"/>
      <c r="D26" s="452"/>
    </row>
    <row r="27" spans="1:5" ht="54.75" customHeight="1" x14ac:dyDescent="0.2">
      <c r="B27" s="489" t="s">
        <v>1857</v>
      </c>
      <c r="C27" s="451"/>
      <c r="D27" s="452"/>
    </row>
    <row r="28" spans="1:5" ht="24" customHeight="1" x14ac:dyDescent="0.2">
      <c r="B28" s="492" t="s">
        <v>1858</v>
      </c>
      <c r="C28" s="451"/>
      <c r="D28" s="452"/>
    </row>
    <row r="29" spans="1:5" ht="54.75" customHeight="1" x14ac:dyDescent="0.2">
      <c r="B29" s="487" t="s">
        <v>1859</v>
      </c>
      <c r="C29" s="451"/>
      <c r="D29" s="452"/>
    </row>
    <row r="30" spans="1:5" ht="24" customHeight="1" x14ac:dyDescent="0.2">
      <c r="B30" s="495" t="s">
        <v>1860</v>
      </c>
      <c r="C30" s="451"/>
      <c r="D30" s="452"/>
    </row>
    <row r="31" spans="1:5" ht="54.75" customHeight="1" x14ac:dyDescent="0.2">
      <c r="B31" s="489" t="s">
        <v>1861</v>
      </c>
      <c r="C31" s="451"/>
      <c r="D31" s="452"/>
    </row>
    <row r="32" spans="1:5" ht="24" customHeight="1" x14ac:dyDescent="0.2">
      <c r="B32" s="497" t="s">
        <v>1862</v>
      </c>
      <c r="C32" s="451"/>
      <c r="D32" s="452"/>
    </row>
    <row r="33" spans="1:5" ht="54.75" customHeight="1" x14ac:dyDescent="0.2">
      <c r="B33" s="487" t="s">
        <v>1863</v>
      </c>
      <c r="C33" s="451"/>
      <c r="D33" s="452"/>
    </row>
    <row r="34" spans="1:5" ht="12" customHeight="1" x14ac:dyDescent="0.2">
      <c r="A34" s="321"/>
      <c r="B34" s="321"/>
      <c r="C34" s="321"/>
      <c r="D34" s="321"/>
      <c r="E34" s="321"/>
    </row>
    <row r="35" spans="1:5" ht="30" customHeight="1" x14ac:dyDescent="0.2">
      <c r="B35" s="458" t="s">
        <v>1864</v>
      </c>
      <c r="C35" s="435"/>
      <c r="D35" s="435"/>
    </row>
    <row r="36" spans="1:5" ht="3.75" customHeight="1" x14ac:dyDescent="0.2">
      <c r="A36" s="321"/>
      <c r="B36" s="321"/>
      <c r="C36" s="321"/>
      <c r="D36" s="321"/>
      <c r="E36" s="321"/>
    </row>
    <row r="37" spans="1:5" ht="27.75" customHeight="1" x14ac:dyDescent="0.2">
      <c r="B37" s="24"/>
      <c r="C37" s="322" t="s">
        <v>1865</v>
      </c>
      <c r="D37" s="323" t="s">
        <v>1866</v>
      </c>
    </row>
    <row r="38" spans="1:5" ht="27.75" customHeight="1" x14ac:dyDescent="0.2">
      <c r="B38" s="4"/>
      <c r="C38" s="324" t="s">
        <v>1867</v>
      </c>
      <c r="D38" s="325" t="s">
        <v>1868</v>
      </c>
    </row>
    <row r="39" spans="1:5" ht="27.75" customHeight="1" x14ac:dyDescent="0.2">
      <c r="B39" s="326"/>
      <c r="C39" s="322" t="s">
        <v>1869</v>
      </c>
      <c r="D39" s="323" t="s">
        <v>1870</v>
      </c>
    </row>
    <row r="40" spans="1:5" ht="27.75" customHeight="1" x14ac:dyDescent="0.2">
      <c r="B40" s="327"/>
      <c r="C40" s="324" t="s">
        <v>1871</v>
      </c>
      <c r="D40" s="325" t="s">
        <v>1872</v>
      </c>
    </row>
    <row r="41" spans="1:5" ht="27.75" customHeight="1" x14ac:dyDescent="0.2">
      <c r="B41" s="328"/>
      <c r="C41" s="322" t="s">
        <v>1873</v>
      </c>
      <c r="D41" s="323" t="s">
        <v>1874</v>
      </c>
    </row>
    <row r="42" spans="1:5" ht="27.75" customHeight="1" x14ac:dyDescent="0.2">
      <c r="B42" s="329"/>
      <c r="C42" s="324" t="s">
        <v>1875</v>
      </c>
      <c r="D42" s="325" t="s">
        <v>1876</v>
      </c>
    </row>
    <row r="43" spans="1:5" ht="27.75" customHeight="1" x14ac:dyDescent="0.2">
      <c r="B43" s="330"/>
      <c r="C43" s="322" t="s">
        <v>1877</v>
      </c>
      <c r="D43" s="323" t="s">
        <v>1878</v>
      </c>
    </row>
    <row r="44" spans="1:5" ht="27.75" customHeight="1" x14ac:dyDescent="0.2">
      <c r="B44" s="331"/>
      <c r="C44" s="324" t="s">
        <v>1879</v>
      </c>
      <c r="D44" s="325" t="s">
        <v>1880</v>
      </c>
    </row>
    <row r="45" spans="1:5" ht="27.75" customHeight="1" x14ac:dyDescent="0.2">
      <c r="B45" s="332"/>
      <c r="C45" s="322" t="s">
        <v>1881</v>
      </c>
      <c r="D45" s="323" t="s">
        <v>1882</v>
      </c>
    </row>
    <row r="46" spans="1:5" ht="27.75" customHeight="1" x14ac:dyDescent="0.2">
      <c r="B46" s="333"/>
      <c r="C46" s="324" t="s">
        <v>1883</v>
      </c>
      <c r="D46" s="325" t="s">
        <v>1884</v>
      </c>
    </row>
    <row r="47" spans="1:5" ht="12" customHeight="1" x14ac:dyDescent="0.2">
      <c r="A47" s="321"/>
      <c r="B47" s="321"/>
      <c r="C47" s="321"/>
      <c r="D47" s="321"/>
      <c r="E47" s="321"/>
    </row>
    <row r="48" spans="1:5" ht="30" customHeight="1" x14ac:dyDescent="0.2">
      <c r="B48" s="458" t="s">
        <v>1885</v>
      </c>
      <c r="C48" s="435"/>
      <c r="D48" s="435"/>
    </row>
    <row r="49" spans="1:5" ht="3.75" customHeight="1" x14ac:dyDescent="0.2">
      <c r="A49" s="321"/>
      <c r="B49" s="321"/>
      <c r="C49" s="321"/>
      <c r="D49" s="321"/>
      <c r="E49" s="321"/>
    </row>
    <row r="50" spans="1:5" ht="24" customHeight="1" x14ac:dyDescent="0.2">
      <c r="B50" s="496" t="s">
        <v>1886</v>
      </c>
      <c r="C50" s="435"/>
      <c r="D50" s="435"/>
    </row>
    <row r="51" spans="1:5" ht="21.75" customHeight="1" x14ac:dyDescent="0.2">
      <c r="C51" s="40" t="s">
        <v>703</v>
      </c>
      <c r="D51" s="334" t="s">
        <v>1887</v>
      </c>
    </row>
    <row r="52" spans="1:5" ht="21.75" customHeight="1" x14ac:dyDescent="0.2">
      <c r="C52" s="335" t="s">
        <v>1625</v>
      </c>
      <c r="D52" s="336" t="s">
        <v>1888</v>
      </c>
    </row>
    <row r="53" spans="1:5" ht="21.75" customHeight="1" x14ac:dyDescent="0.2">
      <c r="C53" s="40" t="s">
        <v>1601</v>
      </c>
      <c r="D53" s="334" t="s">
        <v>1889</v>
      </c>
    </row>
    <row r="54" spans="1:5" ht="21.75" customHeight="1" x14ac:dyDescent="0.2">
      <c r="C54" s="335" t="s">
        <v>1890</v>
      </c>
      <c r="D54" s="336" t="s">
        <v>1891</v>
      </c>
    </row>
    <row r="55" spans="1:5" ht="21.75" customHeight="1" x14ac:dyDescent="0.2">
      <c r="C55" s="40" t="s">
        <v>1761</v>
      </c>
      <c r="D55" s="334" t="s">
        <v>1892</v>
      </c>
    </row>
    <row r="56" spans="1:5" ht="21.75" customHeight="1" x14ac:dyDescent="0.2">
      <c r="C56" s="335" t="s">
        <v>1893</v>
      </c>
      <c r="D56" s="336" t="s">
        <v>1894</v>
      </c>
    </row>
    <row r="57" spans="1:5" ht="21.75" customHeight="1" x14ac:dyDescent="0.2">
      <c r="C57" s="40" t="s">
        <v>1895</v>
      </c>
      <c r="D57" s="334" t="s">
        <v>1896</v>
      </c>
    </row>
    <row r="58" spans="1:5" ht="21.75" customHeight="1" x14ac:dyDescent="0.2">
      <c r="C58" s="335" t="s">
        <v>1897</v>
      </c>
      <c r="D58" s="336" t="s">
        <v>1898</v>
      </c>
    </row>
    <row r="59" spans="1:5" ht="21.75" customHeight="1" x14ac:dyDescent="0.2">
      <c r="C59" s="40" t="s">
        <v>1899</v>
      </c>
      <c r="D59" s="334" t="s">
        <v>1900</v>
      </c>
    </row>
    <row r="60" spans="1:5" ht="21.75" customHeight="1" x14ac:dyDescent="0.2">
      <c r="C60" s="335" t="s">
        <v>1901</v>
      </c>
      <c r="D60" s="336" t="s">
        <v>1902</v>
      </c>
    </row>
    <row r="61" spans="1:5" ht="21.75" customHeight="1" x14ac:dyDescent="0.2">
      <c r="C61" s="40" t="s">
        <v>1903</v>
      </c>
      <c r="D61" s="334" t="s">
        <v>1904</v>
      </c>
    </row>
    <row r="62" spans="1:5" ht="7.5" customHeight="1" x14ac:dyDescent="0.2">
      <c r="A62" s="321"/>
      <c r="B62" s="321"/>
      <c r="C62" s="321"/>
      <c r="D62" s="321"/>
      <c r="E62" s="321"/>
    </row>
    <row r="63" spans="1:5" ht="24" customHeight="1" x14ac:dyDescent="0.2">
      <c r="B63" s="496" t="s">
        <v>1905</v>
      </c>
      <c r="C63" s="435"/>
      <c r="D63" s="435"/>
    </row>
    <row r="64" spans="1:5" ht="21.75" customHeight="1" x14ac:dyDescent="0.2">
      <c r="C64" s="40" t="s">
        <v>1597</v>
      </c>
      <c r="D64" s="334" t="s">
        <v>1906</v>
      </c>
    </row>
    <row r="65" spans="1:5" ht="21.75" customHeight="1" x14ac:dyDescent="0.2">
      <c r="C65" s="335" t="s">
        <v>1907</v>
      </c>
      <c r="D65" s="336" t="s">
        <v>1908</v>
      </c>
    </row>
    <row r="66" spans="1:5" ht="21.75" customHeight="1" x14ac:dyDescent="0.2">
      <c r="C66" s="40" t="s">
        <v>1629</v>
      </c>
      <c r="D66" s="334" t="s">
        <v>1909</v>
      </c>
    </row>
    <row r="67" spans="1:5" ht="21.75" customHeight="1" x14ac:dyDescent="0.2">
      <c r="C67" s="335" t="s">
        <v>1910</v>
      </c>
      <c r="D67" s="336" t="s">
        <v>1911</v>
      </c>
    </row>
    <row r="68" spans="1:5" ht="21.75" customHeight="1" x14ac:dyDescent="0.2">
      <c r="C68" s="40" t="s">
        <v>1912</v>
      </c>
      <c r="D68" s="334" t="s">
        <v>1913</v>
      </c>
    </row>
    <row r="69" spans="1:5" ht="21.75" customHeight="1" x14ac:dyDescent="0.2">
      <c r="C69" s="335" t="s">
        <v>1761</v>
      </c>
      <c r="D69" s="336" t="s">
        <v>1914</v>
      </c>
    </row>
    <row r="70" spans="1:5" ht="21.75" customHeight="1" x14ac:dyDescent="0.2">
      <c r="C70" s="40" t="s">
        <v>1607</v>
      </c>
      <c r="D70" s="334" t="s">
        <v>1915</v>
      </c>
    </row>
    <row r="71" spans="1:5" ht="21.75" customHeight="1" x14ac:dyDescent="0.2">
      <c r="C71" s="335" t="s">
        <v>1916</v>
      </c>
      <c r="D71" s="336" t="s">
        <v>1917</v>
      </c>
    </row>
    <row r="72" spans="1:5" ht="21.75" customHeight="1" x14ac:dyDescent="0.2">
      <c r="C72" s="40" t="s">
        <v>1918</v>
      </c>
      <c r="D72" s="334" t="s">
        <v>1919</v>
      </c>
    </row>
    <row r="73" spans="1:5" ht="21.75" customHeight="1" x14ac:dyDescent="0.2">
      <c r="C73" s="335" t="s">
        <v>1920</v>
      </c>
      <c r="D73" s="336" t="s">
        <v>1921</v>
      </c>
    </row>
    <row r="74" spans="1:5" ht="21.75" customHeight="1" x14ac:dyDescent="0.2">
      <c r="C74" s="40" t="s">
        <v>1901</v>
      </c>
      <c r="D74" s="334" t="s">
        <v>1922</v>
      </c>
    </row>
    <row r="75" spans="1:5" ht="21.75" customHeight="1" x14ac:dyDescent="0.2">
      <c r="C75" s="335" t="s">
        <v>1903</v>
      </c>
      <c r="D75" s="336" t="s">
        <v>1923</v>
      </c>
    </row>
    <row r="76" spans="1:5" ht="7.5" customHeight="1" x14ac:dyDescent="0.2">
      <c r="A76" s="321"/>
      <c r="B76" s="321"/>
      <c r="C76" s="321"/>
      <c r="D76" s="321"/>
      <c r="E76" s="321"/>
    </row>
    <row r="77" spans="1:5" ht="24" customHeight="1" x14ac:dyDescent="0.2">
      <c r="B77" s="496" t="s">
        <v>1924</v>
      </c>
      <c r="C77" s="435"/>
      <c r="D77" s="435"/>
    </row>
    <row r="78" spans="1:5" ht="21.75" customHeight="1" x14ac:dyDescent="0.2">
      <c r="C78" s="40" t="s">
        <v>1765</v>
      </c>
      <c r="D78" s="334" t="s">
        <v>1925</v>
      </c>
    </row>
    <row r="79" spans="1:5" ht="21.75" customHeight="1" x14ac:dyDescent="0.2">
      <c r="C79" s="335" t="s">
        <v>1926</v>
      </c>
      <c r="D79" s="336" t="s">
        <v>1927</v>
      </c>
    </row>
    <row r="80" spans="1:5" ht="21.75" customHeight="1" x14ac:dyDescent="0.2">
      <c r="C80" s="40" t="s">
        <v>1754</v>
      </c>
      <c r="D80" s="334" t="s">
        <v>1928</v>
      </c>
    </row>
    <row r="81" spans="1:5" ht="21.75" customHeight="1" x14ac:dyDescent="0.2">
      <c r="C81" s="335" t="s">
        <v>1929</v>
      </c>
      <c r="D81" s="336" t="s">
        <v>1930</v>
      </c>
    </row>
    <row r="82" spans="1:5" ht="7.5" customHeight="1" x14ac:dyDescent="0.2">
      <c r="A82" s="321"/>
      <c r="B82" s="321"/>
      <c r="C82" s="321"/>
      <c r="D82" s="321"/>
      <c r="E82" s="321"/>
    </row>
    <row r="83" spans="1:5" ht="24" customHeight="1" x14ac:dyDescent="0.2">
      <c r="B83" s="496" t="s">
        <v>1931</v>
      </c>
      <c r="C83" s="435"/>
      <c r="D83" s="435"/>
    </row>
    <row r="84" spans="1:5" ht="21.75" customHeight="1" x14ac:dyDescent="0.2">
      <c r="C84" s="40" t="s">
        <v>1932</v>
      </c>
      <c r="D84" s="334" t="s">
        <v>1933</v>
      </c>
    </row>
    <row r="85" spans="1:5" ht="21.75" customHeight="1" x14ac:dyDescent="0.2">
      <c r="C85" s="335" t="s">
        <v>1079</v>
      </c>
      <c r="D85" s="336" t="s">
        <v>1934</v>
      </c>
    </row>
    <row r="86" spans="1:5" ht="21.75" customHeight="1" x14ac:dyDescent="0.2">
      <c r="C86" s="40" t="s">
        <v>1099</v>
      </c>
      <c r="D86" s="334" t="s">
        <v>1935</v>
      </c>
    </row>
    <row r="87" spans="1:5" ht="7.5" customHeight="1" x14ac:dyDescent="0.2">
      <c r="A87" s="321"/>
      <c r="B87" s="321"/>
      <c r="C87" s="321"/>
      <c r="D87" s="321"/>
      <c r="E87" s="321"/>
    </row>
    <row r="88" spans="1:5" ht="12" customHeight="1" x14ac:dyDescent="0.2">
      <c r="A88" s="321"/>
      <c r="B88" s="321"/>
      <c r="C88" s="321"/>
      <c r="D88" s="321"/>
      <c r="E88" s="321"/>
    </row>
    <row r="89" spans="1:5" ht="30" customHeight="1" x14ac:dyDescent="0.2">
      <c r="B89" s="453" t="s">
        <v>1936</v>
      </c>
      <c r="C89" s="435"/>
      <c r="D89" s="435"/>
    </row>
    <row r="90" spans="1:5" ht="3.75" customHeight="1" x14ac:dyDescent="0.2">
      <c r="A90" s="321"/>
      <c r="B90" s="321"/>
      <c r="C90" s="321"/>
      <c r="D90" s="321"/>
      <c r="E90" s="321"/>
    </row>
    <row r="91" spans="1:5" ht="21.75" customHeight="1" x14ac:dyDescent="0.2">
      <c r="B91" s="491" t="s">
        <v>1937</v>
      </c>
      <c r="C91" s="451"/>
      <c r="D91" s="452"/>
    </row>
    <row r="92" spans="1:5" ht="51.75" customHeight="1" x14ac:dyDescent="0.2">
      <c r="B92" s="487" t="s">
        <v>1938</v>
      </c>
      <c r="C92" s="451"/>
      <c r="D92" s="452"/>
    </row>
    <row r="93" spans="1:5" ht="3.75" customHeight="1" x14ac:dyDescent="0.2">
      <c r="A93" s="321"/>
      <c r="B93" s="321"/>
      <c r="C93" s="321"/>
      <c r="D93" s="321"/>
      <c r="E93" s="321"/>
    </row>
    <row r="94" spans="1:5" ht="21.75" customHeight="1" x14ac:dyDescent="0.2">
      <c r="B94" s="493" t="s">
        <v>1939</v>
      </c>
      <c r="C94" s="451"/>
      <c r="D94" s="452"/>
    </row>
    <row r="95" spans="1:5" ht="51.75" customHeight="1" x14ac:dyDescent="0.2">
      <c r="B95" s="489" t="s">
        <v>1940</v>
      </c>
      <c r="C95" s="451"/>
      <c r="D95" s="452"/>
    </row>
    <row r="96" spans="1:5" ht="3.75" customHeight="1" x14ac:dyDescent="0.2">
      <c r="A96" s="321"/>
      <c r="B96" s="321"/>
      <c r="C96" s="321"/>
      <c r="D96" s="321"/>
      <c r="E96" s="321"/>
    </row>
    <row r="97" spans="1:5" ht="21.75" customHeight="1" x14ac:dyDescent="0.2">
      <c r="B97" s="491" t="s">
        <v>1941</v>
      </c>
      <c r="C97" s="451"/>
      <c r="D97" s="452"/>
    </row>
    <row r="98" spans="1:5" ht="51.75" customHeight="1" x14ac:dyDescent="0.2">
      <c r="B98" s="487" t="s">
        <v>1942</v>
      </c>
      <c r="C98" s="451"/>
      <c r="D98" s="452"/>
    </row>
    <row r="99" spans="1:5" ht="3.75" customHeight="1" x14ac:dyDescent="0.2">
      <c r="A99" s="321"/>
      <c r="B99" s="321"/>
      <c r="C99" s="321"/>
      <c r="D99" s="321"/>
      <c r="E99" s="321"/>
    </row>
    <row r="100" spans="1:5" ht="21.75" customHeight="1" x14ac:dyDescent="0.2">
      <c r="B100" s="493" t="s">
        <v>1943</v>
      </c>
      <c r="C100" s="451"/>
      <c r="D100" s="452"/>
    </row>
    <row r="101" spans="1:5" ht="51.75" customHeight="1" x14ac:dyDescent="0.2">
      <c r="B101" s="489" t="s">
        <v>1944</v>
      </c>
      <c r="C101" s="451"/>
      <c r="D101" s="452"/>
    </row>
    <row r="102" spans="1:5" ht="3.75" customHeight="1" x14ac:dyDescent="0.2">
      <c r="A102" s="321"/>
      <c r="B102" s="321"/>
      <c r="C102" s="321"/>
      <c r="D102" s="321"/>
      <c r="E102" s="321"/>
    </row>
    <row r="103" spans="1:5" ht="21.75" customHeight="1" x14ac:dyDescent="0.2">
      <c r="B103" s="491" t="s">
        <v>1945</v>
      </c>
      <c r="C103" s="451"/>
      <c r="D103" s="452"/>
    </row>
    <row r="104" spans="1:5" ht="51.75" customHeight="1" x14ac:dyDescent="0.2">
      <c r="B104" s="487" t="s">
        <v>1946</v>
      </c>
      <c r="C104" s="451"/>
      <c r="D104" s="452"/>
    </row>
    <row r="105" spans="1:5" ht="3.75" customHeight="1" x14ac:dyDescent="0.2">
      <c r="A105" s="321"/>
      <c r="B105" s="321"/>
      <c r="C105" s="321"/>
      <c r="D105" s="321"/>
      <c r="E105" s="321"/>
    </row>
    <row r="106" spans="1:5" ht="21.75" customHeight="1" x14ac:dyDescent="0.2">
      <c r="B106" s="493" t="s">
        <v>1947</v>
      </c>
      <c r="C106" s="451"/>
      <c r="D106" s="452"/>
    </row>
    <row r="107" spans="1:5" ht="51.75" customHeight="1" x14ac:dyDescent="0.2">
      <c r="B107" s="489" t="s">
        <v>1948</v>
      </c>
      <c r="C107" s="451"/>
      <c r="D107" s="452"/>
    </row>
    <row r="108" spans="1:5" ht="3.75" customHeight="1" x14ac:dyDescent="0.2">
      <c r="A108" s="321"/>
      <c r="B108" s="321"/>
      <c r="C108" s="321"/>
      <c r="D108" s="321"/>
      <c r="E108" s="321"/>
    </row>
    <row r="109" spans="1:5" ht="21.75" customHeight="1" x14ac:dyDescent="0.2">
      <c r="B109" s="491" t="s">
        <v>1949</v>
      </c>
      <c r="C109" s="451"/>
      <c r="D109" s="452"/>
    </row>
    <row r="110" spans="1:5" ht="51.75" customHeight="1" x14ac:dyDescent="0.2">
      <c r="B110" s="487" t="s">
        <v>1950</v>
      </c>
      <c r="C110" s="451"/>
      <c r="D110" s="452"/>
    </row>
    <row r="111" spans="1:5" ht="3.75" customHeight="1" x14ac:dyDescent="0.2">
      <c r="A111" s="321"/>
      <c r="B111" s="321"/>
      <c r="C111" s="321"/>
      <c r="D111" s="321"/>
      <c r="E111" s="321"/>
    </row>
    <row r="112" spans="1:5" ht="21.75" customHeight="1" x14ac:dyDescent="0.2">
      <c r="B112" s="493" t="s">
        <v>1951</v>
      </c>
      <c r="C112" s="451"/>
      <c r="D112" s="452"/>
    </row>
    <row r="113" spans="1:5" ht="51.75" customHeight="1" x14ac:dyDescent="0.2">
      <c r="B113" s="489" t="s">
        <v>1952</v>
      </c>
      <c r="C113" s="451"/>
      <c r="D113" s="452"/>
    </row>
    <row r="114" spans="1:5" ht="3.75" customHeight="1" x14ac:dyDescent="0.2">
      <c r="A114" s="321"/>
      <c r="B114" s="321"/>
      <c r="C114" s="321"/>
      <c r="D114" s="321"/>
      <c r="E114" s="321"/>
    </row>
    <row r="115" spans="1:5" ht="12" customHeight="1" x14ac:dyDescent="0.2">
      <c r="A115" s="321"/>
      <c r="B115" s="321"/>
      <c r="C115" s="321"/>
      <c r="D115" s="321"/>
      <c r="E115" s="321"/>
    </row>
    <row r="116" spans="1:5" ht="25.5" customHeight="1" x14ac:dyDescent="0.2">
      <c r="A116" s="480" t="s">
        <v>426</v>
      </c>
      <c r="B116" s="435"/>
      <c r="C116" s="435"/>
      <c r="D116" s="435"/>
      <c r="E116" s="435"/>
    </row>
    <row r="118" spans="1:5" ht="19.5" customHeight="1" x14ac:dyDescent="0.2">
      <c r="A118" s="494" t="s">
        <v>1953</v>
      </c>
      <c r="B118" s="435"/>
      <c r="C118" s="435"/>
      <c r="D118" s="435"/>
      <c r="E118" s="435"/>
    </row>
    <row r="119" spans="1:5" ht="30" customHeight="1" x14ac:dyDescent="0.2">
      <c r="A119" s="337" t="s">
        <v>1954</v>
      </c>
      <c r="B119" s="338" t="s">
        <v>1955</v>
      </c>
      <c r="C119" s="490" t="s">
        <v>1956</v>
      </c>
      <c r="D119" s="435"/>
      <c r="E119" s="435"/>
    </row>
    <row r="120" spans="1:5" ht="30" customHeight="1" x14ac:dyDescent="0.2">
      <c r="A120" s="337" t="s">
        <v>1957</v>
      </c>
      <c r="B120" s="338" t="s">
        <v>1958</v>
      </c>
      <c r="C120" s="490" t="s">
        <v>1959</v>
      </c>
      <c r="D120" s="435"/>
      <c r="E120" s="435"/>
    </row>
    <row r="121" spans="1:5" ht="30" customHeight="1" x14ac:dyDescent="0.2">
      <c r="A121" s="337" t="s">
        <v>1960</v>
      </c>
      <c r="B121" s="338" t="s">
        <v>1961</v>
      </c>
      <c r="C121" s="490" t="s">
        <v>1962</v>
      </c>
      <c r="D121" s="435"/>
      <c r="E121" s="435"/>
    </row>
    <row r="122" spans="1:5" ht="30" customHeight="1" x14ac:dyDescent="0.2">
      <c r="A122" s="337" t="s">
        <v>1963</v>
      </c>
      <c r="B122" s="338" t="s">
        <v>1964</v>
      </c>
      <c r="C122" s="490" t="s">
        <v>1965</v>
      </c>
      <c r="D122" s="435"/>
      <c r="E122" s="435"/>
    </row>
    <row r="123" spans="1:5" ht="30" customHeight="1" x14ac:dyDescent="0.2">
      <c r="A123" s="337" t="s">
        <v>1966</v>
      </c>
      <c r="B123" s="338" t="s">
        <v>1967</v>
      </c>
      <c r="C123" s="490" t="s">
        <v>1968</v>
      </c>
      <c r="D123" s="435"/>
      <c r="E123" s="435"/>
    </row>
    <row r="124" spans="1:5" ht="30" customHeight="1" x14ac:dyDescent="0.2">
      <c r="A124" s="337" t="s">
        <v>1969</v>
      </c>
      <c r="B124" s="338" t="s">
        <v>1970</v>
      </c>
      <c r="C124" s="490" t="s">
        <v>1971</v>
      </c>
      <c r="D124" s="435"/>
      <c r="E124" s="435"/>
    </row>
    <row r="125" spans="1:5" ht="30" customHeight="1" x14ac:dyDescent="0.2">
      <c r="A125" s="337" t="s">
        <v>1972</v>
      </c>
      <c r="B125" s="338" t="s">
        <v>1973</v>
      </c>
      <c r="C125" s="490" t="s">
        <v>1974</v>
      </c>
      <c r="D125" s="435"/>
      <c r="E125" s="435"/>
    </row>
    <row r="127" spans="1:5" ht="19.5" customHeight="1" x14ac:dyDescent="0.2">
      <c r="A127" s="499" t="s">
        <v>1975</v>
      </c>
      <c r="B127" s="435"/>
      <c r="C127" s="435"/>
      <c r="D127" s="435"/>
      <c r="E127" s="435"/>
    </row>
    <row r="128" spans="1:5" ht="34.5" customHeight="1" x14ac:dyDescent="0.2">
      <c r="A128" s="339" t="s">
        <v>1976</v>
      </c>
      <c r="B128" s="337" t="s">
        <v>1977</v>
      </c>
      <c r="C128" s="488" t="s">
        <v>1978</v>
      </c>
      <c r="D128" s="435"/>
      <c r="E128" s="435"/>
    </row>
    <row r="129" spans="1:5" ht="34.5" customHeight="1" x14ac:dyDescent="0.2">
      <c r="A129" s="339" t="s">
        <v>1979</v>
      </c>
      <c r="B129" s="337" t="s">
        <v>1980</v>
      </c>
      <c r="C129" s="488" t="s">
        <v>1981</v>
      </c>
      <c r="D129" s="435"/>
      <c r="E129" s="435"/>
    </row>
    <row r="130" spans="1:5" ht="34.5" customHeight="1" x14ac:dyDescent="0.2">
      <c r="A130" s="339" t="s">
        <v>1982</v>
      </c>
      <c r="B130" s="337" t="s">
        <v>1983</v>
      </c>
      <c r="C130" s="488" t="s">
        <v>1984</v>
      </c>
      <c r="D130" s="435"/>
      <c r="E130" s="435"/>
    </row>
    <row r="131" spans="1:5" ht="34.5" customHeight="1" x14ac:dyDescent="0.2">
      <c r="A131" s="339" t="s">
        <v>1985</v>
      </c>
      <c r="B131" s="337" t="s">
        <v>1986</v>
      </c>
      <c r="C131" s="488" t="s">
        <v>1987</v>
      </c>
      <c r="D131" s="435"/>
      <c r="E131" s="435"/>
    </row>
    <row r="132" spans="1:5" ht="34.5" customHeight="1" x14ac:dyDescent="0.2">
      <c r="A132" s="339" t="s">
        <v>1988</v>
      </c>
      <c r="B132" s="337" t="s">
        <v>1989</v>
      </c>
      <c r="C132" s="488" t="s">
        <v>1990</v>
      </c>
      <c r="D132" s="435"/>
      <c r="E132" s="435"/>
    </row>
    <row r="133" spans="1:5" ht="34.5" customHeight="1" x14ac:dyDescent="0.2">
      <c r="A133" s="339" t="s">
        <v>1991</v>
      </c>
      <c r="B133" s="337" t="s">
        <v>1992</v>
      </c>
      <c r="C133" s="488" t="s">
        <v>1993</v>
      </c>
      <c r="D133" s="435"/>
      <c r="E133" s="435"/>
    </row>
    <row r="134" spans="1:5" ht="34.5" customHeight="1" x14ac:dyDescent="0.2">
      <c r="A134" s="339" t="s">
        <v>1994</v>
      </c>
      <c r="B134" s="337" t="s">
        <v>1995</v>
      </c>
      <c r="C134" s="488" t="s">
        <v>1996</v>
      </c>
      <c r="D134" s="435"/>
      <c r="E134" s="435"/>
    </row>
    <row r="135" spans="1:5" ht="34.5" customHeight="1" x14ac:dyDescent="0.2">
      <c r="A135" s="339" t="s">
        <v>1997</v>
      </c>
      <c r="B135" s="337" t="s">
        <v>1998</v>
      </c>
      <c r="C135" s="488" t="s">
        <v>1999</v>
      </c>
      <c r="D135" s="435"/>
      <c r="E135" s="435"/>
    </row>
    <row r="136" spans="1:5" ht="34.5" customHeight="1" x14ac:dyDescent="0.2">
      <c r="A136" s="339" t="s">
        <v>2000</v>
      </c>
      <c r="B136" s="337" t="s">
        <v>2001</v>
      </c>
      <c r="C136" s="488" t="s">
        <v>2002</v>
      </c>
      <c r="D136" s="435"/>
      <c r="E136" s="435"/>
    </row>
  </sheetData>
  <mergeCells count="66">
    <mergeCell ref="B22:D22"/>
    <mergeCell ref="B18:D18"/>
    <mergeCell ref="B27:D27"/>
    <mergeCell ref="C128:E128"/>
    <mergeCell ref="B12:D12"/>
    <mergeCell ref="B77:D77"/>
    <mergeCell ref="A127:E127"/>
    <mergeCell ref="B48:D48"/>
    <mergeCell ref="C136:E136"/>
    <mergeCell ref="A116:E116"/>
    <mergeCell ref="C131:E131"/>
    <mergeCell ref="B106:D106"/>
    <mergeCell ref="B100:D100"/>
    <mergeCell ref="B113:D113"/>
    <mergeCell ref="B109:D109"/>
    <mergeCell ref="B5:D5"/>
    <mergeCell ref="B94:D94"/>
    <mergeCell ref="A2:E2"/>
    <mergeCell ref="B63:D63"/>
    <mergeCell ref="B110:D110"/>
    <mergeCell ref="B32:D32"/>
    <mergeCell ref="B4:D4"/>
    <mergeCell ref="B35:D35"/>
    <mergeCell ref="B26:D26"/>
    <mergeCell ref="B50:D50"/>
    <mergeCell ref="B97:D97"/>
    <mergeCell ref="B91:D91"/>
    <mergeCell ref="B7:D7"/>
    <mergeCell ref="B25:D25"/>
    <mergeCell ref="B16:D16"/>
    <mergeCell ref="B31:D31"/>
    <mergeCell ref="C135:E135"/>
    <mergeCell ref="B92:D92"/>
    <mergeCell ref="A118:E118"/>
    <mergeCell ref="B30:D30"/>
    <mergeCell ref="B83:D83"/>
    <mergeCell ref="C122:E122"/>
    <mergeCell ref="B95:D95"/>
    <mergeCell ref="C125:E125"/>
    <mergeCell ref="B33:D33"/>
    <mergeCell ref="B89:D89"/>
    <mergeCell ref="B104:D104"/>
    <mergeCell ref="B13:D13"/>
    <mergeCell ref="A1:E1"/>
    <mergeCell ref="B29:D29"/>
    <mergeCell ref="C121:E121"/>
    <mergeCell ref="C130:E130"/>
    <mergeCell ref="B103:D103"/>
    <mergeCell ref="B10:D10"/>
    <mergeCell ref="B28:D28"/>
    <mergeCell ref="B112:D112"/>
    <mergeCell ref="B19:D19"/>
    <mergeCell ref="C120:E120"/>
    <mergeCell ref="C123:E123"/>
    <mergeCell ref="C119:E119"/>
    <mergeCell ref="B9:D9"/>
    <mergeCell ref="B15:D15"/>
    <mergeCell ref="B24:D24"/>
    <mergeCell ref="B98:D98"/>
    <mergeCell ref="C134:E134"/>
    <mergeCell ref="B107:D107"/>
    <mergeCell ref="C124:E124"/>
    <mergeCell ref="B101:D101"/>
    <mergeCell ref="C133:E133"/>
    <mergeCell ref="C129:E129"/>
    <mergeCell ref="C132:E13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5"/>
  <sheetViews>
    <sheetView zoomScaleNormal="100" workbookViewId="0"/>
  </sheetViews>
  <sheetFormatPr baseColWidth="10" defaultColWidth="8.6640625" defaultRowHeight="15" x14ac:dyDescent="0.2"/>
  <cols>
    <col min="1" max="1" width="22" customWidth="1"/>
    <col min="2" max="2" width="28" customWidth="1"/>
    <col min="3" max="3" width="14" customWidth="1"/>
    <col min="4" max="4" width="28" customWidth="1"/>
    <col min="5" max="5" width="24" customWidth="1"/>
    <col min="6" max="6" width="28" customWidth="1"/>
    <col min="7" max="7" width="20" customWidth="1"/>
    <col min="8" max="8" width="36" customWidth="1"/>
    <col min="9" max="9" width="44" customWidth="1"/>
    <col min="10" max="10" width="26" customWidth="1"/>
    <col min="11" max="11" width="52" customWidth="1"/>
  </cols>
  <sheetData>
    <row r="1" spans="1:11" ht="24" customHeight="1" x14ac:dyDescent="0.2">
      <c r="A1" s="502" t="s">
        <v>2003</v>
      </c>
      <c r="B1" s="435"/>
      <c r="C1" s="435"/>
      <c r="D1" s="435"/>
      <c r="E1" s="435"/>
      <c r="F1" s="435"/>
      <c r="G1" s="435"/>
      <c r="H1" s="435"/>
      <c r="I1" s="435"/>
      <c r="J1" s="435"/>
      <c r="K1" s="435"/>
    </row>
    <row r="2" spans="1:11" ht="15" customHeight="1" x14ac:dyDescent="0.2">
      <c r="A2" s="500" t="s">
        <v>2004</v>
      </c>
      <c r="B2" s="435"/>
      <c r="C2" s="435"/>
      <c r="D2" s="435"/>
      <c r="E2" s="435"/>
      <c r="F2" s="435"/>
      <c r="G2" s="435"/>
      <c r="H2" s="435"/>
      <c r="I2" s="435"/>
      <c r="J2" s="435"/>
      <c r="K2" s="435"/>
    </row>
    <row r="4" spans="1:11" ht="19.5" customHeight="1" x14ac:dyDescent="0.2">
      <c r="A4" s="501" t="s">
        <v>2005</v>
      </c>
      <c r="B4" s="435"/>
      <c r="C4" s="435"/>
      <c r="D4" s="435"/>
      <c r="E4" s="435"/>
      <c r="F4" s="435"/>
      <c r="G4" s="435"/>
      <c r="H4" s="435"/>
      <c r="I4" s="435"/>
      <c r="J4" s="435"/>
      <c r="K4" s="435"/>
    </row>
    <row r="5" spans="1:11" ht="15" customHeight="1" x14ac:dyDescent="0.2">
      <c r="A5" s="97" t="s">
        <v>2006</v>
      </c>
      <c r="B5" s="97" t="s">
        <v>80</v>
      </c>
      <c r="C5" s="97" t="s">
        <v>78</v>
      </c>
      <c r="D5" s="97" t="s">
        <v>79</v>
      </c>
      <c r="E5" s="97" t="s">
        <v>83</v>
      </c>
      <c r="F5" s="97" t="s">
        <v>2007</v>
      </c>
      <c r="G5" s="97" t="s">
        <v>2008</v>
      </c>
      <c r="H5" s="97" t="s">
        <v>2009</v>
      </c>
      <c r="I5" s="97" t="s">
        <v>2010</v>
      </c>
      <c r="J5" s="97" t="s">
        <v>84</v>
      </c>
      <c r="K5" s="97" t="s">
        <v>2011</v>
      </c>
    </row>
    <row r="6" spans="1:11" ht="45" customHeight="1" x14ac:dyDescent="0.2">
      <c r="A6" s="108" t="s">
        <v>2012</v>
      </c>
      <c r="B6" s="340" t="s">
        <v>2013</v>
      </c>
      <c r="C6" s="108" t="s">
        <v>2014</v>
      </c>
      <c r="D6" s="108" t="s">
        <v>2015</v>
      </c>
      <c r="E6" s="108" t="s">
        <v>2016</v>
      </c>
      <c r="F6" s="340" t="s">
        <v>2017</v>
      </c>
      <c r="G6" s="340" t="s">
        <v>2018</v>
      </c>
      <c r="H6" s="340" t="s">
        <v>2019</v>
      </c>
      <c r="I6" s="340" t="s">
        <v>2020</v>
      </c>
      <c r="J6" s="117" t="s">
        <v>1085</v>
      </c>
      <c r="K6" s="340" t="s">
        <v>2021</v>
      </c>
    </row>
    <row r="7" spans="1:11" ht="45" customHeight="1" x14ac:dyDescent="0.2">
      <c r="A7" s="108" t="s">
        <v>2022</v>
      </c>
      <c r="B7" s="340" t="s">
        <v>2023</v>
      </c>
      <c r="C7" s="108" t="s">
        <v>2024</v>
      </c>
      <c r="D7" s="108" t="s">
        <v>2025</v>
      </c>
      <c r="E7" s="108" t="s">
        <v>2016</v>
      </c>
      <c r="F7" s="340" t="s">
        <v>2026</v>
      </c>
      <c r="G7" s="340" t="s">
        <v>2027</v>
      </c>
      <c r="H7" s="340" t="s">
        <v>2028</v>
      </c>
      <c r="I7" s="340" t="s">
        <v>2029</v>
      </c>
      <c r="J7" s="117" t="s">
        <v>1085</v>
      </c>
      <c r="K7" s="340" t="s">
        <v>2030</v>
      </c>
    </row>
    <row r="8" spans="1:11" ht="45" customHeight="1" x14ac:dyDescent="0.2">
      <c r="A8" s="108" t="s">
        <v>2031</v>
      </c>
      <c r="B8" s="340" t="s">
        <v>2032</v>
      </c>
      <c r="C8" s="108" t="s">
        <v>2033</v>
      </c>
      <c r="D8" s="108" t="s">
        <v>2034</v>
      </c>
      <c r="E8" s="117" t="s">
        <v>2035</v>
      </c>
      <c r="F8" s="340" t="s">
        <v>2036</v>
      </c>
      <c r="G8" s="340" t="s">
        <v>2037</v>
      </c>
      <c r="H8" s="340" t="s">
        <v>2038</v>
      </c>
      <c r="I8" s="340" t="s">
        <v>2039</v>
      </c>
      <c r="J8" s="117" t="s">
        <v>1085</v>
      </c>
      <c r="K8" s="340" t="s">
        <v>2040</v>
      </c>
    </row>
    <row r="9" spans="1:11" ht="45" customHeight="1" x14ac:dyDescent="0.2">
      <c r="A9" s="108" t="s">
        <v>2041</v>
      </c>
      <c r="B9" s="340" t="s">
        <v>2042</v>
      </c>
      <c r="C9" s="108" t="s">
        <v>2043</v>
      </c>
      <c r="D9" s="108" t="s">
        <v>2044</v>
      </c>
      <c r="E9" s="110" t="s">
        <v>2045</v>
      </c>
      <c r="F9" s="340" t="s">
        <v>2046</v>
      </c>
      <c r="G9" s="340" t="s">
        <v>2027</v>
      </c>
      <c r="H9" s="340" t="s">
        <v>2047</v>
      </c>
      <c r="I9" s="340" t="s">
        <v>2048</v>
      </c>
      <c r="J9" s="110" t="s">
        <v>1081</v>
      </c>
      <c r="K9" s="340" t="s">
        <v>2049</v>
      </c>
    </row>
    <row r="10" spans="1:11" ht="45" customHeight="1" x14ac:dyDescent="0.2">
      <c r="A10" s="108" t="s">
        <v>2050</v>
      </c>
      <c r="B10" s="340" t="s">
        <v>2051</v>
      </c>
      <c r="C10" s="108" t="s">
        <v>2052</v>
      </c>
      <c r="D10" s="108" t="s">
        <v>2053</v>
      </c>
      <c r="E10" s="117" t="s">
        <v>2035</v>
      </c>
      <c r="F10" s="340" t="s">
        <v>2054</v>
      </c>
      <c r="G10" s="340" t="s">
        <v>2055</v>
      </c>
      <c r="H10" s="340" t="s">
        <v>2056</v>
      </c>
      <c r="I10" s="340" t="s">
        <v>2057</v>
      </c>
      <c r="J10" s="108" t="s">
        <v>768</v>
      </c>
      <c r="K10" s="340" t="s">
        <v>2058</v>
      </c>
    </row>
    <row r="11" spans="1:11" ht="45" customHeight="1" x14ac:dyDescent="0.2">
      <c r="A11" s="108" t="s">
        <v>2059</v>
      </c>
      <c r="B11" s="340" t="s">
        <v>2060</v>
      </c>
      <c r="C11" s="108" t="s">
        <v>2061</v>
      </c>
      <c r="D11" s="108" t="s">
        <v>2062</v>
      </c>
      <c r="E11" s="117" t="s">
        <v>2035</v>
      </c>
      <c r="F11" s="340" t="s">
        <v>2063</v>
      </c>
      <c r="G11" s="340" t="s">
        <v>2037</v>
      </c>
      <c r="H11" s="340" t="s">
        <v>2064</v>
      </c>
      <c r="I11" s="340" t="s">
        <v>2065</v>
      </c>
      <c r="J11" s="117" t="s">
        <v>1085</v>
      </c>
      <c r="K11" s="340" t="s">
        <v>2066</v>
      </c>
    </row>
    <row r="15" spans="1:11" ht="19.5" customHeight="1" x14ac:dyDescent="0.2">
      <c r="A15" s="501" t="s">
        <v>2067</v>
      </c>
      <c r="B15" s="435"/>
      <c r="C15" s="435"/>
      <c r="D15" s="435"/>
      <c r="E15" s="435"/>
      <c r="F15" s="435"/>
      <c r="G15" s="435"/>
      <c r="H15" s="435"/>
      <c r="I15" s="435"/>
      <c r="J15" s="435"/>
      <c r="K15" s="435"/>
    </row>
    <row r="16" spans="1:11" ht="21.75" customHeight="1" x14ac:dyDescent="0.2">
      <c r="A16" s="97" t="s">
        <v>820</v>
      </c>
      <c r="B16" s="97" t="s">
        <v>2006</v>
      </c>
      <c r="C16" s="97" t="s">
        <v>2068</v>
      </c>
      <c r="D16" s="97" t="s">
        <v>2069</v>
      </c>
      <c r="E16" s="97" t="s">
        <v>79</v>
      </c>
      <c r="F16" s="97" t="s">
        <v>2070</v>
      </c>
      <c r="G16" s="97" t="s">
        <v>2071</v>
      </c>
      <c r="H16" s="97" t="s">
        <v>2007</v>
      </c>
      <c r="I16" s="97" t="s">
        <v>2072</v>
      </c>
      <c r="J16" s="97" t="s">
        <v>2073</v>
      </c>
      <c r="K16" s="97" t="s">
        <v>2074</v>
      </c>
    </row>
    <row r="17" spans="1:11" ht="54.75" customHeight="1" x14ac:dyDescent="0.2">
      <c r="A17" s="341" t="s">
        <v>668</v>
      </c>
      <c r="B17" s="340" t="s">
        <v>2075</v>
      </c>
      <c r="C17" s="340" t="s">
        <v>2076</v>
      </c>
      <c r="D17" s="340" t="s">
        <v>2077</v>
      </c>
      <c r="E17" s="340" t="s">
        <v>88</v>
      </c>
      <c r="F17" s="340" t="s">
        <v>2078</v>
      </c>
      <c r="G17" s="117" t="s">
        <v>882</v>
      </c>
      <c r="H17" s="340" t="s">
        <v>2079</v>
      </c>
      <c r="I17" s="108" t="s">
        <v>2080</v>
      </c>
      <c r="J17" s="340" t="s">
        <v>2081</v>
      </c>
      <c r="K17" s="340" t="s">
        <v>2082</v>
      </c>
    </row>
    <row r="18" spans="1:11" ht="54.75" customHeight="1" x14ac:dyDescent="0.2">
      <c r="A18" s="341" t="s">
        <v>670</v>
      </c>
      <c r="B18" s="340" t="s">
        <v>2083</v>
      </c>
      <c r="C18" s="340" t="s">
        <v>882</v>
      </c>
      <c r="D18" s="340" t="s">
        <v>882</v>
      </c>
      <c r="E18" s="340" t="s">
        <v>882</v>
      </c>
      <c r="F18" s="340" t="s">
        <v>882</v>
      </c>
      <c r="G18" s="117" t="s">
        <v>882</v>
      </c>
      <c r="H18" s="340" t="s">
        <v>2084</v>
      </c>
      <c r="I18" s="117" t="s">
        <v>2085</v>
      </c>
      <c r="J18" s="340" t="s">
        <v>88</v>
      </c>
      <c r="K18" s="340" t="s">
        <v>2086</v>
      </c>
    </row>
    <row r="19" spans="1:11" ht="54.75" customHeight="1" x14ac:dyDescent="0.2">
      <c r="A19" s="341" t="s">
        <v>671</v>
      </c>
      <c r="B19" s="340" t="s">
        <v>2087</v>
      </c>
      <c r="C19" s="340" t="s">
        <v>2088</v>
      </c>
      <c r="D19" s="340" t="s">
        <v>2089</v>
      </c>
      <c r="E19" s="340" t="s">
        <v>97</v>
      </c>
      <c r="F19" s="340" t="s">
        <v>2090</v>
      </c>
      <c r="G19" s="110" t="s">
        <v>2091</v>
      </c>
      <c r="H19" s="340" t="s">
        <v>2092</v>
      </c>
      <c r="I19" s="108" t="s">
        <v>2093</v>
      </c>
      <c r="J19" s="340" t="s">
        <v>2094</v>
      </c>
      <c r="K19" s="340" t="s">
        <v>2095</v>
      </c>
    </row>
    <row r="20" spans="1:11" ht="54.75" customHeight="1" x14ac:dyDescent="0.2">
      <c r="A20" s="341" t="s">
        <v>672</v>
      </c>
      <c r="B20" s="340" t="s">
        <v>2096</v>
      </c>
      <c r="C20" s="340" t="s">
        <v>88</v>
      </c>
      <c r="D20" s="340" t="s">
        <v>88</v>
      </c>
      <c r="E20" s="340" t="s">
        <v>88</v>
      </c>
      <c r="F20" s="340" t="s">
        <v>88</v>
      </c>
      <c r="G20" s="117" t="s">
        <v>882</v>
      </c>
      <c r="H20" s="340" t="s">
        <v>2097</v>
      </c>
      <c r="I20" s="117" t="s">
        <v>2098</v>
      </c>
      <c r="J20" s="340" t="s">
        <v>88</v>
      </c>
      <c r="K20" s="340" t="s">
        <v>2099</v>
      </c>
    </row>
    <row r="21" spans="1:11" ht="54.75" customHeight="1" x14ac:dyDescent="0.2">
      <c r="A21" s="341" t="s">
        <v>673</v>
      </c>
      <c r="B21" s="340" t="s">
        <v>2100</v>
      </c>
      <c r="C21" s="340" t="s">
        <v>2101</v>
      </c>
      <c r="D21" s="340" t="s">
        <v>2101</v>
      </c>
      <c r="E21" s="340" t="s">
        <v>2101</v>
      </c>
      <c r="F21" s="340" t="s">
        <v>2101</v>
      </c>
      <c r="G21" s="108" t="s">
        <v>2101</v>
      </c>
      <c r="H21" s="340" t="s">
        <v>2102</v>
      </c>
      <c r="I21" s="117" t="s">
        <v>2103</v>
      </c>
      <c r="J21" s="340" t="s">
        <v>2101</v>
      </c>
      <c r="K21" s="340" t="s">
        <v>2104</v>
      </c>
    </row>
    <row r="22" spans="1:11" ht="54.75" customHeight="1" x14ac:dyDescent="0.2">
      <c r="A22" s="341" t="s">
        <v>674</v>
      </c>
      <c r="B22" s="340" t="s">
        <v>2105</v>
      </c>
      <c r="C22" s="340" t="s">
        <v>2106</v>
      </c>
      <c r="D22" s="340" t="s">
        <v>2107</v>
      </c>
      <c r="E22" s="340" t="s">
        <v>2108</v>
      </c>
      <c r="F22" s="340" t="s">
        <v>2109</v>
      </c>
      <c r="G22" s="110" t="s">
        <v>2110</v>
      </c>
      <c r="H22" s="340" t="s">
        <v>2111</v>
      </c>
      <c r="I22" s="108" t="s">
        <v>2112</v>
      </c>
      <c r="J22" s="340" t="s">
        <v>2113</v>
      </c>
      <c r="K22" s="340" t="s">
        <v>2114</v>
      </c>
    </row>
    <row r="23" spans="1:11" ht="54.75" customHeight="1" x14ac:dyDescent="0.2">
      <c r="A23" s="341" t="s">
        <v>675</v>
      </c>
      <c r="B23" s="340" t="s">
        <v>2115</v>
      </c>
      <c r="C23" s="340" t="s">
        <v>2116</v>
      </c>
      <c r="D23" s="340" t="s">
        <v>2117</v>
      </c>
      <c r="E23" s="340" t="s">
        <v>97</v>
      </c>
      <c r="F23" s="340" t="s">
        <v>2118</v>
      </c>
      <c r="G23" s="110" t="s">
        <v>2110</v>
      </c>
      <c r="H23" s="340" t="s">
        <v>2119</v>
      </c>
      <c r="I23" s="110" t="s">
        <v>2120</v>
      </c>
      <c r="J23" s="340" t="s">
        <v>2121</v>
      </c>
      <c r="K23" s="340" t="s">
        <v>2122</v>
      </c>
    </row>
    <row r="24" spans="1:11" ht="54.75" customHeight="1" x14ac:dyDescent="0.2">
      <c r="A24" s="341" t="s">
        <v>676</v>
      </c>
      <c r="B24" s="340" t="s">
        <v>2083</v>
      </c>
      <c r="C24" s="340" t="s">
        <v>88</v>
      </c>
      <c r="D24" s="340" t="s">
        <v>88</v>
      </c>
      <c r="E24" s="340" t="s">
        <v>88</v>
      </c>
      <c r="F24" s="340" t="s">
        <v>88</v>
      </c>
      <c r="G24" s="117" t="s">
        <v>882</v>
      </c>
      <c r="H24" s="340" t="s">
        <v>2123</v>
      </c>
      <c r="I24" s="117" t="s">
        <v>2124</v>
      </c>
      <c r="J24" s="340" t="s">
        <v>88</v>
      </c>
      <c r="K24" s="340" t="s">
        <v>2125</v>
      </c>
    </row>
    <row r="25" spans="1:11" ht="54.75" customHeight="1" x14ac:dyDescent="0.2">
      <c r="A25" s="341" t="s">
        <v>677</v>
      </c>
      <c r="B25" s="340" t="s">
        <v>2126</v>
      </c>
      <c r="C25" s="340" t="s">
        <v>2127</v>
      </c>
      <c r="D25" s="340" t="s">
        <v>2128</v>
      </c>
      <c r="E25" s="340" t="s">
        <v>2129</v>
      </c>
      <c r="F25" s="340" t="s">
        <v>2130</v>
      </c>
      <c r="G25" s="110" t="s">
        <v>2110</v>
      </c>
      <c r="H25" s="340" t="s">
        <v>2131</v>
      </c>
      <c r="I25" s="166" t="s">
        <v>2132</v>
      </c>
      <c r="J25" s="340" t="s">
        <v>2133</v>
      </c>
      <c r="K25" s="340" t="s">
        <v>2134</v>
      </c>
    </row>
  </sheetData>
  <mergeCells count="4">
    <mergeCell ref="A2:K2"/>
    <mergeCell ref="A4:K4"/>
    <mergeCell ref="A15:K15"/>
    <mergeCell ref="A1:K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53"/>
  <sheetViews>
    <sheetView zoomScaleNormal="100" workbookViewId="0"/>
  </sheetViews>
  <sheetFormatPr baseColWidth="10" defaultColWidth="8.6640625" defaultRowHeight="15" x14ac:dyDescent="0.2"/>
  <cols>
    <col min="1" max="1" width="24" customWidth="1"/>
    <col min="2" max="2" width="18" customWidth="1"/>
    <col min="3" max="3" width="16" customWidth="1"/>
    <col min="4" max="4" width="32" customWidth="1"/>
    <col min="5" max="5" width="42" customWidth="1"/>
    <col min="6" max="6" width="36" customWidth="1"/>
    <col min="7" max="7" width="30" customWidth="1"/>
    <col min="8" max="8" width="18" customWidth="1"/>
    <col min="9" max="9" width="16" customWidth="1"/>
    <col min="10" max="10" width="40" customWidth="1"/>
  </cols>
  <sheetData>
    <row r="1" spans="1:10" ht="24" customHeight="1" x14ac:dyDescent="0.2">
      <c r="A1" s="502" t="s">
        <v>2135</v>
      </c>
      <c r="B1" s="435"/>
      <c r="C1" s="435"/>
      <c r="D1" s="435"/>
      <c r="E1" s="435"/>
      <c r="F1" s="435"/>
      <c r="G1" s="435"/>
      <c r="H1" s="435"/>
      <c r="I1" s="435"/>
      <c r="J1" s="435"/>
    </row>
    <row r="2" spans="1:10" ht="15" customHeight="1" x14ac:dyDescent="0.2">
      <c r="A2" s="500" t="s">
        <v>2136</v>
      </c>
      <c r="B2" s="435"/>
      <c r="C2" s="435"/>
      <c r="D2" s="435"/>
      <c r="E2" s="435"/>
      <c r="F2" s="435"/>
      <c r="G2" s="435"/>
      <c r="H2" s="435"/>
      <c r="I2" s="435"/>
      <c r="J2" s="435"/>
    </row>
    <row r="4" spans="1:10" ht="19.5" customHeight="1" x14ac:dyDescent="0.2">
      <c r="A4" s="501" t="s">
        <v>2137</v>
      </c>
      <c r="B4" s="435"/>
      <c r="C4" s="435"/>
      <c r="D4" s="435"/>
      <c r="E4" s="435"/>
      <c r="F4" s="435"/>
      <c r="G4" s="435"/>
      <c r="H4" s="435"/>
      <c r="I4" s="435"/>
      <c r="J4" s="435"/>
    </row>
    <row r="5" spans="1:10" ht="21.75" customHeight="1" x14ac:dyDescent="0.2">
      <c r="A5" s="97" t="s">
        <v>820</v>
      </c>
      <c r="B5" s="97" t="s">
        <v>84</v>
      </c>
      <c r="C5" s="97" t="s">
        <v>2138</v>
      </c>
      <c r="D5" s="97" t="s">
        <v>2139</v>
      </c>
      <c r="E5" s="97" t="s">
        <v>2140</v>
      </c>
      <c r="F5" s="97" t="s">
        <v>2141</v>
      </c>
      <c r="G5" s="97" t="s">
        <v>2142</v>
      </c>
      <c r="H5" s="97" t="s">
        <v>2143</v>
      </c>
      <c r="I5" s="97" t="s">
        <v>30</v>
      </c>
      <c r="J5" s="97" t="s">
        <v>2074</v>
      </c>
    </row>
    <row r="6" spans="1:10" ht="69.75" customHeight="1" x14ac:dyDescent="0.2">
      <c r="A6" s="306" t="s">
        <v>523</v>
      </c>
      <c r="B6" s="342" t="s">
        <v>548</v>
      </c>
      <c r="C6" s="343" t="s">
        <v>2144</v>
      </c>
      <c r="D6" s="344" t="s">
        <v>2145</v>
      </c>
      <c r="E6" s="343" t="s">
        <v>2146</v>
      </c>
      <c r="F6" s="343" t="s">
        <v>2147</v>
      </c>
      <c r="G6" s="345" t="s">
        <v>2148</v>
      </c>
      <c r="H6" s="346" t="s">
        <v>2149</v>
      </c>
      <c r="I6" s="343" t="s">
        <v>2150</v>
      </c>
      <c r="J6" s="343" t="s">
        <v>2151</v>
      </c>
    </row>
    <row r="7" spans="1:10" ht="69.75" customHeight="1" x14ac:dyDescent="0.2">
      <c r="A7" s="306" t="s">
        <v>550</v>
      </c>
      <c r="B7" s="308" t="s">
        <v>552</v>
      </c>
      <c r="C7" s="343" t="s">
        <v>2152</v>
      </c>
      <c r="D7" s="344" t="s">
        <v>2153</v>
      </c>
      <c r="E7" s="343" t="s">
        <v>2154</v>
      </c>
      <c r="F7" s="343" t="s">
        <v>2155</v>
      </c>
      <c r="G7" s="345" t="s">
        <v>2156</v>
      </c>
      <c r="H7" s="346" t="s">
        <v>2157</v>
      </c>
      <c r="I7" s="343" t="s">
        <v>733</v>
      </c>
      <c r="J7" s="343" t="s">
        <v>2158</v>
      </c>
    </row>
    <row r="8" spans="1:10" ht="69.75" customHeight="1" x14ac:dyDescent="0.2">
      <c r="A8" s="306" t="s">
        <v>504</v>
      </c>
      <c r="B8" s="308" t="s">
        <v>554</v>
      </c>
      <c r="C8" s="343" t="s">
        <v>2159</v>
      </c>
      <c r="D8" s="344" t="s">
        <v>2160</v>
      </c>
      <c r="E8" s="343" t="s">
        <v>2161</v>
      </c>
      <c r="F8" s="343" t="s">
        <v>2162</v>
      </c>
      <c r="G8" s="345" t="s">
        <v>2163</v>
      </c>
      <c r="H8" s="346" t="s">
        <v>2164</v>
      </c>
      <c r="I8" s="343" t="s">
        <v>733</v>
      </c>
      <c r="J8" s="343" t="s">
        <v>2165</v>
      </c>
    </row>
    <row r="9" spans="1:10" ht="69.75" customHeight="1" x14ac:dyDescent="0.2">
      <c r="A9" s="306" t="s">
        <v>508</v>
      </c>
      <c r="B9" s="342" t="s">
        <v>555</v>
      </c>
      <c r="C9" s="343" t="s">
        <v>2166</v>
      </c>
      <c r="D9" s="344" t="s">
        <v>2167</v>
      </c>
      <c r="E9" s="343" t="s">
        <v>2168</v>
      </c>
      <c r="F9" s="343" t="s">
        <v>2169</v>
      </c>
      <c r="G9" s="345" t="s">
        <v>2170</v>
      </c>
      <c r="H9" s="346" t="s">
        <v>2171</v>
      </c>
      <c r="I9" s="343" t="s">
        <v>2172</v>
      </c>
      <c r="J9" s="343" t="s">
        <v>2173</v>
      </c>
    </row>
    <row r="10" spans="1:10" ht="69.75" customHeight="1" x14ac:dyDescent="0.2">
      <c r="A10" s="306" t="s">
        <v>512</v>
      </c>
      <c r="B10" s="308" t="s">
        <v>557</v>
      </c>
      <c r="C10" s="343" t="s">
        <v>2174</v>
      </c>
      <c r="D10" s="344" t="s">
        <v>2175</v>
      </c>
      <c r="E10" s="343" t="s">
        <v>2176</v>
      </c>
      <c r="F10" s="343" t="s">
        <v>2177</v>
      </c>
      <c r="G10" s="345" t="s">
        <v>2178</v>
      </c>
      <c r="H10" s="346" t="s">
        <v>2179</v>
      </c>
      <c r="I10" s="343" t="s">
        <v>733</v>
      </c>
      <c r="J10" s="343" t="s">
        <v>2180</v>
      </c>
    </row>
    <row r="11" spans="1:10" ht="69.75" customHeight="1" x14ac:dyDescent="0.2">
      <c r="A11" s="306" t="s">
        <v>519</v>
      </c>
      <c r="B11" s="308" t="s">
        <v>559</v>
      </c>
      <c r="C11" s="343" t="s">
        <v>2181</v>
      </c>
      <c r="D11" s="344" t="s">
        <v>2182</v>
      </c>
      <c r="E11" s="343" t="s">
        <v>2183</v>
      </c>
      <c r="F11" s="343" t="s">
        <v>2184</v>
      </c>
      <c r="G11" s="345" t="s">
        <v>2185</v>
      </c>
      <c r="H11" s="346" t="s">
        <v>2186</v>
      </c>
      <c r="I11" s="343" t="s">
        <v>733</v>
      </c>
      <c r="J11" s="343" t="s">
        <v>2187</v>
      </c>
    </row>
    <row r="12" spans="1:10" ht="69.75" customHeight="1" x14ac:dyDescent="0.2">
      <c r="A12" s="306" t="s">
        <v>499</v>
      </c>
      <c r="B12" s="308" t="s">
        <v>561</v>
      </c>
      <c r="C12" s="343" t="s">
        <v>2188</v>
      </c>
      <c r="D12" s="344" t="s">
        <v>2189</v>
      </c>
      <c r="E12" s="343" t="s">
        <v>2190</v>
      </c>
      <c r="F12" s="343" t="s">
        <v>2191</v>
      </c>
      <c r="G12" s="345" t="s">
        <v>2192</v>
      </c>
      <c r="H12" s="346" t="s">
        <v>2193</v>
      </c>
      <c r="I12" s="343" t="s">
        <v>2194</v>
      </c>
      <c r="J12" s="343" t="s">
        <v>2195</v>
      </c>
    </row>
    <row r="13" spans="1:10" ht="69.75" customHeight="1" x14ac:dyDescent="0.2">
      <c r="A13" s="306" t="s">
        <v>488</v>
      </c>
      <c r="B13" s="347" t="s">
        <v>563</v>
      </c>
      <c r="C13" s="343" t="s">
        <v>2196</v>
      </c>
      <c r="D13" s="344" t="s">
        <v>2197</v>
      </c>
      <c r="E13" s="343" t="s">
        <v>2198</v>
      </c>
      <c r="F13" s="343" t="s">
        <v>2199</v>
      </c>
      <c r="G13" s="345" t="s">
        <v>2200</v>
      </c>
      <c r="H13" s="346" t="s">
        <v>2201</v>
      </c>
      <c r="I13" s="343" t="s">
        <v>2202</v>
      </c>
      <c r="J13" s="343" t="s">
        <v>2203</v>
      </c>
    </row>
    <row r="14" spans="1:10" ht="69.75" customHeight="1" x14ac:dyDescent="0.2">
      <c r="A14" s="306" t="s">
        <v>516</v>
      </c>
      <c r="B14" s="308" t="s">
        <v>565</v>
      </c>
      <c r="C14" s="343" t="s">
        <v>2204</v>
      </c>
      <c r="D14" s="344" t="s">
        <v>2205</v>
      </c>
      <c r="E14" s="343" t="s">
        <v>2206</v>
      </c>
      <c r="F14" s="343" t="s">
        <v>2207</v>
      </c>
      <c r="G14" s="345" t="s">
        <v>2208</v>
      </c>
      <c r="H14" s="346" t="s">
        <v>2209</v>
      </c>
      <c r="I14" s="343" t="s">
        <v>2194</v>
      </c>
      <c r="J14" s="343" t="s">
        <v>2210</v>
      </c>
    </row>
    <row r="18" spans="1:10" ht="19.5" customHeight="1" x14ac:dyDescent="0.2">
      <c r="A18" s="501" t="s">
        <v>2211</v>
      </c>
      <c r="B18" s="435"/>
      <c r="C18" s="435"/>
      <c r="D18" s="435"/>
      <c r="E18" s="435"/>
      <c r="F18" s="435"/>
      <c r="G18" s="435"/>
      <c r="H18" s="435"/>
      <c r="I18" s="435"/>
      <c r="J18" s="435"/>
    </row>
    <row r="19" spans="1:10" ht="15" customHeight="1" x14ac:dyDescent="0.2">
      <c r="A19" s="97" t="s">
        <v>2212</v>
      </c>
      <c r="B19" s="97" t="s">
        <v>2213</v>
      </c>
      <c r="C19" s="97" t="s">
        <v>1054</v>
      </c>
      <c r="D19" s="97" t="s">
        <v>2214</v>
      </c>
      <c r="E19" s="97" t="s">
        <v>2215</v>
      </c>
      <c r="F19" s="97" t="s">
        <v>2216</v>
      </c>
      <c r="G19" s="97" t="s">
        <v>2217</v>
      </c>
      <c r="H19" s="97" t="s">
        <v>30</v>
      </c>
      <c r="I19" s="97" t="s">
        <v>2218</v>
      </c>
      <c r="J19" s="97" t="s">
        <v>363</v>
      </c>
    </row>
    <row r="20" spans="1:10" ht="64.5" customHeight="1" x14ac:dyDescent="0.2">
      <c r="A20" s="348" t="s">
        <v>2219</v>
      </c>
      <c r="B20" s="343" t="s">
        <v>523</v>
      </c>
      <c r="C20" s="349" t="s">
        <v>2220</v>
      </c>
      <c r="D20" s="343" t="s">
        <v>2221</v>
      </c>
      <c r="E20" s="344" t="s">
        <v>2222</v>
      </c>
      <c r="F20" s="343" t="s">
        <v>2223</v>
      </c>
      <c r="G20" s="343" t="s">
        <v>2224</v>
      </c>
      <c r="H20" s="343" t="s">
        <v>2225</v>
      </c>
      <c r="I20" s="349" t="s">
        <v>93</v>
      </c>
      <c r="J20" s="343" t="s">
        <v>2226</v>
      </c>
    </row>
    <row r="21" spans="1:10" ht="64.5" customHeight="1" x14ac:dyDescent="0.2">
      <c r="A21" s="348" t="s">
        <v>2227</v>
      </c>
      <c r="B21" s="343" t="s">
        <v>1542</v>
      </c>
      <c r="C21" s="349" t="s">
        <v>2220</v>
      </c>
      <c r="D21" s="343" t="s">
        <v>2228</v>
      </c>
      <c r="E21" s="344" t="s">
        <v>2229</v>
      </c>
      <c r="F21" s="343" t="s">
        <v>2230</v>
      </c>
      <c r="G21" s="343" t="s">
        <v>2231</v>
      </c>
      <c r="H21" s="343" t="s">
        <v>2232</v>
      </c>
      <c r="I21" s="349" t="s">
        <v>93</v>
      </c>
      <c r="J21" s="343" t="s">
        <v>2233</v>
      </c>
    </row>
    <row r="22" spans="1:10" ht="64.5" customHeight="1" x14ac:dyDescent="0.2">
      <c r="A22" s="348" t="s">
        <v>1819</v>
      </c>
      <c r="B22" s="343" t="s">
        <v>1542</v>
      </c>
      <c r="C22" s="349" t="s">
        <v>2220</v>
      </c>
      <c r="D22" s="343" t="s">
        <v>2234</v>
      </c>
      <c r="E22" s="344" t="s">
        <v>2235</v>
      </c>
      <c r="F22" s="343" t="s">
        <v>2236</v>
      </c>
      <c r="G22" s="343" t="s">
        <v>1627</v>
      </c>
      <c r="H22" s="343" t="s">
        <v>2237</v>
      </c>
      <c r="I22" s="308" t="s">
        <v>107</v>
      </c>
      <c r="J22" s="343" t="s">
        <v>2238</v>
      </c>
    </row>
    <row r="23" spans="1:10" ht="64.5" customHeight="1" x14ac:dyDescent="0.2">
      <c r="A23" s="348" t="s">
        <v>2239</v>
      </c>
      <c r="B23" s="343" t="s">
        <v>1359</v>
      </c>
      <c r="C23" s="349" t="s">
        <v>2220</v>
      </c>
      <c r="D23" s="343" t="s">
        <v>2240</v>
      </c>
      <c r="E23" s="344" t="s">
        <v>2241</v>
      </c>
      <c r="F23" s="343" t="s">
        <v>2242</v>
      </c>
      <c r="G23" s="343" t="s">
        <v>2243</v>
      </c>
      <c r="H23" s="343" t="s">
        <v>2244</v>
      </c>
      <c r="I23" s="308" t="s">
        <v>107</v>
      </c>
      <c r="J23" s="343" t="s">
        <v>2245</v>
      </c>
    </row>
    <row r="24" spans="1:10" ht="64.5" customHeight="1" x14ac:dyDescent="0.2">
      <c r="A24" s="348" t="s">
        <v>2246</v>
      </c>
      <c r="B24" s="343" t="s">
        <v>95</v>
      </c>
      <c r="C24" s="349" t="s">
        <v>2220</v>
      </c>
      <c r="D24" s="343" t="s">
        <v>2247</v>
      </c>
      <c r="E24" s="344" t="s">
        <v>2248</v>
      </c>
      <c r="F24" s="343" t="s">
        <v>2249</v>
      </c>
      <c r="G24" s="343" t="s">
        <v>2250</v>
      </c>
      <c r="H24" s="343" t="s">
        <v>2251</v>
      </c>
      <c r="I24" s="308" t="s">
        <v>107</v>
      </c>
      <c r="J24" s="343" t="s">
        <v>2252</v>
      </c>
    </row>
    <row r="25" spans="1:10" ht="64.5" customHeight="1" x14ac:dyDescent="0.2">
      <c r="A25" s="348" t="s">
        <v>2253</v>
      </c>
      <c r="B25" s="343" t="s">
        <v>523</v>
      </c>
      <c r="C25" s="349" t="s">
        <v>2220</v>
      </c>
      <c r="D25" s="343" t="s">
        <v>2254</v>
      </c>
      <c r="E25" s="344" t="s">
        <v>2255</v>
      </c>
      <c r="F25" s="343" t="s">
        <v>2256</v>
      </c>
      <c r="G25" s="343" t="s">
        <v>2257</v>
      </c>
      <c r="H25" s="343" t="s">
        <v>2258</v>
      </c>
      <c r="I25" s="308" t="s">
        <v>107</v>
      </c>
      <c r="J25" s="343" t="s">
        <v>2259</v>
      </c>
    </row>
    <row r="26" spans="1:10" ht="64.5" customHeight="1" x14ac:dyDescent="0.2">
      <c r="A26" s="348" t="s">
        <v>1790</v>
      </c>
      <c r="B26" s="343" t="s">
        <v>120</v>
      </c>
      <c r="C26" s="349" t="s">
        <v>2220</v>
      </c>
      <c r="D26" s="343" t="s">
        <v>2260</v>
      </c>
      <c r="E26" s="344" t="s">
        <v>2261</v>
      </c>
      <c r="F26" s="343" t="s">
        <v>2262</v>
      </c>
      <c r="G26" s="343" t="s">
        <v>2263</v>
      </c>
      <c r="H26" s="343" t="s">
        <v>2194</v>
      </c>
      <c r="I26" s="349" t="s">
        <v>93</v>
      </c>
      <c r="J26" s="343" t="s">
        <v>2264</v>
      </c>
    </row>
    <row r="27" spans="1:10" ht="64.5" customHeight="1" x14ac:dyDescent="0.2">
      <c r="A27" s="348" t="s">
        <v>2265</v>
      </c>
      <c r="B27" s="343" t="s">
        <v>109</v>
      </c>
      <c r="C27" s="308" t="s">
        <v>2266</v>
      </c>
      <c r="D27" s="343" t="s">
        <v>2267</v>
      </c>
      <c r="E27" s="344" t="s">
        <v>2268</v>
      </c>
      <c r="F27" s="343" t="s">
        <v>2269</v>
      </c>
      <c r="G27" s="343" t="s">
        <v>2270</v>
      </c>
      <c r="H27" s="343" t="s">
        <v>2271</v>
      </c>
      <c r="I27" s="308" t="s">
        <v>2272</v>
      </c>
      <c r="J27" s="343" t="s">
        <v>2273</v>
      </c>
    </row>
    <row r="28" spans="1:10" ht="64.5" customHeight="1" x14ac:dyDescent="0.2">
      <c r="A28" s="348" t="s">
        <v>2274</v>
      </c>
      <c r="B28" s="343" t="s">
        <v>95</v>
      </c>
      <c r="C28" s="349" t="s">
        <v>2220</v>
      </c>
      <c r="D28" s="343" t="s">
        <v>2275</v>
      </c>
      <c r="E28" s="344" t="s">
        <v>2276</v>
      </c>
      <c r="F28" s="343" t="s">
        <v>2277</v>
      </c>
      <c r="G28" s="343" t="s">
        <v>2278</v>
      </c>
      <c r="H28" s="343" t="s">
        <v>2251</v>
      </c>
      <c r="I28" s="347" t="s">
        <v>2279</v>
      </c>
      <c r="J28" s="343" t="s">
        <v>2280</v>
      </c>
    </row>
    <row r="29" spans="1:10" ht="64.5" customHeight="1" x14ac:dyDescent="0.2">
      <c r="A29" s="348" t="s">
        <v>1786</v>
      </c>
      <c r="B29" s="343" t="s">
        <v>1359</v>
      </c>
      <c r="C29" s="350" t="s">
        <v>2281</v>
      </c>
      <c r="D29" s="343" t="s">
        <v>2282</v>
      </c>
      <c r="E29" s="344" t="s">
        <v>2283</v>
      </c>
      <c r="F29" s="343" t="s">
        <v>2284</v>
      </c>
      <c r="G29" s="343" t="s">
        <v>2285</v>
      </c>
      <c r="H29" s="343" t="s">
        <v>2244</v>
      </c>
      <c r="I29" s="350" t="s">
        <v>2281</v>
      </c>
      <c r="J29" s="343" t="s">
        <v>2286</v>
      </c>
    </row>
    <row r="30" spans="1:10" ht="64.5" customHeight="1" x14ac:dyDescent="0.2">
      <c r="A30" s="348" t="s">
        <v>2287</v>
      </c>
      <c r="B30" s="343" t="s">
        <v>1303</v>
      </c>
      <c r="C30" s="308" t="s">
        <v>2266</v>
      </c>
      <c r="D30" s="343" t="s">
        <v>2288</v>
      </c>
      <c r="E30" s="344" t="s">
        <v>2289</v>
      </c>
      <c r="F30" s="343" t="s">
        <v>2290</v>
      </c>
      <c r="G30" s="343" t="s">
        <v>2291</v>
      </c>
      <c r="H30" s="343" t="s">
        <v>2292</v>
      </c>
      <c r="I30" s="308" t="s">
        <v>2272</v>
      </c>
      <c r="J30" s="343" t="s">
        <v>2293</v>
      </c>
    </row>
    <row r="31" spans="1:10" ht="64.5" customHeight="1" x14ac:dyDescent="0.2">
      <c r="A31" s="348" t="s">
        <v>2294</v>
      </c>
      <c r="B31" s="343" t="s">
        <v>1076</v>
      </c>
      <c r="C31" s="308" t="s">
        <v>2295</v>
      </c>
      <c r="D31" s="343" t="s">
        <v>2296</v>
      </c>
      <c r="E31" s="344" t="s">
        <v>2297</v>
      </c>
      <c r="F31" s="343" t="s">
        <v>2298</v>
      </c>
      <c r="G31" s="343" t="s">
        <v>2299</v>
      </c>
      <c r="H31" s="343" t="s">
        <v>2300</v>
      </c>
      <c r="I31" s="350" t="s">
        <v>2301</v>
      </c>
      <c r="J31" s="343" t="s">
        <v>2302</v>
      </c>
    </row>
    <row r="34" spans="1:10" ht="19.5" customHeight="1" x14ac:dyDescent="0.2">
      <c r="A34" s="501" t="s">
        <v>2303</v>
      </c>
      <c r="B34" s="435"/>
      <c r="C34" s="435"/>
      <c r="D34" s="435"/>
      <c r="E34" s="435"/>
      <c r="F34" s="435"/>
      <c r="G34" s="435"/>
      <c r="H34" s="435"/>
      <c r="I34" s="435"/>
      <c r="J34" s="435"/>
    </row>
    <row r="35" spans="1:10" ht="15" customHeight="1" x14ac:dyDescent="0.2">
      <c r="A35" s="97" t="s">
        <v>2304</v>
      </c>
      <c r="B35" s="97" t="s">
        <v>2305</v>
      </c>
      <c r="C35" s="97" t="s">
        <v>2306</v>
      </c>
      <c r="D35" s="97" t="s">
        <v>2307</v>
      </c>
      <c r="E35" s="97" t="s">
        <v>2308</v>
      </c>
      <c r="F35" s="97" t="s">
        <v>2309</v>
      </c>
      <c r="G35" s="97" t="s">
        <v>2310</v>
      </c>
      <c r="H35" s="97" t="s">
        <v>2311</v>
      </c>
      <c r="I35" s="97" t="s">
        <v>83</v>
      </c>
      <c r="J35" s="97" t="s">
        <v>2312</v>
      </c>
    </row>
    <row r="36" spans="1:10" ht="64.5" customHeight="1" x14ac:dyDescent="0.2">
      <c r="A36" s="351" t="s">
        <v>2313</v>
      </c>
      <c r="B36" s="352" t="s">
        <v>2314</v>
      </c>
      <c r="C36" s="352" t="s">
        <v>2315</v>
      </c>
      <c r="D36" s="352" t="s">
        <v>2316</v>
      </c>
      <c r="E36" s="352" t="s">
        <v>2317</v>
      </c>
      <c r="F36" s="352" t="s">
        <v>2318</v>
      </c>
      <c r="G36" s="352" t="s">
        <v>2319</v>
      </c>
      <c r="H36" s="353" t="s">
        <v>2320</v>
      </c>
      <c r="I36" s="354" t="s">
        <v>2321</v>
      </c>
      <c r="J36" s="355" t="s">
        <v>2322</v>
      </c>
    </row>
    <row r="37" spans="1:10" ht="64.5" customHeight="1" x14ac:dyDescent="0.2">
      <c r="A37" s="351" t="s">
        <v>2323</v>
      </c>
      <c r="B37" s="352" t="s">
        <v>2314</v>
      </c>
      <c r="C37" s="352" t="s">
        <v>2324</v>
      </c>
      <c r="D37" s="352" t="s">
        <v>2325</v>
      </c>
      <c r="E37" s="352" t="s">
        <v>2326</v>
      </c>
      <c r="F37" s="352" t="s">
        <v>2327</v>
      </c>
      <c r="G37" s="352" t="s">
        <v>2328</v>
      </c>
      <c r="H37" s="353" t="s">
        <v>2329</v>
      </c>
      <c r="I37" s="354" t="s">
        <v>2321</v>
      </c>
      <c r="J37" s="356" t="s">
        <v>2330</v>
      </c>
    </row>
    <row r="38" spans="1:10" ht="64.5" customHeight="1" x14ac:dyDescent="0.2">
      <c r="A38" s="351" t="s">
        <v>2331</v>
      </c>
      <c r="B38" s="352" t="s">
        <v>2332</v>
      </c>
      <c r="C38" s="352" t="s">
        <v>2333</v>
      </c>
      <c r="D38" s="352" t="s">
        <v>2334</v>
      </c>
      <c r="E38" s="352" t="s">
        <v>2335</v>
      </c>
      <c r="F38" s="352" t="s">
        <v>2336</v>
      </c>
      <c r="G38" s="352" t="s">
        <v>2337</v>
      </c>
      <c r="H38" s="353" t="s">
        <v>2338</v>
      </c>
      <c r="I38" s="354" t="s">
        <v>2321</v>
      </c>
      <c r="J38" s="355" t="s">
        <v>2339</v>
      </c>
    </row>
    <row r="39" spans="1:10" ht="64.5" customHeight="1" x14ac:dyDescent="0.2">
      <c r="A39" s="351" t="s">
        <v>2340</v>
      </c>
      <c r="B39" s="352" t="s">
        <v>2341</v>
      </c>
      <c r="C39" s="352" t="s">
        <v>2342</v>
      </c>
      <c r="D39" s="352" t="s">
        <v>2343</v>
      </c>
      <c r="E39" s="352" t="s">
        <v>2344</v>
      </c>
      <c r="F39" s="352" t="s">
        <v>2345</v>
      </c>
      <c r="G39" s="352" t="s">
        <v>2346</v>
      </c>
      <c r="H39" s="353" t="s">
        <v>2347</v>
      </c>
      <c r="I39" s="357" t="s">
        <v>2348</v>
      </c>
      <c r="J39" s="355" t="s">
        <v>2349</v>
      </c>
    </row>
    <row r="40" spans="1:10" ht="64.5" customHeight="1" x14ac:dyDescent="0.2">
      <c r="A40" s="351" t="s">
        <v>2350</v>
      </c>
      <c r="B40" s="352" t="s">
        <v>2351</v>
      </c>
      <c r="C40" s="352" t="s">
        <v>2342</v>
      </c>
      <c r="D40" s="352" t="s">
        <v>2352</v>
      </c>
      <c r="E40" s="352" t="s">
        <v>2353</v>
      </c>
      <c r="F40" s="352" t="s">
        <v>2354</v>
      </c>
      <c r="G40" s="352" t="s">
        <v>2355</v>
      </c>
      <c r="H40" s="353" t="s">
        <v>2356</v>
      </c>
      <c r="I40" s="357" t="s">
        <v>2357</v>
      </c>
      <c r="J40" s="355" t="s">
        <v>2358</v>
      </c>
    </row>
    <row r="43" spans="1:10" ht="19.5" customHeight="1" x14ac:dyDescent="0.2">
      <c r="A43" s="501" t="s">
        <v>2359</v>
      </c>
      <c r="B43" s="435"/>
      <c r="C43" s="435"/>
      <c r="D43" s="435"/>
      <c r="E43" s="435"/>
      <c r="F43" s="435"/>
      <c r="G43" s="435"/>
      <c r="H43" s="435"/>
      <c r="I43" s="435"/>
      <c r="J43" s="435"/>
    </row>
    <row r="44" spans="1:10" ht="18" customHeight="1" x14ac:dyDescent="0.2">
      <c r="A44" s="503" t="s">
        <v>2360</v>
      </c>
      <c r="B44" s="435"/>
      <c r="C44" s="435"/>
      <c r="D44" s="435"/>
      <c r="E44" s="435"/>
      <c r="F44" s="435"/>
      <c r="G44" s="435"/>
      <c r="H44" s="435"/>
      <c r="I44" s="435"/>
      <c r="J44" s="435"/>
    </row>
    <row r="45" spans="1:10" ht="21.75" customHeight="1" x14ac:dyDescent="0.2">
      <c r="A45" s="97" t="s">
        <v>2361</v>
      </c>
      <c r="B45" s="97" t="s">
        <v>2362</v>
      </c>
      <c r="C45" s="97" t="s">
        <v>2363</v>
      </c>
      <c r="D45" s="97" t="s">
        <v>2364</v>
      </c>
      <c r="E45" s="97" t="s">
        <v>2365</v>
      </c>
      <c r="F45" s="97" t="s">
        <v>2366</v>
      </c>
      <c r="G45" s="97" t="s">
        <v>2367</v>
      </c>
      <c r="H45" s="97" t="s">
        <v>2368</v>
      </c>
      <c r="I45" s="97" t="s">
        <v>2369</v>
      </c>
      <c r="J45" s="97" t="s">
        <v>2370</v>
      </c>
    </row>
    <row r="46" spans="1:10" ht="79.5" customHeight="1" x14ac:dyDescent="0.2">
      <c r="A46" s="306" t="s">
        <v>2371</v>
      </c>
      <c r="B46" s="343" t="s">
        <v>2372</v>
      </c>
      <c r="C46" s="358" t="s">
        <v>2373</v>
      </c>
      <c r="D46" s="343" t="s">
        <v>2374</v>
      </c>
      <c r="E46" s="343" t="s">
        <v>2375</v>
      </c>
      <c r="F46" s="343" t="s">
        <v>2376</v>
      </c>
      <c r="G46" s="344" t="s">
        <v>2377</v>
      </c>
      <c r="H46" s="343" t="s">
        <v>2378</v>
      </c>
      <c r="I46" s="359" t="s">
        <v>2379</v>
      </c>
      <c r="J46" s="360" t="s">
        <v>2380</v>
      </c>
    </row>
    <row r="47" spans="1:10" ht="79.5" customHeight="1" x14ac:dyDescent="0.2">
      <c r="A47" s="306" t="s">
        <v>2381</v>
      </c>
      <c r="B47" s="343" t="s">
        <v>2382</v>
      </c>
      <c r="C47" s="358" t="s">
        <v>2383</v>
      </c>
      <c r="D47" s="343" t="s">
        <v>2384</v>
      </c>
      <c r="E47" s="343" t="s">
        <v>2385</v>
      </c>
      <c r="F47" s="343" t="s">
        <v>2386</v>
      </c>
      <c r="G47" s="344" t="s">
        <v>2387</v>
      </c>
      <c r="H47" s="343" t="s">
        <v>2388</v>
      </c>
      <c r="I47" s="359" t="s">
        <v>2389</v>
      </c>
      <c r="J47" s="360" t="s">
        <v>2390</v>
      </c>
    </row>
    <row r="49" spans="1:10" ht="18" customHeight="1" x14ac:dyDescent="0.2">
      <c r="A49" s="503" t="s">
        <v>2391</v>
      </c>
      <c r="B49" s="435"/>
      <c r="C49" s="435"/>
      <c r="D49" s="435"/>
      <c r="E49" s="435"/>
      <c r="F49" s="435"/>
      <c r="G49" s="435"/>
      <c r="H49" s="435"/>
      <c r="I49" s="435"/>
      <c r="J49" s="435"/>
    </row>
    <row r="50" spans="1:10" ht="21.75" customHeight="1" x14ac:dyDescent="0.2">
      <c r="A50" s="97" t="s">
        <v>2392</v>
      </c>
      <c r="B50" s="97" t="s">
        <v>2393</v>
      </c>
      <c r="C50" s="97" t="s">
        <v>2394</v>
      </c>
      <c r="D50" s="97" t="s">
        <v>2395</v>
      </c>
      <c r="E50" s="97" t="s">
        <v>2396</v>
      </c>
      <c r="F50" s="97" t="s">
        <v>2397</v>
      </c>
      <c r="G50" s="97" t="s">
        <v>2398</v>
      </c>
      <c r="H50" s="97" t="s">
        <v>2399</v>
      </c>
      <c r="I50" s="97" t="s">
        <v>83</v>
      </c>
      <c r="J50" s="97" t="s">
        <v>2305</v>
      </c>
    </row>
    <row r="51" spans="1:10" ht="90" customHeight="1" x14ac:dyDescent="0.2">
      <c r="A51" s="306" t="s">
        <v>2400</v>
      </c>
      <c r="B51" s="343" t="s">
        <v>2401</v>
      </c>
      <c r="C51" s="343" t="s">
        <v>2402</v>
      </c>
      <c r="D51" s="344" t="s">
        <v>2403</v>
      </c>
      <c r="E51" s="343" t="s">
        <v>2404</v>
      </c>
      <c r="F51" s="343" t="s">
        <v>2405</v>
      </c>
      <c r="G51" s="343" t="s">
        <v>2406</v>
      </c>
      <c r="H51" s="353" t="s">
        <v>2407</v>
      </c>
      <c r="I51" s="354" t="s">
        <v>2408</v>
      </c>
      <c r="J51" s="343" t="s">
        <v>2409</v>
      </c>
    </row>
    <row r="52" spans="1:10" ht="90" customHeight="1" x14ac:dyDescent="0.2">
      <c r="A52" s="306" t="s">
        <v>2410</v>
      </c>
      <c r="B52" s="343" t="s">
        <v>2411</v>
      </c>
      <c r="C52" s="343" t="s">
        <v>2412</v>
      </c>
      <c r="D52" s="344" t="s">
        <v>2413</v>
      </c>
      <c r="E52" s="343" t="s">
        <v>2414</v>
      </c>
      <c r="F52" s="343" t="s">
        <v>2415</v>
      </c>
      <c r="G52" s="343" t="s">
        <v>2416</v>
      </c>
      <c r="H52" s="353" t="s">
        <v>2417</v>
      </c>
      <c r="I52" s="354" t="s">
        <v>2408</v>
      </c>
      <c r="J52" s="343" t="s">
        <v>2409</v>
      </c>
    </row>
    <row r="53" spans="1:10" ht="90" customHeight="1" x14ac:dyDescent="0.2">
      <c r="A53" s="306" t="s">
        <v>2418</v>
      </c>
      <c r="B53" s="343" t="s">
        <v>2419</v>
      </c>
      <c r="C53" s="343" t="s">
        <v>2420</v>
      </c>
      <c r="D53" s="344" t="s">
        <v>2421</v>
      </c>
      <c r="E53" s="343" t="s">
        <v>2422</v>
      </c>
      <c r="F53" s="343" t="s">
        <v>2423</v>
      </c>
      <c r="G53" s="343" t="s">
        <v>2424</v>
      </c>
      <c r="H53" s="353" t="s">
        <v>2425</v>
      </c>
      <c r="I53" s="354" t="s">
        <v>2408</v>
      </c>
      <c r="J53" s="343" t="s">
        <v>2409</v>
      </c>
    </row>
  </sheetData>
  <mergeCells count="8">
    <mergeCell ref="A49:J49"/>
    <mergeCell ref="A44:J44"/>
    <mergeCell ref="A1:J1"/>
    <mergeCell ref="A18:J18"/>
    <mergeCell ref="A34:J34"/>
    <mergeCell ref="A4:J4"/>
    <mergeCell ref="A43:J43"/>
    <mergeCell ref="A2:J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8"/>
  <sheetViews>
    <sheetView zoomScaleNormal="100" workbookViewId="0"/>
  </sheetViews>
  <sheetFormatPr baseColWidth="10" defaultColWidth="8.6640625" defaultRowHeight="15" x14ac:dyDescent="0.2"/>
  <cols>
    <col min="1" max="1" width="8" customWidth="1"/>
    <col min="2" max="2" width="22" customWidth="1"/>
    <col min="3" max="3" width="10" customWidth="1"/>
    <col min="4" max="4" width="18" customWidth="1"/>
    <col min="5" max="5" width="16" customWidth="1"/>
    <col min="6" max="6" width="45" customWidth="1"/>
    <col min="7" max="8" width="10" customWidth="1"/>
  </cols>
  <sheetData>
    <row r="1" spans="1:8" ht="27.75" customHeight="1" x14ac:dyDescent="0.2">
      <c r="A1" s="505" t="s">
        <v>2426</v>
      </c>
      <c r="B1" s="435"/>
      <c r="C1" s="435"/>
      <c r="D1" s="435"/>
      <c r="E1" s="435"/>
      <c r="F1" s="435"/>
      <c r="G1" s="435"/>
      <c r="H1" s="435"/>
    </row>
    <row r="2" spans="1:8" ht="19.5" customHeight="1" x14ac:dyDescent="0.2">
      <c r="A2" s="504" t="s">
        <v>569</v>
      </c>
      <c r="B2" s="435"/>
      <c r="C2" s="435"/>
      <c r="D2" s="435"/>
      <c r="E2" s="435"/>
      <c r="F2" s="435"/>
      <c r="G2" s="435"/>
      <c r="H2" s="435"/>
    </row>
    <row r="3" spans="1:8" ht="19.5" customHeight="1" x14ac:dyDescent="0.2">
      <c r="A3" s="501" t="s">
        <v>2427</v>
      </c>
      <c r="B3" s="435"/>
      <c r="C3" s="435"/>
      <c r="D3" s="435"/>
      <c r="E3" s="435"/>
      <c r="F3" s="435"/>
      <c r="G3" s="435"/>
      <c r="H3" s="435"/>
    </row>
    <row r="4" spans="1:8" ht="21.75" customHeight="1" x14ac:dyDescent="0.2">
      <c r="A4" s="97" t="s">
        <v>2428</v>
      </c>
      <c r="B4" s="97" t="s">
        <v>2429</v>
      </c>
      <c r="C4" s="97" t="s">
        <v>2430</v>
      </c>
      <c r="D4" s="97" t="s">
        <v>2431</v>
      </c>
    </row>
    <row r="5" spans="1:8" ht="49.5" customHeight="1" x14ac:dyDescent="0.2">
      <c r="A5" s="361" t="s">
        <v>2432</v>
      </c>
      <c r="B5" s="361" t="s">
        <v>2433</v>
      </c>
      <c r="C5" s="362" t="s">
        <v>574</v>
      </c>
      <c r="D5" s="343" t="s">
        <v>2434</v>
      </c>
    </row>
    <row r="6" spans="1:8" ht="49.5" customHeight="1" x14ac:dyDescent="0.2">
      <c r="A6" s="361" t="s">
        <v>2435</v>
      </c>
      <c r="B6" s="361" t="s">
        <v>2436</v>
      </c>
      <c r="C6" s="362" t="s">
        <v>573</v>
      </c>
      <c r="D6" s="343" t="s">
        <v>2437</v>
      </c>
    </row>
    <row r="7" spans="1:8" ht="49.5" customHeight="1" x14ac:dyDescent="0.2">
      <c r="A7" s="361" t="s">
        <v>2438</v>
      </c>
      <c r="B7" s="361" t="s">
        <v>2439</v>
      </c>
      <c r="C7" s="362" t="s">
        <v>2440</v>
      </c>
      <c r="D7" s="343" t="s">
        <v>2441</v>
      </c>
    </row>
    <row r="8" spans="1:8" ht="49.5" customHeight="1" x14ac:dyDescent="0.2">
      <c r="A8" s="361" t="s">
        <v>2442</v>
      </c>
      <c r="B8" s="361" t="s">
        <v>2443</v>
      </c>
      <c r="C8" s="362" t="s">
        <v>2444</v>
      </c>
      <c r="D8" s="343" t="s">
        <v>2445</v>
      </c>
    </row>
    <row r="10" spans="1:8" ht="19.5" customHeight="1" x14ac:dyDescent="0.2">
      <c r="A10" s="501" t="s">
        <v>2446</v>
      </c>
      <c r="B10" s="435"/>
      <c r="C10" s="435"/>
      <c r="D10" s="435"/>
      <c r="E10" s="435"/>
      <c r="F10" s="435"/>
      <c r="G10" s="435"/>
      <c r="H10" s="435"/>
    </row>
    <row r="11" spans="1:8" ht="27.75" customHeight="1" x14ac:dyDescent="0.2">
      <c r="A11" s="97" t="s">
        <v>819</v>
      </c>
      <c r="B11" s="97" t="s">
        <v>2447</v>
      </c>
      <c r="C11" s="97" t="s">
        <v>2448</v>
      </c>
      <c r="D11" s="97" t="s">
        <v>2449</v>
      </c>
      <c r="E11" s="97" t="s">
        <v>2450</v>
      </c>
      <c r="F11" s="97" t="s">
        <v>2451</v>
      </c>
      <c r="G11" s="97" t="s">
        <v>2452</v>
      </c>
      <c r="H11" s="97" t="s">
        <v>2453</v>
      </c>
    </row>
    <row r="12" spans="1:8" ht="54.75" customHeight="1" x14ac:dyDescent="0.2">
      <c r="A12" s="363">
        <v>1</v>
      </c>
      <c r="B12" s="364" t="s">
        <v>440</v>
      </c>
      <c r="C12" s="365">
        <v>20</v>
      </c>
      <c r="D12" s="366" t="s">
        <v>2454</v>
      </c>
      <c r="E12" s="367" t="s">
        <v>2455</v>
      </c>
      <c r="F12" s="368" t="s">
        <v>2456</v>
      </c>
      <c r="G12" s="369" t="s">
        <v>2457</v>
      </c>
      <c r="H12" s="369" t="s">
        <v>2458</v>
      </c>
    </row>
    <row r="13" spans="1:8" ht="54.75" customHeight="1" x14ac:dyDescent="0.2">
      <c r="A13" s="363">
        <v>2</v>
      </c>
      <c r="B13" s="364" t="s">
        <v>2459</v>
      </c>
      <c r="C13" s="365">
        <v>15</v>
      </c>
      <c r="D13" s="366" t="s">
        <v>2460</v>
      </c>
      <c r="E13" s="367" t="s">
        <v>2461</v>
      </c>
      <c r="F13" s="368" t="s">
        <v>2462</v>
      </c>
      <c r="G13" s="369" t="s">
        <v>2463</v>
      </c>
      <c r="H13" s="369" t="s">
        <v>2464</v>
      </c>
    </row>
    <row r="14" spans="1:8" ht="54.75" customHeight="1" x14ac:dyDescent="0.2">
      <c r="A14" s="363">
        <v>3</v>
      </c>
      <c r="B14" s="364" t="s">
        <v>2465</v>
      </c>
      <c r="C14" s="365">
        <v>15</v>
      </c>
      <c r="D14" s="366" t="s">
        <v>2466</v>
      </c>
      <c r="E14" s="367" t="s">
        <v>2467</v>
      </c>
      <c r="F14" s="368" t="s">
        <v>2468</v>
      </c>
      <c r="G14" s="369" t="s">
        <v>2469</v>
      </c>
      <c r="H14" s="369" t="s">
        <v>2470</v>
      </c>
    </row>
    <row r="15" spans="1:8" ht="54.75" customHeight="1" x14ac:dyDescent="0.2">
      <c r="A15" s="363">
        <v>4</v>
      </c>
      <c r="B15" s="364" t="s">
        <v>2471</v>
      </c>
      <c r="C15" s="365">
        <v>15</v>
      </c>
      <c r="D15" s="366" t="s">
        <v>2472</v>
      </c>
      <c r="E15" s="367" t="s">
        <v>2473</v>
      </c>
      <c r="F15" s="368" t="s">
        <v>2474</v>
      </c>
      <c r="G15" s="369" t="s">
        <v>2475</v>
      </c>
      <c r="H15" s="369" t="s">
        <v>2476</v>
      </c>
    </row>
    <row r="16" spans="1:8" ht="54.75" customHeight="1" x14ac:dyDescent="0.2">
      <c r="A16" s="363">
        <v>5</v>
      </c>
      <c r="B16" s="364" t="s">
        <v>2477</v>
      </c>
      <c r="C16" s="365">
        <v>15</v>
      </c>
      <c r="D16" s="366" t="s">
        <v>2478</v>
      </c>
      <c r="E16" s="367" t="s">
        <v>2479</v>
      </c>
      <c r="F16" s="368" t="s">
        <v>2480</v>
      </c>
      <c r="G16" s="369" t="s">
        <v>2481</v>
      </c>
      <c r="H16" s="369" t="s">
        <v>2482</v>
      </c>
    </row>
    <row r="17" spans="1:8" ht="54.75" customHeight="1" x14ac:dyDescent="0.2">
      <c r="A17" s="363">
        <v>6</v>
      </c>
      <c r="B17" s="364" t="s">
        <v>2483</v>
      </c>
      <c r="C17" s="365">
        <v>10</v>
      </c>
      <c r="D17" s="366" t="s">
        <v>2484</v>
      </c>
      <c r="E17" s="367" t="s">
        <v>2485</v>
      </c>
      <c r="F17" s="368" t="s">
        <v>2486</v>
      </c>
      <c r="G17" s="369" t="s">
        <v>2487</v>
      </c>
      <c r="H17" s="369" t="s">
        <v>2488</v>
      </c>
    </row>
    <row r="18" spans="1:8" ht="54.75" customHeight="1" x14ac:dyDescent="0.2">
      <c r="A18" s="363">
        <v>7</v>
      </c>
      <c r="B18" s="364" t="s">
        <v>2489</v>
      </c>
      <c r="C18" s="365">
        <v>10</v>
      </c>
      <c r="D18" s="366" t="s">
        <v>2490</v>
      </c>
      <c r="E18" s="367" t="s">
        <v>2491</v>
      </c>
      <c r="F18" s="368" t="s">
        <v>2492</v>
      </c>
      <c r="G18" s="369" t="s">
        <v>2493</v>
      </c>
      <c r="H18" s="369" t="s">
        <v>2494</v>
      </c>
    </row>
    <row r="20" spans="1:8" ht="19.5" customHeight="1" x14ac:dyDescent="0.2">
      <c r="A20" s="501" t="s">
        <v>2495</v>
      </c>
      <c r="B20" s="435"/>
      <c r="C20" s="435"/>
      <c r="D20" s="435"/>
      <c r="E20" s="435"/>
      <c r="F20" s="435"/>
      <c r="G20" s="435"/>
      <c r="H20" s="435"/>
    </row>
    <row r="21" spans="1:8" ht="27.75" customHeight="1" x14ac:dyDescent="0.2">
      <c r="A21" s="97" t="s">
        <v>819</v>
      </c>
      <c r="B21" s="97" t="s">
        <v>2447</v>
      </c>
      <c r="C21" s="97" t="s">
        <v>2448</v>
      </c>
      <c r="D21" s="97" t="s">
        <v>2449</v>
      </c>
      <c r="E21" s="97" t="s">
        <v>2450</v>
      </c>
      <c r="F21" s="97" t="s">
        <v>2451</v>
      </c>
      <c r="G21" s="97" t="s">
        <v>2452</v>
      </c>
      <c r="H21" s="97" t="s">
        <v>2453</v>
      </c>
    </row>
    <row r="22" spans="1:8" ht="60" customHeight="1" x14ac:dyDescent="0.2">
      <c r="A22" s="363">
        <v>1</v>
      </c>
      <c r="B22" s="364" t="s">
        <v>440</v>
      </c>
      <c r="C22" s="365">
        <v>30</v>
      </c>
      <c r="D22" s="366" t="s">
        <v>2496</v>
      </c>
      <c r="E22" s="367" t="s">
        <v>2497</v>
      </c>
      <c r="F22" s="368" t="s">
        <v>2498</v>
      </c>
      <c r="G22" s="369" t="s">
        <v>2499</v>
      </c>
      <c r="H22" s="369" t="s">
        <v>2500</v>
      </c>
    </row>
    <row r="23" spans="1:8" ht="60" customHeight="1" x14ac:dyDescent="0.2">
      <c r="A23" s="363">
        <v>2</v>
      </c>
      <c r="B23" s="364" t="s">
        <v>2459</v>
      </c>
      <c r="C23" s="365">
        <v>15</v>
      </c>
      <c r="D23" s="366" t="s">
        <v>2501</v>
      </c>
      <c r="E23" s="367" t="s">
        <v>2502</v>
      </c>
      <c r="F23" s="368" t="s">
        <v>2503</v>
      </c>
      <c r="G23" s="369" t="s">
        <v>2504</v>
      </c>
      <c r="H23" s="369" t="s">
        <v>2505</v>
      </c>
    </row>
    <row r="24" spans="1:8" ht="60" customHeight="1" x14ac:dyDescent="0.2">
      <c r="A24" s="363">
        <v>3</v>
      </c>
      <c r="B24" s="364" t="s">
        <v>2465</v>
      </c>
      <c r="C24" s="365">
        <v>10</v>
      </c>
      <c r="D24" s="366" t="s">
        <v>2506</v>
      </c>
      <c r="E24" s="367" t="s">
        <v>2507</v>
      </c>
      <c r="F24" s="368" t="s">
        <v>2508</v>
      </c>
      <c r="G24" s="369" t="s">
        <v>2509</v>
      </c>
      <c r="H24" s="369" t="s">
        <v>2510</v>
      </c>
    </row>
    <row r="25" spans="1:8" ht="60" customHeight="1" x14ac:dyDescent="0.2">
      <c r="A25" s="363">
        <v>4</v>
      </c>
      <c r="B25" s="364" t="s">
        <v>2471</v>
      </c>
      <c r="C25" s="365">
        <v>15</v>
      </c>
      <c r="D25" s="366" t="s">
        <v>2511</v>
      </c>
      <c r="E25" s="367" t="s">
        <v>2512</v>
      </c>
      <c r="F25" s="368" t="s">
        <v>2513</v>
      </c>
      <c r="G25" s="369" t="s">
        <v>2514</v>
      </c>
      <c r="H25" s="369" t="s">
        <v>2515</v>
      </c>
    </row>
    <row r="26" spans="1:8" ht="60" customHeight="1" x14ac:dyDescent="0.2">
      <c r="A26" s="363">
        <v>5</v>
      </c>
      <c r="B26" s="364" t="s">
        <v>2477</v>
      </c>
      <c r="C26" s="365">
        <v>15</v>
      </c>
      <c r="D26" s="366" t="s">
        <v>2516</v>
      </c>
      <c r="E26" s="367" t="s">
        <v>2517</v>
      </c>
      <c r="F26" s="368" t="s">
        <v>2518</v>
      </c>
      <c r="G26" s="369" t="s">
        <v>2519</v>
      </c>
      <c r="H26" s="369" t="s">
        <v>2520</v>
      </c>
    </row>
    <row r="27" spans="1:8" ht="60" customHeight="1" x14ac:dyDescent="0.2">
      <c r="A27" s="363">
        <v>6</v>
      </c>
      <c r="B27" s="364" t="s">
        <v>2483</v>
      </c>
      <c r="C27" s="365">
        <v>5</v>
      </c>
      <c r="D27" s="366" t="s">
        <v>2521</v>
      </c>
      <c r="E27" s="367" t="s">
        <v>2522</v>
      </c>
      <c r="F27" s="368" t="s">
        <v>2523</v>
      </c>
      <c r="G27" s="369" t="s">
        <v>2524</v>
      </c>
      <c r="H27" s="369" t="s">
        <v>2525</v>
      </c>
    </row>
    <row r="28" spans="1:8" ht="60" customHeight="1" x14ac:dyDescent="0.2">
      <c r="A28" s="363">
        <v>7</v>
      </c>
      <c r="B28" s="364" t="s">
        <v>2489</v>
      </c>
      <c r="C28" s="365">
        <v>10</v>
      </c>
      <c r="D28" s="366" t="s">
        <v>2526</v>
      </c>
      <c r="E28" s="367" t="s">
        <v>2527</v>
      </c>
      <c r="F28" s="368" t="s">
        <v>2528</v>
      </c>
      <c r="G28" s="369" t="s">
        <v>2529</v>
      </c>
      <c r="H28" s="369" t="s">
        <v>2530</v>
      </c>
    </row>
    <row r="30" spans="1:8" ht="19.5" customHeight="1" x14ac:dyDescent="0.2">
      <c r="A30" s="501" t="s">
        <v>2531</v>
      </c>
      <c r="B30" s="435"/>
      <c r="C30" s="435"/>
      <c r="D30" s="435"/>
      <c r="E30" s="435"/>
      <c r="F30" s="435"/>
      <c r="G30" s="435"/>
      <c r="H30" s="435"/>
    </row>
    <row r="31" spans="1:8" ht="21.75" customHeight="1" x14ac:dyDescent="0.2">
      <c r="A31" s="97" t="s">
        <v>495</v>
      </c>
      <c r="B31" s="97" t="s">
        <v>2532</v>
      </c>
      <c r="C31" s="97" t="s">
        <v>2533</v>
      </c>
      <c r="D31" s="97" t="s">
        <v>2534</v>
      </c>
    </row>
    <row r="32" spans="1:8" ht="39.75" customHeight="1" x14ac:dyDescent="0.2">
      <c r="A32" s="370" t="s">
        <v>2535</v>
      </c>
      <c r="B32" s="370" t="s">
        <v>2536</v>
      </c>
      <c r="C32" s="370" t="s">
        <v>2537</v>
      </c>
      <c r="D32" s="367" t="s">
        <v>2538</v>
      </c>
    </row>
    <row r="33" spans="1:8" ht="39.75" customHeight="1" x14ac:dyDescent="0.2">
      <c r="A33" s="371" t="s">
        <v>2539</v>
      </c>
      <c r="B33" s="371" t="s">
        <v>2540</v>
      </c>
      <c r="C33" s="371" t="s">
        <v>2541</v>
      </c>
      <c r="D33" s="368" t="s">
        <v>2542</v>
      </c>
    </row>
    <row r="34" spans="1:8" ht="39.75" customHeight="1" x14ac:dyDescent="0.2">
      <c r="A34" s="372" t="s">
        <v>2543</v>
      </c>
      <c r="B34" s="372" t="s">
        <v>2544</v>
      </c>
      <c r="C34" s="372" t="s">
        <v>2545</v>
      </c>
      <c r="D34" s="373" t="s">
        <v>2546</v>
      </c>
    </row>
    <row r="35" spans="1:8" ht="39.75" customHeight="1" x14ac:dyDescent="0.2">
      <c r="A35" s="374" t="s">
        <v>2547</v>
      </c>
      <c r="B35" s="374" t="s">
        <v>2548</v>
      </c>
      <c r="C35" s="374" t="s">
        <v>2549</v>
      </c>
      <c r="D35" s="375" t="s">
        <v>2550</v>
      </c>
    </row>
    <row r="37" spans="1:8" ht="19.5" customHeight="1" x14ac:dyDescent="0.2">
      <c r="A37" s="501" t="s">
        <v>2551</v>
      </c>
      <c r="B37" s="435"/>
      <c r="C37" s="435"/>
      <c r="D37" s="435"/>
      <c r="E37" s="435"/>
      <c r="F37" s="435"/>
      <c r="G37" s="435"/>
      <c r="H37" s="435"/>
    </row>
    <row r="38" spans="1:8" ht="21.75" customHeight="1" x14ac:dyDescent="0.2">
      <c r="A38" s="97" t="s">
        <v>2552</v>
      </c>
      <c r="B38" s="97" t="s">
        <v>820</v>
      </c>
      <c r="C38" s="97" t="s">
        <v>2553</v>
      </c>
      <c r="D38" s="97" t="s">
        <v>84</v>
      </c>
      <c r="E38" s="97" t="s">
        <v>2554</v>
      </c>
      <c r="F38" s="97" t="s">
        <v>2555</v>
      </c>
    </row>
    <row r="39" spans="1:8" ht="34.5" customHeight="1" x14ac:dyDescent="0.2">
      <c r="A39" s="71">
        <v>1</v>
      </c>
      <c r="B39" s="376" t="s">
        <v>488</v>
      </c>
      <c r="C39" s="377">
        <v>76.5</v>
      </c>
      <c r="D39" s="378" t="s">
        <v>2556</v>
      </c>
      <c r="E39" s="379" t="s">
        <v>1255</v>
      </c>
      <c r="F39" s="380" t="s">
        <v>2557</v>
      </c>
    </row>
    <row r="40" spans="1:8" ht="34.5" customHeight="1" x14ac:dyDescent="0.2">
      <c r="A40" s="71">
        <v>2</v>
      </c>
      <c r="B40" s="376" t="s">
        <v>499</v>
      </c>
      <c r="C40" s="377">
        <v>68.5</v>
      </c>
      <c r="D40" s="378" t="s">
        <v>2558</v>
      </c>
      <c r="E40" s="379" t="s">
        <v>1171</v>
      </c>
      <c r="F40" s="380" t="s">
        <v>2559</v>
      </c>
    </row>
    <row r="41" spans="1:8" ht="34.5" customHeight="1" x14ac:dyDescent="0.2">
      <c r="A41" s="71">
        <v>3</v>
      </c>
      <c r="B41" s="376" t="s">
        <v>504</v>
      </c>
      <c r="C41" s="377">
        <v>66.2</v>
      </c>
      <c r="D41" s="378" t="s">
        <v>2560</v>
      </c>
      <c r="E41" s="379" t="s">
        <v>1171</v>
      </c>
      <c r="F41" s="380" t="s">
        <v>2561</v>
      </c>
    </row>
    <row r="42" spans="1:8" ht="34.5" customHeight="1" x14ac:dyDescent="0.2">
      <c r="A42" s="71">
        <v>4</v>
      </c>
      <c r="B42" s="376" t="s">
        <v>508</v>
      </c>
      <c r="C42" s="381">
        <v>60.2</v>
      </c>
      <c r="D42" s="378" t="s">
        <v>2562</v>
      </c>
      <c r="E42" s="379" t="s">
        <v>1171</v>
      </c>
      <c r="F42" s="380" t="s">
        <v>2563</v>
      </c>
    </row>
    <row r="43" spans="1:8" ht="34.5" customHeight="1" x14ac:dyDescent="0.2">
      <c r="A43" s="71">
        <v>5</v>
      </c>
      <c r="B43" s="376" t="s">
        <v>512</v>
      </c>
      <c r="C43" s="381">
        <v>59.2</v>
      </c>
      <c r="D43" s="378" t="s">
        <v>2564</v>
      </c>
      <c r="E43" s="379" t="s">
        <v>1171</v>
      </c>
      <c r="F43" s="380" t="s">
        <v>2565</v>
      </c>
    </row>
    <row r="44" spans="1:8" ht="34.5" customHeight="1" x14ac:dyDescent="0.2">
      <c r="A44" s="71">
        <v>6</v>
      </c>
      <c r="B44" s="376" t="s">
        <v>516</v>
      </c>
      <c r="C44" s="381">
        <v>59</v>
      </c>
      <c r="D44" s="378" t="s">
        <v>2566</v>
      </c>
      <c r="E44" s="379" t="s">
        <v>1171</v>
      </c>
      <c r="F44" s="380" t="s">
        <v>2567</v>
      </c>
    </row>
    <row r="45" spans="1:8" ht="34.5" customHeight="1" x14ac:dyDescent="0.2">
      <c r="A45" s="71">
        <v>7</v>
      </c>
      <c r="B45" s="376" t="s">
        <v>519</v>
      </c>
      <c r="C45" s="381">
        <v>44</v>
      </c>
      <c r="D45" s="378" t="s">
        <v>2568</v>
      </c>
      <c r="E45" s="379" t="s">
        <v>1095</v>
      </c>
      <c r="F45" s="380" t="s">
        <v>2569</v>
      </c>
    </row>
    <row r="46" spans="1:8" ht="34.5" customHeight="1" x14ac:dyDescent="0.2">
      <c r="A46" s="71" t="s">
        <v>526</v>
      </c>
      <c r="B46" s="376" t="s">
        <v>648</v>
      </c>
      <c r="C46" s="381" t="s">
        <v>531</v>
      </c>
      <c r="D46" s="378" t="s">
        <v>2570</v>
      </c>
      <c r="E46" s="379" t="s">
        <v>1255</v>
      </c>
      <c r="F46" s="380" t="s">
        <v>2571</v>
      </c>
    </row>
    <row r="47" spans="1:8" ht="34.5" customHeight="1" x14ac:dyDescent="0.2">
      <c r="A47" s="71" t="s">
        <v>536</v>
      </c>
      <c r="B47" s="376" t="s">
        <v>533</v>
      </c>
      <c r="C47" s="382" t="s">
        <v>531</v>
      </c>
      <c r="D47" s="378" t="s">
        <v>2572</v>
      </c>
      <c r="E47" s="379" t="s">
        <v>1255</v>
      </c>
      <c r="F47" s="380" t="s">
        <v>2573</v>
      </c>
    </row>
    <row r="48" spans="1:8" x14ac:dyDescent="0.2">
      <c r="A48" t="s">
        <v>540</v>
      </c>
      <c r="B48" t="s">
        <v>550</v>
      </c>
      <c r="C48" t="s">
        <v>531</v>
      </c>
      <c r="D48" t="s">
        <v>2574</v>
      </c>
      <c r="E48" t="s">
        <v>1171</v>
      </c>
      <c r="F48" t="s">
        <v>2575</v>
      </c>
    </row>
  </sheetData>
  <mergeCells count="7">
    <mergeCell ref="A1:H1"/>
    <mergeCell ref="A37:H37"/>
    <mergeCell ref="A3:H3"/>
    <mergeCell ref="A30:H30"/>
    <mergeCell ref="A20:H20"/>
    <mergeCell ref="A2:H2"/>
    <mergeCell ref="A10:H10"/>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16"/>
  <sheetViews>
    <sheetView zoomScaleNormal="100" workbookViewId="0">
      <pane ySplit="2" topLeftCell="A3" activePane="bottomLeft" state="frozen"/>
      <selection pane="bottomLeft"/>
    </sheetView>
  </sheetViews>
  <sheetFormatPr baseColWidth="10" defaultColWidth="8.6640625" defaultRowHeight="15" x14ac:dyDescent="0.2"/>
  <cols>
    <col min="1" max="1" width="14" customWidth="1"/>
    <col min="2" max="2" width="12" customWidth="1"/>
    <col min="3" max="3" width="14" customWidth="1"/>
    <col min="4" max="5" width="28" customWidth="1"/>
    <col min="6" max="7" width="22" customWidth="1"/>
    <col min="8" max="8" width="14" customWidth="1"/>
    <col min="9" max="9" width="18" customWidth="1"/>
    <col min="10" max="10" width="22" customWidth="1"/>
    <col min="11" max="11" width="24" customWidth="1"/>
    <col min="12" max="12" width="12" customWidth="1"/>
    <col min="13" max="13" width="18" customWidth="1"/>
    <col min="14" max="14" width="10" customWidth="1"/>
  </cols>
  <sheetData>
    <row r="1" spans="1:14" ht="27.75" customHeight="1" x14ac:dyDescent="0.2">
      <c r="A1" s="508" t="s">
        <v>2576</v>
      </c>
      <c r="B1" s="435"/>
      <c r="C1" s="435"/>
      <c r="D1" s="435"/>
      <c r="E1" s="435"/>
      <c r="F1" s="435"/>
      <c r="G1" s="435"/>
      <c r="H1" s="435"/>
      <c r="I1" s="435"/>
      <c r="J1" s="435"/>
      <c r="K1" s="435"/>
      <c r="L1" s="435"/>
      <c r="M1" s="435"/>
      <c r="N1" s="435"/>
    </row>
    <row r="2" spans="1:14" ht="31.5" customHeight="1" x14ac:dyDescent="0.2">
      <c r="A2" s="383" t="s">
        <v>2577</v>
      </c>
      <c r="B2" s="383" t="s">
        <v>2578</v>
      </c>
      <c r="C2" s="383" t="s">
        <v>2579</v>
      </c>
      <c r="D2" s="383" t="s">
        <v>2580</v>
      </c>
      <c r="E2" s="383" t="s">
        <v>2581</v>
      </c>
      <c r="F2" s="383" t="s">
        <v>2582</v>
      </c>
      <c r="G2" s="383" t="s">
        <v>2583</v>
      </c>
      <c r="H2" s="383" t="s">
        <v>2584</v>
      </c>
      <c r="I2" s="383" t="s">
        <v>2585</v>
      </c>
      <c r="J2" s="383" t="s">
        <v>2586</v>
      </c>
      <c r="K2" s="383" t="s">
        <v>2587</v>
      </c>
      <c r="L2" s="383" t="s">
        <v>2588</v>
      </c>
      <c r="M2" s="383" t="s">
        <v>2305</v>
      </c>
      <c r="N2" s="383" t="s">
        <v>2589</v>
      </c>
    </row>
    <row r="3" spans="1:14" ht="90" customHeight="1" x14ac:dyDescent="0.2">
      <c r="A3" s="384" t="s">
        <v>1080</v>
      </c>
      <c r="B3" s="385" t="s">
        <v>2590</v>
      </c>
      <c r="C3" s="385" t="s">
        <v>2591</v>
      </c>
      <c r="D3" s="386" t="s">
        <v>2592</v>
      </c>
      <c r="E3" s="386" t="s">
        <v>2593</v>
      </c>
      <c r="F3" s="385" t="s">
        <v>2594</v>
      </c>
      <c r="G3" s="385" t="s">
        <v>2595</v>
      </c>
      <c r="H3" s="385" t="s">
        <v>2596</v>
      </c>
      <c r="I3" s="385" t="s">
        <v>2597</v>
      </c>
      <c r="J3" s="387" t="s">
        <v>2598</v>
      </c>
      <c r="K3" s="386" t="s">
        <v>2599</v>
      </c>
      <c r="L3" s="385" t="s">
        <v>2600</v>
      </c>
      <c r="M3" s="385" t="s">
        <v>2601</v>
      </c>
      <c r="N3" s="388" t="s">
        <v>2602</v>
      </c>
    </row>
    <row r="4" spans="1:14" ht="90" customHeight="1" x14ac:dyDescent="0.2">
      <c r="A4" s="389" t="s">
        <v>2603</v>
      </c>
      <c r="B4" s="390" t="s">
        <v>2604</v>
      </c>
      <c r="C4" s="390" t="s">
        <v>2605</v>
      </c>
      <c r="D4" s="391" t="s">
        <v>2606</v>
      </c>
      <c r="E4" s="391" t="s">
        <v>2607</v>
      </c>
      <c r="F4" s="390" t="s">
        <v>2608</v>
      </c>
      <c r="G4" s="390" t="s">
        <v>2609</v>
      </c>
      <c r="H4" s="390" t="s">
        <v>2610</v>
      </c>
      <c r="I4" s="390" t="s">
        <v>2611</v>
      </c>
      <c r="J4" s="392" t="s">
        <v>2612</v>
      </c>
      <c r="K4" s="391" t="s">
        <v>2613</v>
      </c>
      <c r="L4" s="390" t="s">
        <v>2600</v>
      </c>
      <c r="M4" s="390" t="s">
        <v>2614</v>
      </c>
      <c r="N4" s="393" t="s">
        <v>2615</v>
      </c>
    </row>
    <row r="5" spans="1:14" ht="90" customHeight="1" x14ac:dyDescent="0.2">
      <c r="A5" s="394" t="s">
        <v>2616</v>
      </c>
      <c r="B5" s="395" t="s">
        <v>2617</v>
      </c>
      <c r="C5" s="395" t="s">
        <v>2618</v>
      </c>
      <c r="D5" s="396" t="s">
        <v>2619</v>
      </c>
      <c r="E5" s="396" t="s">
        <v>2620</v>
      </c>
      <c r="F5" s="395" t="s">
        <v>2621</v>
      </c>
      <c r="G5" s="395" t="s">
        <v>2622</v>
      </c>
      <c r="H5" s="395" t="s">
        <v>2623</v>
      </c>
      <c r="I5" s="395" t="s">
        <v>2624</v>
      </c>
      <c r="J5" s="397" t="s">
        <v>2625</v>
      </c>
      <c r="K5" s="396" t="s">
        <v>2626</v>
      </c>
      <c r="L5" s="395" t="s">
        <v>2600</v>
      </c>
      <c r="M5" s="395" t="s">
        <v>2627</v>
      </c>
      <c r="N5" s="398" t="s">
        <v>2628</v>
      </c>
    </row>
    <row r="6" spans="1:14" ht="90" customHeight="1" x14ac:dyDescent="0.2">
      <c r="A6" s="394" t="s">
        <v>2629</v>
      </c>
      <c r="B6" s="395" t="s">
        <v>2630</v>
      </c>
      <c r="C6" s="395" t="s">
        <v>2631</v>
      </c>
      <c r="D6" s="396" t="s">
        <v>2632</v>
      </c>
      <c r="E6" s="396" t="s">
        <v>2633</v>
      </c>
      <c r="F6" s="395" t="s">
        <v>2634</v>
      </c>
      <c r="G6" s="395" t="s">
        <v>2635</v>
      </c>
      <c r="H6" s="395" t="s">
        <v>2636</v>
      </c>
      <c r="I6" s="395" t="s">
        <v>2637</v>
      </c>
      <c r="J6" s="397" t="s">
        <v>2638</v>
      </c>
      <c r="K6" s="396" t="s">
        <v>2639</v>
      </c>
      <c r="L6" s="395" t="s">
        <v>2600</v>
      </c>
      <c r="M6" s="395" t="s">
        <v>2640</v>
      </c>
      <c r="N6" s="398" t="s">
        <v>2628</v>
      </c>
    </row>
    <row r="7" spans="1:14" ht="90" customHeight="1" x14ac:dyDescent="0.2">
      <c r="A7" s="394" t="s">
        <v>2641</v>
      </c>
      <c r="B7" s="395" t="s">
        <v>2590</v>
      </c>
      <c r="C7" s="395" t="s">
        <v>2642</v>
      </c>
      <c r="D7" s="396" t="s">
        <v>2643</v>
      </c>
      <c r="E7" s="396" t="s">
        <v>2644</v>
      </c>
      <c r="F7" s="395" t="s">
        <v>2645</v>
      </c>
      <c r="G7" s="395" t="s">
        <v>2646</v>
      </c>
      <c r="H7" s="395" t="s">
        <v>2647</v>
      </c>
      <c r="I7" s="395" t="s">
        <v>2648</v>
      </c>
      <c r="J7" s="397" t="s">
        <v>2649</v>
      </c>
      <c r="K7" s="396" t="s">
        <v>2650</v>
      </c>
      <c r="L7" s="395" t="s">
        <v>2600</v>
      </c>
      <c r="M7" s="395" t="s">
        <v>2651</v>
      </c>
      <c r="N7" s="398" t="s">
        <v>2628</v>
      </c>
    </row>
    <row r="8" spans="1:14" ht="19.5" customHeight="1" x14ac:dyDescent="0.2"/>
    <row r="9" spans="1:14" ht="21.75" customHeight="1" x14ac:dyDescent="0.2">
      <c r="A9" s="507" t="s">
        <v>2652</v>
      </c>
      <c r="B9" s="435"/>
      <c r="C9" s="435"/>
      <c r="D9" s="435"/>
      <c r="E9" s="435"/>
      <c r="F9" s="435"/>
      <c r="G9" s="435"/>
      <c r="H9" s="435"/>
      <c r="I9" s="435"/>
      <c r="J9" s="435"/>
      <c r="K9" s="435"/>
      <c r="L9" s="435"/>
      <c r="M9" s="435"/>
      <c r="N9" s="435"/>
    </row>
    <row r="10" spans="1:14" ht="30" customHeight="1" x14ac:dyDescent="0.2">
      <c r="A10" s="506" t="s">
        <v>2653</v>
      </c>
      <c r="B10" s="435"/>
      <c r="C10" s="435"/>
      <c r="D10" s="509" t="s">
        <v>2654</v>
      </c>
      <c r="E10" s="435"/>
      <c r="F10" s="435"/>
      <c r="G10" s="435"/>
      <c r="H10" s="435"/>
      <c r="I10" s="435"/>
      <c r="J10" s="435"/>
      <c r="K10" s="435"/>
      <c r="L10" s="435"/>
      <c r="M10" s="435"/>
      <c r="N10" s="435"/>
    </row>
    <row r="11" spans="1:14" ht="30" customHeight="1" x14ac:dyDescent="0.2">
      <c r="A11" s="506" t="s">
        <v>2655</v>
      </c>
      <c r="B11" s="435"/>
      <c r="C11" s="435"/>
      <c r="D11" s="509" t="s">
        <v>2656</v>
      </c>
      <c r="E11" s="435"/>
      <c r="F11" s="435"/>
      <c r="G11" s="435"/>
      <c r="H11" s="435"/>
      <c r="I11" s="435"/>
      <c r="J11" s="435"/>
      <c r="K11" s="435"/>
      <c r="L11" s="435"/>
      <c r="M11" s="435"/>
      <c r="N11" s="435"/>
    </row>
    <row r="12" spans="1:14" ht="30" customHeight="1" x14ac:dyDescent="0.2">
      <c r="A12" s="506" t="s">
        <v>2657</v>
      </c>
      <c r="B12" s="435"/>
      <c r="C12" s="435"/>
      <c r="D12" s="509" t="s">
        <v>2658</v>
      </c>
      <c r="E12" s="435"/>
      <c r="F12" s="435"/>
      <c r="G12" s="435"/>
      <c r="H12" s="435"/>
      <c r="I12" s="435"/>
      <c r="J12" s="435"/>
      <c r="K12" s="435"/>
      <c r="L12" s="435"/>
      <c r="M12" s="435"/>
      <c r="N12" s="435"/>
    </row>
    <row r="13" spans="1:14" ht="30" customHeight="1" x14ac:dyDescent="0.2">
      <c r="A13" s="506" t="s">
        <v>2659</v>
      </c>
      <c r="B13" s="435"/>
      <c r="C13" s="435"/>
      <c r="D13" s="509" t="s">
        <v>2660</v>
      </c>
      <c r="E13" s="435"/>
      <c r="F13" s="435"/>
      <c r="G13" s="435"/>
      <c r="H13" s="435"/>
      <c r="I13" s="435"/>
      <c r="J13" s="435"/>
      <c r="K13" s="435"/>
      <c r="L13" s="435"/>
      <c r="M13" s="435"/>
      <c r="N13" s="435"/>
    </row>
    <row r="14" spans="1:14" ht="30" customHeight="1" x14ac:dyDescent="0.2">
      <c r="A14" s="506" t="s">
        <v>2661</v>
      </c>
      <c r="B14" s="435"/>
      <c r="C14" s="435"/>
      <c r="D14" s="509" t="s">
        <v>2662</v>
      </c>
      <c r="E14" s="435"/>
      <c r="F14" s="435"/>
      <c r="G14" s="435"/>
      <c r="H14" s="435"/>
      <c r="I14" s="435"/>
      <c r="J14" s="435"/>
      <c r="K14" s="435"/>
      <c r="L14" s="435"/>
      <c r="M14" s="435"/>
      <c r="N14" s="435"/>
    </row>
    <row r="15" spans="1:14" ht="30" customHeight="1" x14ac:dyDescent="0.2">
      <c r="A15" s="506" t="s">
        <v>2663</v>
      </c>
      <c r="B15" s="435"/>
      <c r="C15" s="435"/>
      <c r="D15" s="509" t="s">
        <v>2664</v>
      </c>
      <c r="E15" s="435"/>
      <c r="F15" s="435"/>
      <c r="G15" s="435"/>
      <c r="H15" s="435"/>
      <c r="I15" s="435"/>
      <c r="J15" s="435"/>
      <c r="K15" s="435"/>
      <c r="L15" s="435"/>
      <c r="M15" s="435"/>
      <c r="N15" s="435"/>
    </row>
    <row r="16" spans="1:14" ht="30" customHeight="1" x14ac:dyDescent="0.2">
      <c r="A16" s="506" t="s">
        <v>2665</v>
      </c>
      <c r="B16" s="435"/>
      <c r="C16" s="435"/>
      <c r="D16" s="509" t="s">
        <v>2666</v>
      </c>
      <c r="E16" s="435"/>
      <c r="F16" s="435"/>
      <c r="G16" s="435"/>
      <c r="H16" s="435"/>
      <c r="I16" s="435"/>
      <c r="J16" s="435"/>
      <c r="K16" s="435"/>
      <c r="L16" s="435"/>
      <c r="M16" s="435"/>
      <c r="N16" s="435"/>
    </row>
  </sheetData>
  <mergeCells count="16">
    <mergeCell ref="D16:N16"/>
    <mergeCell ref="A14:C14"/>
    <mergeCell ref="D15:N15"/>
    <mergeCell ref="D11:N11"/>
    <mergeCell ref="D10:N10"/>
    <mergeCell ref="D14:N14"/>
    <mergeCell ref="A12:C12"/>
    <mergeCell ref="D13:N13"/>
    <mergeCell ref="A16:C16"/>
    <mergeCell ref="A15:C15"/>
    <mergeCell ref="A10:C10"/>
    <mergeCell ref="A9:N9"/>
    <mergeCell ref="A1:N1"/>
    <mergeCell ref="D12:N12"/>
    <mergeCell ref="A13:C13"/>
    <mergeCell ref="A11:C1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07"/>
  <sheetViews>
    <sheetView tabSelected="1" zoomScaleNormal="100" workbookViewId="0">
      <pane ySplit="2" topLeftCell="A3" activePane="bottomLeft" state="frozen"/>
      <selection pane="bottomLeft" sqref="A1:P1"/>
    </sheetView>
  </sheetViews>
  <sheetFormatPr baseColWidth="10" defaultColWidth="8.6640625" defaultRowHeight="15" x14ac:dyDescent="0.2"/>
  <cols>
    <col min="1" max="1" width="28" customWidth="1"/>
    <col min="2" max="2" width="20" customWidth="1"/>
    <col min="3" max="3" width="14" customWidth="1"/>
    <col min="4" max="4" width="18" customWidth="1"/>
    <col min="5" max="5" width="55" customWidth="1"/>
    <col min="6" max="6" width="22" customWidth="1"/>
    <col min="7" max="8" width="14" customWidth="1"/>
    <col min="9" max="9" width="12" customWidth="1"/>
  </cols>
  <sheetData>
    <row r="1" spans="1:16" ht="27.75" customHeight="1" x14ac:dyDescent="0.2">
      <c r="A1" s="441" t="s">
        <v>0</v>
      </c>
      <c r="B1" s="435"/>
      <c r="C1" s="435"/>
      <c r="D1" s="435"/>
      <c r="E1" s="435"/>
      <c r="F1" s="435"/>
      <c r="G1" s="435"/>
      <c r="H1" s="435"/>
      <c r="I1" s="435"/>
      <c r="J1" s="435"/>
      <c r="K1" s="435"/>
      <c r="L1" s="435"/>
      <c r="M1" s="435"/>
      <c r="N1" s="435"/>
      <c r="O1" s="435"/>
      <c r="P1" s="435"/>
    </row>
    <row r="3" spans="1:16" ht="24" customHeight="1" x14ac:dyDescent="0.2">
      <c r="A3" s="446" t="s">
        <v>1</v>
      </c>
      <c r="B3" s="435"/>
      <c r="C3" s="435"/>
      <c r="D3" s="435"/>
      <c r="E3" s="435"/>
      <c r="F3" s="435"/>
      <c r="G3" s="435"/>
      <c r="H3" s="435"/>
      <c r="I3" s="435"/>
      <c r="J3" s="435"/>
      <c r="K3" s="435"/>
      <c r="L3" s="435"/>
      <c r="M3" s="435"/>
      <c r="N3" s="435"/>
      <c r="O3" s="435"/>
      <c r="P3" s="435"/>
    </row>
    <row r="4" spans="1:16" ht="39.75" customHeight="1" x14ac:dyDescent="0.2">
      <c r="A4" s="399" t="s">
        <v>2</v>
      </c>
      <c r="B4" s="436" t="s">
        <v>3</v>
      </c>
      <c r="C4" s="435"/>
      <c r="D4" s="435"/>
      <c r="E4" s="435"/>
      <c r="F4" s="435"/>
      <c r="G4" s="435"/>
      <c r="H4" s="435"/>
      <c r="I4" s="435"/>
      <c r="J4" s="435"/>
      <c r="K4" s="435"/>
      <c r="L4" s="435"/>
      <c r="M4" s="435"/>
      <c r="N4" s="435"/>
      <c r="O4" s="435"/>
      <c r="P4" s="435"/>
    </row>
    <row r="5" spans="1:16" ht="39.75" customHeight="1" x14ac:dyDescent="0.2">
      <c r="A5" s="399" t="s">
        <v>4</v>
      </c>
      <c r="B5" s="436" t="s">
        <v>5</v>
      </c>
      <c r="C5" s="435"/>
      <c r="D5" s="435"/>
      <c r="E5" s="435"/>
      <c r="F5" s="435"/>
      <c r="G5" s="435"/>
      <c r="H5" s="435"/>
      <c r="I5" s="435"/>
      <c r="J5" s="435"/>
      <c r="K5" s="435"/>
      <c r="L5" s="435"/>
      <c r="M5" s="435"/>
      <c r="N5" s="435"/>
      <c r="O5" s="435"/>
      <c r="P5" s="435"/>
    </row>
    <row r="6" spans="1:16" ht="39.75" customHeight="1" x14ac:dyDescent="0.2">
      <c r="A6" s="399" t="s">
        <v>6</v>
      </c>
      <c r="B6" s="436" t="s">
        <v>7</v>
      </c>
      <c r="C6" s="435"/>
      <c r="D6" s="435"/>
      <c r="E6" s="435"/>
      <c r="F6" s="435"/>
      <c r="G6" s="435"/>
      <c r="H6" s="435"/>
      <c r="I6" s="435"/>
      <c r="J6" s="435"/>
      <c r="K6" s="435"/>
      <c r="L6" s="435"/>
      <c r="M6" s="435"/>
      <c r="N6" s="435"/>
      <c r="O6" s="435"/>
      <c r="P6" s="435"/>
    </row>
    <row r="7" spans="1:16" ht="48" customHeight="1" x14ac:dyDescent="0.2">
      <c r="A7" s="399" t="s">
        <v>8</v>
      </c>
      <c r="B7" s="436" t="s">
        <v>9</v>
      </c>
      <c r="C7" s="435"/>
      <c r="D7" s="435"/>
      <c r="E7" s="435"/>
      <c r="F7" s="435"/>
      <c r="G7" s="435"/>
      <c r="H7" s="435"/>
      <c r="I7" s="435"/>
      <c r="J7" s="435"/>
      <c r="K7" s="435"/>
      <c r="L7" s="435"/>
      <c r="M7" s="435"/>
      <c r="N7" s="435"/>
      <c r="O7" s="435"/>
      <c r="P7" s="435"/>
    </row>
    <row r="8" spans="1:16" ht="39.75" customHeight="1" x14ac:dyDescent="0.2">
      <c r="A8" s="399" t="s">
        <v>10</v>
      </c>
      <c r="B8" s="436" t="s">
        <v>11</v>
      </c>
      <c r="C8" s="435"/>
      <c r="D8" s="435"/>
      <c r="E8" s="435"/>
      <c r="F8" s="435"/>
      <c r="G8" s="435"/>
      <c r="H8" s="435"/>
      <c r="I8" s="435"/>
      <c r="J8" s="435"/>
      <c r="K8" s="435"/>
      <c r="L8" s="435"/>
      <c r="M8" s="435"/>
      <c r="N8" s="435"/>
      <c r="O8" s="435"/>
      <c r="P8" s="435"/>
    </row>
    <row r="9" spans="1:16" ht="39.75" customHeight="1" x14ac:dyDescent="0.2">
      <c r="A9" s="399" t="s">
        <v>12</v>
      </c>
      <c r="B9" s="436" t="s">
        <v>13</v>
      </c>
      <c r="C9" s="435"/>
      <c r="D9" s="435"/>
      <c r="E9" s="435"/>
      <c r="F9" s="435"/>
      <c r="G9" s="435"/>
      <c r="H9" s="435"/>
      <c r="I9" s="435"/>
      <c r="J9" s="435"/>
      <c r="K9" s="435"/>
      <c r="L9" s="435"/>
      <c r="M9" s="435"/>
      <c r="N9" s="435"/>
      <c r="O9" s="435"/>
      <c r="P9" s="435"/>
    </row>
    <row r="10" spans="1:16" ht="90" customHeight="1" x14ac:dyDescent="0.2">
      <c r="A10" s="399" t="s">
        <v>14</v>
      </c>
      <c r="B10" s="436" t="s">
        <v>15</v>
      </c>
      <c r="C10" s="435"/>
      <c r="D10" s="435"/>
      <c r="E10" s="435"/>
      <c r="F10" s="435"/>
      <c r="G10" s="435"/>
      <c r="H10" s="435"/>
      <c r="I10" s="435"/>
      <c r="J10" s="435"/>
      <c r="K10" s="435"/>
      <c r="L10" s="435"/>
      <c r="M10" s="435"/>
      <c r="N10" s="435"/>
      <c r="O10" s="435"/>
      <c r="P10" s="435"/>
    </row>
    <row r="11" spans="1:16" ht="61.5" customHeight="1" x14ac:dyDescent="0.2">
      <c r="A11" s="399" t="s">
        <v>16</v>
      </c>
      <c r="B11" s="436" t="s">
        <v>17</v>
      </c>
      <c r="C11" s="435"/>
      <c r="D11" s="435"/>
      <c r="E11" s="435"/>
      <c r="F11" s="435"/>
      <c r="G11" s="435"/>
      <c r="H11" s="435"/>
      <c r="I11" s="435"/>
      <c r="J11" s="435"/>
      <c r="K11" s="435"/>
      <c r="L11" s="435"/>
      <c r="M11" s="435"/>
      <c r="N11" s="435"/>
      <c r="O11" s="435"/>
      <c r="P11" s="435"/>
    </row>
    <row r="12" spans="1:16" ht="61.5" customHeight="1" x14ac:dyDescent="0.2">
      <c r="A12" s="399" t="s">
        <v>18</v>
      </c>
      <c r="B12" s="436" t="s">
        <v>19</v>
      </c>
      <c r="C12" s="435"/>
      <c r="D12" s="435"/>
      <c r="E12" s="435"/>
      <c r="F12" s="435"/>
      <c r="G12" s="435"/>
      <c r="H12" s="435"/>
      <c r="I12" s="435"/>
      <c r="J12" s="435"/>
      <c r="K12" s="435"/>
      <c r="L12" s="435"/>
      <c r="M12" s="435"/>
      <c r="N12" s="435"/>
      <c r="O12" s="435"/>
      <c r="P12" s="435"/>
    </row>
    <row r="13" spans="1:16" ht="75.75" customHeight="1" x14ac:dyDescent="0.2">
      <c r="A13" s="399" t="s">
        <v>20</v>
      </c>
      <c r="B13" s="436" t="s">
        <v>21</v>
      </c>
      <c r="C13" s="435"/>
      <c r="D13" s="435"/>
      <c r="E13" s="435"/>
      <c r="F13" s="435"/>
      <c r="G13" s="435"/>
      <c r="H13" s="435"/>
      <c r="I13" s="435"/>
      <c r="J13" s="435"/>
      <c r="K13" s="435"/>
      <c r="L13" s="435"/>
      <c r="M13" s="435"/>
      <c r="N13" s="435"/>
      <c r="O13" s="435"/>
      <c r="P13" s="435"/>
    </row>
    <row r="14" spans="1:16" ht="61.5" customHeight="1" x14ac:dyDescent="0.2">
      <c r="A14" s="399" t="s">
        <v>22</v>
      </c>
      <c r="B14" s="436" t="s">
        <v>23</v>
      </c>
      <c r="C14" s="435"/>
      <c r="D14" s="435"/>
      <c r="E14" s="435"/>
      <c r="F14" s="435"/>
      <c r="G14" s="435"/>
      <c r="H14" s="435"/>
      <c r="I14" s="435"/>
      <c r="J14" s="435"/>
      <c r="K14" s="435"/>
      <c r="L14" s="435"/>
      <c r="M14" s="435"/>
      <c r="N14" s="435"/>
      <c r="O14" s="435"/>
      <c r="P14" s="435"/>
    </row>
    <row r="15" spans="1:16" ht="39.75" customHeight="1" x14ac:dyDescent="0.2">
      <c r="A15" s="399" t="s">
        <v>24</v>
      </c>
      <c r="B15" s="436" t="s">
        <v>25</v>
      </c>
      <c r="C15" s="435"/>
      <c r="D15" s="435"/>
      <c r="E15" s="435"/>
      <c r="F15" s="435"/>
      <c r="G15" s="435"/>
      <c r="H15" s="435"/>
      <c r="I15" s="435"/>
      <c r="J15" s="435"/>
      <c r="K15" s="435"/>
      <c r="L15" s="435"/>
      <c r="M15" s="435"/>
      <c r="N15" s="435"/>
      <c r="O15" s="435"/>
      <c r="P15" s="435"/>
    </row>
    <row r="16" spans="1:16" ht="39.75" customHeight="1" x14ac:dyDescent="0.2">
      <c r="A16" s="399" t="s">
        <v>26</v>
      </c>
      <c r="B16" s="436" t="s">
        <v>27</v>
      </c>
      <c r="C16" s="435"/>
      <c r="D16" s="435"/>
      <c r="E16" s="435"/>
      <c r="F16" s="435"/>
      <c r="G16" s="435"/>
      <c r="H16" s="435"/>
      <c r="I16" s="435"/>
      <c r="J16" s="435"/>
      <c r="K16" s="435"/>
      <c r="L16" s="435"/>
      <c r="M16" s="435"/>
      <c r="N16" s="435"/>
      <c r="O16" s="435"/>
      <c r="P16" s="435"/>
    </row>
    <row r="18" spans="1:16" ht="24" customHeight="1" x14ac:dyDescent="0.2">
      <c r="A18" s="444" t="s">
        <v>28</v>
      </c>
      <c r="B18" s="435"/>
      <c r="C18" s="435"/>
      <c r="D18" s="435"/>
      <c r="E18" s="435"/>
      <c r="F18" s="435"/>
      <c r="G18" s="435"/>
      <c r="H18" s="435"/>
      <c r="I18" s="435"/>
      <c r="J18" s="435"/>
      <c r="K18" s="435"/>
      <c r="L18" s="435"/>
      <c r="M18" s="435"/>
      <c r="N18" s="435"/>
      <c r="O18" s="435"/>
      <c r="P18" s="435"/>
    </row>
    <row r="19" spans="1:16" ht="18" customHeight="1" x14ac:dyDescent="0.2">
      <c r="A19" s="401" t="s">
        <v>29</v>
      </c>
      <c r="B19" s="401" t="s">
        <v>30</v>
      </c>
      <c r="C19" s="401" t="s">
        <v>31</v>
      </c>
      <c r="D19" s="401" t="s">
        <v>32</v>
      </c>
      <c r="E19" s="401" t="s">
        <v>33</v>
      </c>
      <c r="F19" s="401" t="s">
        <v>34</v>
      </c>
      <c r="G19" s="401" t="s">
        <v>35</v>
      </c>
    </row>
    <row r="20" spans="1:16" ht="69.75" customHeight="1" x14ac:dyDescent="0.2">
      <c r="A20" s="402" t="s">
        <v>36</v>
      </c>
      <c r="B20" s="402" t="s">
        <v>37</v>
      </c>
      <c r="C20" s="403" t="s">
        <v>38</v>
      </c>
      <c r="D20" s="403" t="s">
        <v>39</v>
      </c>
      <c r="E20" s="403" t="s">
        <v>40</v>
      </c>
      <c r="F20" s="403" t="s">
        <v>41</v>
      </c>
      <c r="G20" s="403" t="s">
        <v>42</v>
      </c>
    </row>
    <row r="21" spans="1:16" ht="69.75" customHeight="1" x14ac:dyDescent="0.2">
      <c r="A21" s="402" t="s">
        <v>43</v>
      </c>
      <c r="B21" s="402" t="s">
        <v>44</v>
      </c>
      <c r="C21" s="403" t="s">
        <v>45</v>
      </c>
      <c r="D21" s="403" t="s">
        <v>46</v>
      </c>
      <c r="E21" s="403" t="s">
        <v>47</v>
      </c>
      <c r="F21" s="403" t="s">
        <v>48</v>
      </c>
      <c r="G21" s="403" t="s">
        <v>49</v>
      </c>
    </row>
    <row r="22" spans="1:16" ht="69.75" customHeight="1" x14ac:dyDescent="0.2">
      <c r="A22" s="402" t="s">
        <v>50</v>
      </c>
      <c r="B22" s="402" t="s">
        <v>51</v>
      </c>
      <c r="C22" s="403" t="s">
        <v>52</v>
      </c>
      <c r="D22" s="403" t="s">
        <v>46</v>
      </c>
      <c r="E22" s="403" t="s">
        <v>53</v>
      </c>
      <c r="F22" s="403" t="s">
        <v>54</v>
      </c>
      <c r="G22" s="403" t="s">
        <v>55</v>
      </c>
    </row>
    <row r="23" spans="1:16" ht="69.75" customHeight="1" x14ac:dyDescent="0.2">
      <c r="A23" s="402" t="s">
        <v>56</v>
      </c>
      <c r="B23" s="402" t="s">
        <v>57</v>
      </c>
      <c r="C23" s="403" t="s">
        <v>58</v>
      </c>
      <c r="D23" s="403" t="s">
        <v>59</v>
      </c>
      <c r="E23" s="403" t="s">
        <v>60</v>
      </c>
      <c r="F23" s="403" t="s">
        <v>61</v>
      </c>
      <c r="G23" s="403" t="s">
        <v>62</v>
      </c>
    </row>
    <row r="24" spans="1:16" ht="69.75" customHeight="1" x14ac:dyDescent="0.2">
      <c r="A24" s="402" t="s">
        <v>63</v>
      </c>
      <c r="B24" s="402" t="s">
        <v>64</v>
      </c>
      <c r="C24" s="403" t="s">
        <v>45</v>
      </c>
      <c r="D24" s="403" t="s">
        <v>65</v>
      </c>
      <c r="E24" s="403" t="s">
        <v>66</v>
      </c>
      <c r="F24" s="403" t="s">
        <v>67</v>
      </c>
      <c r="G24" s="403" t="s">
        <v>68</v>
      </c>
    </row>
    <row r="25" spans="1:16" ht="69.75" customHeight="1" x14ac:dyDescent="0.2">
      <c r="A25" s="402" t="s">
        <v>69</v>
      </c>
      <c r="B25" s="402" t="s">
        <v>70</v>
      </c>
      <c r="C25" s="403" t="s">
        <v>71</v>
      </c>
      <c r="D25" s="403" t="s">
        <v>46</v>
      </c>
      <c r="E25" s="403" t="s">
        <v>72</v>
      </c>
      <c r="F25" s="403" t="s">
        <v>73</v>
      </c>
      <c r="G25" s="403" t="s">
        <v>74</v>
      </c>
    </row>
    <row r="27" spans="1:16" ht="24" customHeight="1" x14ac:dyDescent="0.2">
      <c r="A27" s="445" t="s">
        <v>75</v>
      </c>
      <c r="B27" s="435"/>
      <c r="C27" s="435"/>
      <c r="D27" s="435"/>
      <c r="E27" s="435"/>
      <c r="F27" s="435"/>
      <c r="G27" s="435"/>
      <c r="H27" s="435"/>
      <c r="I27" s="435"/>
      <c r="J27" s="435"/>
      <c r="K27" s="435"/>
      <c r="L27" s="435"/>
      <c r="M27" s="435"/>
      <c r="N27" s="435"/>
      <c r="O27" s="435"/>
      <c r="P27" s="435"/>
    </row>
    <row r="28" spans="1:16" ht="18" customHeight="1" x14ac:dyDescent="0.2">
      <c r="A28" s="404" t="s">
        <v>76</v>
      </c>
      <c r="B28" s="404" t="s">
        <v>77</v>
      </c>
      <c r="C28" s="404" t="s">
        <v>78</v>
      </c>
      <c r="D28" s="404" t="s">
        <v>79</v>
      </c>
      <c r="E28" s="404" t="s">
        <v>80</v>
      </c>
      <c r="F28" s="404" t="s">
        <v>81</v>
      </c>
      <c r="G28" s="404" t="s">
        <v>82</v>
      </c>
      <c r="H28" s="404" t="s">
        <v>83</v>
      </c>
      <c r="I28" s="404" t="s">
        <v>84</v>
      </c>
    </row>
    <row r="29" spans="1:16" ht="54.75" customHeight="1" x14ac:dyDescent="0.2">
      <c r="A29" s="405" t="s">
        <v>85</v>
      </c>
      <c r="B29" s="405" t="s">
        <v>86</v>
      </c>
      <c r="C29" s="405" t="s">
        <v>87</v>
      </c>
      <c r="D29" s="405" t="s">
        <v>88</v>
      </c>
      <c r="E29" s="405" t="s">
        <v>89</v>
      </c>
      <c r="F29" s="405" t="s">
        <v>90</v>
      </c>
      <c r="G29" s="405" t="s">
        <v>91</v>
      </c>
      <c r="H29" s="405" t="s">
        <v>92</v>
      </c>
      <c r="I29" s="405" t="s">
        <v>93</v>
      </c>
    </row>
    <row r="30" spans="1:16" ht="54.75" customHeight="1" x14ac:dyDescent="0.2">
      <c r="A30" s="405" t="s">
        <v>94</v>
      </c>
      <c r="B30" s="405" t="s">
        <v>95</v>
      </c>
      <c r="C30" s="405" t="s">
        <v>96</v>
      </c>
      <c r="D30" s="405" t="s">
        <v>97</v>
      </c>
      <c r="E30" s="405" t="s">
        <v>89</v>
      </c>
      <c r="F30" s="405" t="s">
        <v>98</v>
      </c>
      <c r="G30" s="405" t="s">
        <v>99</v>
      </c>
      <c r="H30" s="405" t="s">
        <v>100</v>
      </c>
      <c r="I30" s="405" t="s">
        <v>93</v>
      </c>
    </row>
    <row r="31" spans="1:16" ht="54.75" customHeight="1" x14ac:dyDescent="0.2">
      <c r="A31" s="406" t="s">
        <v>101</v>
      </c>
      <c r="B31" s="406" t="s">
        <v>102</v>
      </c>
      <c r="C31" s="406" t="s">
        <v>87</v>
      </c>
      <c r="D31" s="406" t="s">
        <v>88</v>
      </c>
      <c r="E31" s="406" t="s">
        <v>103</v>
      </c>
      <c r="F31" s="406" t="s">
        <v>104</v>
      </c>
      <c r="G31" s="406" t="s">
        <v>105</v>
      </c>
      <c r="H31" s="406" t="s">
        <v>106</v>
      </c>
      <c r="I31" s="406" t="s">
        <v>107</v>
      </c>
    </row>
    <row r="32" spans="1:16" ht="54.75" customHeight="1" x14ac:dyDescent="0.2">
      <c r="A32" s="406" t="s">
        <v>108</v>
      </c>
      <c r="B32" s="406" t="s">
        <v>109</v>
      </c>
      <c r="C32" s="406" t="s">
        <v>110</v>
      </c>
      <c r="D32" s="406" t="s">
        <v>88</v>
      </c>
      <c r="E32" s="406" t="s">
        <v>89</v>
      </c>
      <c r="F32" s="406" t="s">
        <v>111</v>
      </c>
      <c r="G32" s="406" t="s">
        <v>112</v>
      </c>
      <c r="H32" s="406" t="s">
        <v>113</v>
      </c>
      <c r="I32" s="406" t="s">
        <v>107</v>
      </c>
    </row>
    <row r="33" spans="1:16" ht="54.75" customHeight="1" x14ac:dyDescent="0.2">
      <c r="A33" s="406" t="s">
        <v>114</v>
      </c>
      <c r="B33" s="406" t="s">
        <v>115</v>
      </c>
      <c r="C33" s="406" t="s">
        <v>116</v>
      </c>
      <c r="D33" s="406" t="s">
        <v>88</v>
      </c>
      <c r="E33" s="406" t="s">
        <v>89</v>
      </c>
      <c r="F33" s="406" t="s">
        <v>117</v>
      </c>
      <c r="G33" s="406" t="s">
        <v>118</v>
      </c>
      <c r="H33" s="406" t="s">
        <v>113</v>
      </c>
      <c r="I33" s="406" t="s">
        <v>107</v>
      </c>
    </row>
    <row r="34" spans="1:16" ht="54.75" customHeight="1" x14ac:dyDescent="0.2">
      <c r="A34" s="406" t="s">
        <v>119</v>
      </c>
      <c r="B34" s="406" t="s">
        <v>120</v>
      </c>
      <c r="C34" s="406" t="s">
        <v>121</v>
      </c>
      <c r="D34" s="406" t="s">
        <v>122</v>
      </c>
      <c r="E34" s="406" t="s">
        <v>89</v>
      </c>
      <c r="F34" s="406" t="s">
        <v>123</v>
      </c>
      <c r="G34" s="406" t="s">
        <v>124</v>
      </c>
      <c r="H34" s="406" t="s">
        <v>113</v>
      </c>
      <c r="I34" s="406" t="s">
        <v>107</v>
      </c>
    </row>
    <row r="35" spans="1:16" ht="54.75" customHeight="1" x14ac:dyDescent="0.2">
      <c r="A35" s="406" t="s">
        <v>125</v>
      </c>
      <c r="B35" s="406" t="s">
        <v>126</v>
      </c>
      <c r="C35" s="406" t="s">
        <v>116</v>
      </c>
      <c r="D35" s="406" t="s">
        <v>88</v>
      </c>
      <c r="E35" s="406" t="s">
        <v>89</v>
      </c>
      <c r="F35" s="406" t="s">
        <v>127</v>
      </c>
      <c r="G35" s="406" t="s">
        <v>128</v>
      </c>
      <c r="H35" s="406" t="s">
        <v>129</v>
      </c>
      <c r="I35" s="406" t="s">
        <v>107</v>
      </c>
    </row>
    <row r="36" spans="1:16" ht="54.75" customHeight="1" x14ac:dyDescent="0.2">
      <c r="A36" s="407" t="s">
        <v>130</v>
      </c>
      <c r="B36" s="407" t="s">
        <v>131</v>
      </c>
      <c r="C36" s="407" t="s">
        <v>132</v>
      </c>
      <c r="D36" s="407" t="s">
        <v>88</v>
      </c>
      <c r="E36" s="407" t="s">
        <v>103</v>
      </c>
      <c r="F36" s="407" t="s">
        <v>133</v>
      </c>
      <c r="G36" s="407" t="s">
        <v>134</v>
      </c>
      <c r="H36" s="407" t="s">
        <v>113</v>
      </c>
      <c r="I36" s="407" t="s">
        <v>135</v>
      </c>
    </row>
    <row r="38" spans="1:16" ht="24" customHeight="1" x14ac:dyDescent="0.2">
      <c r="A38" s="439" t="s">
        <v>136</v>
      </c>
      <c r="B38" s="435"/>
      <c r="C38" s="435"/>
      <c r="D38" s="435"/>
      <c r="E38" s="435"/>
      <c r="F38" s="435"/>
      <c r="G38" s="435"/>
      <c r="H38" s="435"/>
      <c r="I38" s="435"/>
      <c r="J38" s="435"/>
      <c r="K38" s="435"/>
      <c r="L38" s="435"/>
      <c r="M38" s="435"/>
      <c r="N38" s="435"/>
      <c r="O38" s="435"/>
      <c r="P38" s="435"/>
    </row>
    <row r="39" spans="1:16" ht="18" customHeight="1" x14ac:dyDescent="0.2">
      <c r="A39" s="409" t="s">
        <v>31</v>
      </c>
      <c r="B39" s="409" t="s">
        <v>137</v>
      </c>
      <c r="C39" s="409" t="s">
        <v>138</v>
      </c>
      <c r="D39" s="409" t="s">
        <v>139</v>
      </c>
      <c r="E39" s="409" t="s">
        <v>140</v>
      </c>
      <c r="F39" s="409" t="s">
        <v>30</v>
      </c>
      <c r="G39" s="409" t="s">
        <v>83</v>
      </c>
    </row>
    <row r="40" spans="1:16" ht="54.75" customHeight="1" x14ac:dyDescent="0.2">
      <c r="A40" s="410" t="s">
        <v>141</v>
      </c>
      <c r="B40" s="403" t="s">
        <v>142</v>
      </c>
      <c r="C40" s="403" t="s">
        <v>143</v>
      </c>
      <c r="D40" s="403" t="s">
        <v>144</v>
      </c>
      <c r="E40" s="403" t="s">
        <v>145</v>
      </c>
      <c r="F40" s="403" t="s">
        <v>146</v>
      </c>
      <c r="G40" s="403" t="s">
        <v>147</v>
      </c>
    </row>
    <row r="41" spans="1:16" ht="54.75" customHeight="1" x14ac:dyDescent="0.2">
      <c r="A41" s="410" t="s">
        <v>148</v>
      </c>
      <c r="B41" s="403" t="s">
        <v>149</v>
      </c>
      <c r="C41" s="403" t="s">
        <v>150</v>
      </c>
      <c r="D41" s="403" t="s">
        <v>151</v>
      </c>
      <c r="E41" s="403" t="s">
        <v>152</v>
      </c>
      <c r="F41" s="403" t="s">
        <v>153</v>
      </c>
      <c r="G41" s="403" t="s">
        <v>154</v>
      </c>
    </row>
    <row r="42" spans="1:16" ht="54.75" customHeight="1" x14ac:dyDescent="0.2">
      <c r="A42" s="410" t="s">
        <v>155</v>
      </c>
      <c r="B42" s="403" t="s">
        <v>156</v>
      </c>
      <c r="C42" s="403" t="s">
        <v>157</v>
      </c>
      <c r="D42" s="403" t="s">
        <v>158</v>
      </c>
      <c r="E42" s="403" t="s">
        <v>159</v>
      </c>
      <c r="F42" s="403" t="s">
        <v>160</v>
      </c>
      <c r="G42" s="403" t="s">
        <v>161</v>
      </c>
    </row>
    <row r="43" spans="1:16" ht="54.75" customHeight="1" x14ac:dyDescent="0.2">
      <c r="A43" s="410" t="s">
        <v>162</v>
      </c>
      <c r="B43" s="403" t="s">
        <v>163</v>
      </c>
      <c r="C43" s="403" t="s">
        <v>164</v>
      </c>
      <c r="D43" s="403" t="s">
        <v>165</v>
      </c>
      <c r="E43" s="403" t="s">
        <v>152</v>
      </c>
      <c r="F43" s="403" t="s">
        <v>166</v>
      </c>
      <c r="G43" s="403" t="s">
        <v>167</v>
      </c>
    </row>
    <row r="44" spans="1:16" ht="54.75" customHeight="1" x14ac:dyDescent="0.2">
      <c r="A44" s="410" t="s">
        <v>168</v>
      </c>
      <c r="B44" s="403" t="s">
        <v>169</v>
      </c>
      <c r="C44" s="403" t="s">
        <v>170</v>
      </c>
      <c r="D44" s="403" t="s">
        <v>171</v>
      </c>
      <c r="E44" s="403" t="s">
        <v>172</v>
      </c>
      <c r="F44" s="403" t="s">
        <v>173</v>
      </c>
      <c r="G44" s="403" t="s">
        <v>174</v>
      </c>
    </row>
    <row r="45" spans="1:16" ht="54.75" customHeight="1" x14ac:dyDescent="0.2">
      <c r="A45" s="410" t="s">
        <v>175</v>
      </c>
      <c r="B45" s="403" t="s">
        <v>176</v>
      </c>
      <c r="C45" s="403" t="s">
        <v>177</v>
      </c>
      <c r="D45" s="403" t="s">
        <v>178</v>
      </c>
      <c r="E45" s="403" t="s">
        <v>179</v>
      </c>
      <c r="F45" s="403" t="s">
        <v>180</v>
      </c>
      <c r="G45" s="403" t="s">
        <v>181</v>
      </c>
    </row>
    <row r="46" spans="1:16" ht="54.75" customHeight="1" x14ac:dyDescent="0.2">
      <c r="A46" s="410" t="s">
        <v>182</v>
      </c>
      <c r="B46" s="403" t="s">
        <v>183</v>
      </c>
      <c r="C46" s="403" t="s">
        <v>184</v>
      </c>
      <c r="D46" s="403" t="s">
        <v>185</v>
      </c>
      <c r="E46" s="403" t="s">
        <v>186</v>
      </c>
      <c r="F46" s="403" t="s">
        <v>187</v>
      </c>
      <c r="G46" s="403" t="s">
        <v>188</v>
      </c>
    </row>
    <row r="48" spans="1:16" ht="24" customHeight="1" x14ac:dyDescent="0.2">
      <c r="A48" s="440" t="s">
        <v>189</v>
      </c>
      <c r="B48" s="435"/>
      <c r="C48" s="435"/>
      <c r="D48" s="435"/>
      <c r="E48" s="435"/>
      <c r="F48" s="435"/>
      <c r="G48" s="435"/>
      <c r="H48" s="435"/>
      <c r="I48" s="435"/>
      <c r="J48" s="435"/>
      <c r="K48" s="435"/>
      <c r="L48" s="435"/>
      <c r="M48" s="435"/>
      <c r="N48" s="435"/>
      <c r="O48" s="435"/>
      <c r="P48" s="435"/>
    </row>
    <row r="49" spans="1:16" ht="18" customHeight="1" x14ac:dyDescent="0.2">
      <c r="A49" s="411" t="s">
        <v>190</v>
      </c>
      <c r="B49" s="411" t="s">
        <v>191</v>
      </c>
      <c r="C49" s="411" t="s">
        <v>192</v>
      </c>
      <c r="D49" s="411" t="s">
        <v>193</v>
      </c>
      <c r="E49" s="411" t="s">
        <v>194</v>
      </c>
      <c r="F49" s="411" t="s">
        <v>195</v>
      </c>
      <c r="G49" s="411" t="s">
        <v>83</v>
      </c>
    </row>
    <row r="50" spans="1:16" ht="69.75" customHeight="1" x14ac:dyDescent="0.2">
      <c r="A50" s="402" t="s">
        <v>196</v>
      </c>
      <c r="B50" s="403" t="s">
        <v>197</v>
      </c>
      <c r="C50" s="403" t="s">
        <v>198</v>
      </c>
      <c r="D50" s="403" t="s">
        <v>5</v>
      </c>
      <c r="E50" s="403" t="s">
        <v>199</v>
      </c>
      <c r="F50" s="403" t="s">
        <v>200</v>
      </c>
      <c r="G50" s="402" t="s">
        <v>201</v>
      </c>
    </row>
    <row r="51" spans="1:16" ht="69.75" customHeight="1" x14ac:dyDescent="0.2">
      <c r="A51" s="402" t="s">
        <v>202</v>
      </c>
      <c r="B51" s="403" t="s">
        <v>203</v>
      </c>
      <c r="C51" s="403" t="s">
        <v>204</v>
      </c>
      <c r="D51" s="403" t="s">
        <v>205</v>
      </c>
      <c r="E51" s="403" t="s">
        <v>206</v>
      </c>
      <c r="F51" s="403" t="s">
        <v>207</v>
      </c>
      <c r="G51" s="402" t="s">
        <v>208</v>
      </c>
    </row>
    <row r="52" spans="1:16" ht="69.75" customHeight="1" x14ac:dyDescent="0.2">
      <c r="A52" s="406" t="s">
        <v>209</v>
      </c>
      <c r="B52" s="403" t="s">
        <v>210</v>
      </c>
      <c r="C52" s="403" t="s">
        <v>211</v>
      </c>
      <c r="D52" s="403" t="s">
        <v>212</v>
      </c>
      <c r="E52" s="403" t="s">
        <v>213</v>
      </c>
      <c r="F52" s="403" t="s">
        <v>214</v>
      </c>
      <c r="G52" s="406" t="s">
        <v>215</v>
      </c>
    </row>
    <row r="53" spans="1:16" ht="69.75" customHeight="1" x14ac:dyDescent="0.2">
      <c r="A53" s="410" t="s">
        <v>216</v>
      </c>
      <c r="B53" s="403" t="s">
        <v>217</v>
      </c>
      <c r="C53" s="403" t="s">
        <v>218</v>
      </c>
      <c r="D53" s="403" t="s">
        <v>219</v>
      </c>
      <c r="E53" s="403" t="s">
        <v>220</v>
      </c>
      <c r="F53" s="403" t="s">
        <v>221</v>
      </c>
      <c r="G53" s="410" t="s">
        <v>222</v>
      </c>
    </row>
    <row r="54" spans="1:16" ht="69.75" customHeight="1" x14ac:dyDescent="0.2">
      <c r="A54" s="406" t="s">
        <v>223</v>
      </c>
      <c r="B54" s="403" t="s">
        <v>224</v>
      </c>
      <c r="C54" s="403" t="s">
        <v>225</v>
      </c>
      <c r="D54" s="403" t="s">
        <v>226</v>
      </c>
      <c r="E54" s="403" t="s">
        <v>227</v>
      </c>
      <c r="F54" s="403" t="s">
        <v>228</v>
      </c>
      <c r="G54" s="406" t="s">
        <v>229</v>
      </c>
    </row>
    <row r="56" spans="1:16" ht="24" customHeight="1" x14ac:dyDescent="0.2">
      <c r="A56" s="439" t="s">
        <v>230</v>
      </c>
      <c r="B56" s="435"/>
      <c r="C56" s="435"/>
      <c r="D56" s="435"/>
      <c r="E56" s="435"/>
      <c r="F56" s="435"/>
      <c r="G56" s="435"/>
      <c r="H56" s="435"/>
      <c r="I56" s="435"/>
      <c r="J56" s="435"/>
      <c r="K56" s="435"/>
      <c r="L56" s="435"/>
      <c r="M56" s="435"/>
      <c r="N56" s="435"/>
      <c r="O56" s="435"/>
      <c r="P56" s="435"/>
    </row>
    <row r="57" spans="1:16" ht="93.75" customHeight="1" x14ac:dyDescent="0.2">
      <c r="A57" s="399" t="s">
        <v>231</v>
      </c>
      <c r="B57" s="436" t="s">
        <v>232</v>
      </c>
      <c r="C57" s="435"/>
      <c r="D57" s="435"/>
      <c r="E57" s="435"/>
      <c r="F57" s="435"/>
      <c r="G57" s="435"/>
      <c r="H57" s="435"/>
      <c r="I57" s="435"/>
      <c r="J57" s="435"/>
      <c r="K57" s="435"/>
      <c r="L57" s="435"/>
      <c r="M57" s="435"/>
      <c r="N57" s="435"/>
      <c r="O57" s="435"/>
      <c r="P57" s="435"/>
    </row>
    <row r="58" spans="1:16" ht="66" customHeight="1" x14ac:dyDescent="0.2">
      <c r="A58" s="412" t="s">
        <v>233</v>
      </c>
      <c r="B58" s="437" t="s">
        <v>234</v>
      </c>
      <c r="C58" s="435"/>
      <c r="D58" s="435"/>
      <c r="E58" s="435"/>
      <c r="F58" s="435"/>
      <c r="G58" s="435"/>
      <c r="H58" s="435"/>
      <c r="I58" s="435"/>
      <c r="J58" s="435"/>
      <c r="K58" s="435"/>
      <c r="L58" s="435"/>
      <c r="M58" s="435"/>
      <c r="N58" s="435"/>
      <c r="O58" s="435"/>
      <c r="P58" s="435"/>
    </row>
    <row r="59" spans="1:16" ht="39.75" customHeight="1" x14ac:dyDescent="0.2">
      <c r="A59" s="399" t="s">
        <v>235</v>
      </c>
      <c r="B59" s="436" t="s">
        <v>236</v>
      </c>
      <c r="C59" s="435"/>
      <c r="D59" s="435"/>
      <c r="E59" s="435"/>
      <c r="F59" s="435"/>
      <c r="G59" s="435"/>
      <c r="H59" s="435"/>
      <c r="I59" s="435"/>
      <c r="J59" s="435"/>
      <c r="K59" s="435"/>
      <c r="L59" s="435"/>
      <c r="M59" s="435"/>
      <c r="N59" s="435"/>
      <c r="O59" s="435"/>
      <c r="P59" s="435"/>
    </row>
    <row r="60" spans="1:16" ht="150" customHeight="1" x14ac:dyDescent="0.2">
      <c r="A60" s="412" t="s">
        <v>237</v>
      </c>
      <c r="B60" s="437" t="s">
        <v>238</v>
      </c>
      <c r="C60" s="435"/>
      <c r="D60" s="435"/>
      <c r="E60" s="435"/>
      <c r="F60" s="435"/>
      <c r="G60" s="435"/>
      <c r="H60" s="435"/>
      <c r="I60" s="435"/>
      <c r="J60" s="435"/>
      <c r="K60" s="435"/>
      <c r="L60" s="435"/>
      <c r="M60" s="435"/>
      <c r="N60" s="435"/>
      <c r="O60" s="435"/>
      <c r="P60" s="435"/>
    </row>
    <row r="61" spans="1:16" ht="259.5" customHeight="1" x14ac:dyDescent="0.2">
      <c r="A61" s="413" t="s">
        <v>239</v>
      </c>
      <c r="B61" s="436" t="s">
        <v>240</v>
      </c>
      <c r="C61" s="435"/>
      <c r="D61" s="435"/>
      <c r="E61" s="435"/>
      <c r="F61" s="435"/>
      <c r="G61" s="435"/>
      <c r="H61" s="435"/>
      <c r="I61" s="435"/>
      <c r="J61" s="435"/>
      <c r="K61" s="435"/>
      <c r="L61" s="435"/>
      <c r="M61" s="435"/>
      <c r="N61" s="435"/>
      <c r="O61" s="435"/>
      <c r="P61" s="435"/>
    </row>
    <row r="62" spans="1:16" ht="22" customHeight="1" x14ac:dyDescent="0.2">
      <c r="A62" s="438" t="s">
        <v>241</v>
      </c>
      <c r="B62" s="435"/>
      <c r="C62" s="435"/>
      <c r="D62" s="435"/>
      <c r="E62" s="435"/>
      <c r="F62" s="435"/>
      <c r="G62" s="435"/>
      <c r="H62" s="435"/>
      <c r="I62" s="435"/>
      <c r="J62" s="435"/>
      <c r="K62" s="435"/>
      <c r="L62" s="435"/>
      <c r="M62" s="435"/>
      <c r="N62" s="435"/>
      <c r="O62" s="435"/>
      <c r="P62" s="435"/>
    </row>
    <row r="63" spans="1:16" ht="34" customHeight="1" x14ac:dyDescent="0.2"/>
    <row r="64" spans="1:16" ht="34" customHeight="1" x14ac:dyDescent="0.2">
      <c r="A64" s="435"/>
      <c r="B64" s="435"/>
      <c r="C64" s="435"/>
      <c r="D64" s="435"/>
      <c r="E64" s="435"/>
      <c r="F64" s="435"/>
      <c r="G64" s="435"/>
      <c r="H64" s="435"/>
      <c r="I64" s="435"/>
      <c r="J64" s="435"/>
      <c r="K64" s="435"/>
      <c r="L64" s="435"/>
      <c r="M64" s="435"/>
      <c r="N64" s="435"/>
      <c r="O64" s="435"/>
      <c r="P64" s="435"/>
    </row>
    <row r="65" spans="1:16" ht="34" customHeight="1" x14ac:dyDescent="0.2">
      <c r="B65" s="435"/>
      <c r="C65" s="435"/>
      <c r="D65" s="435"/>
      <c r="E65" s="435"/>
      <c r="F65" s="435"/>
      <c r="G65" s="435"/>
      <c r="H65" s="435"/>
      <c r="I65" s="435"/>
      <c r="J65" s="435"/>
      <c r="K65" s="435"/>
      <c r="L65" s="435"/>
      <c r="M65" s="435"/>
      <c r="N65" s="435"/>
      <c r="O65" s="435"/>
      <c r="P65" s="435"/>
    </row>
    <row r="66" spans="1:16" ht="34" customHeight="1" x14ac:dyDescent="0.2">
      <c r="B66" s="435"/>
      <c r="C66" s="435"/>
      <c r="D66" s="435"/>
      <c r="E66" s="435"/>
      <c r="F66" s="435"/>
      <c r="G66" s="435"/>
      <c r="H66" s="435"/>
      <c r="I66" s="435"/>
      <c r="J66" s="435"/>
      <c r="K66" s="435"/>
      <c r="L66" s="435"/>
      <c r="M66" s="435"/>
      <c r="N66" s="435"/>
      <c r="O66" s="435"/>
      <c r="P66" s="435"/>
    </row>
    <row r="67" spans="1:16" ht="34" customHeight="1" x14ac:dyDescent="0.2">
      <c r="B67" s="435"/>
      <c r="C67" s="435"/>
      <c r="D67" s="435"/>
      <c r="E67" s="435"/>
      <c r="F67" s="435"/>
      <c r="G67" s="435"/>
      <c r="H67" s="435"/>
      <c r="I67" s="435"/>
      <c r="J67" s="435"/>
      <c r="K67" s="435"/>
      <c r="L67" s="435"/>
      <c r="M67" s="435"/>
      <c r="N67" s="435"/>
      <c r="O67" s="435"/>
      <c r="P67" s="435"/>
    </row>
    <row r="68" spans="1:16" ht="34" customHeight="1" x14ac:dyDescent="0.2">
      <c r="B68" s="435"/>
      <c r="C68" s="435"/>
      <c r="D68" s="435"/>
      <c r="E68" s="435"/>
      <c r="F68" s="435"/>
      <c r="G68" s="435"/>
      <c r="H68" s="435"/>
      <c r="I68" s="435"/>
      <c r="J68" s="435"/>
      <c r="K68" s="435"/>
      <c r="L68" s="435"/>
      <c r="M68" s="435"/>
      <c r="N68" s="435"/>
      <c r="O68" s="435"/>
      <c r="P68" s="435"/>
    </row>
    <row r="69" spans="1:16" ht="34" customHeight="1" x14ac:dyDescent="0.2">
      <c r="B69" s="435"/>
      <c r="C69" s="435"/>
      <c r="D69" s="435"/>
      <c r="E69" s="435"/>
      <c r="F69" s="435"/>
      <c r="G69" s="435"/>
      <c r="H69" s="435"/>
      <c r="I69" s="435"/>
      <c r="J69" s="435"/>
      <c r="K69" s="435"/>
      <c r="L69" s="435"/>
      <c r="M69" s="435"/>
      <c r="N69" s="435"/>
      <c r="O69" s="435"/>
      <c r="P69" s="435"/>
    </row>
    <row r="70" spans="1:16" ht="34" customHeight="1" x14ac:dyDescent="0.2">
      <c r="B70" s="435"/>
      <c r="C70" s="435"/>
      <c r="D70" s="435"/>
      <c r="E70" s="435"/>
      <c r="F70" s="435"/>
      <c r="G70" s="435"/>
      <c r="H70" s="435"/>
      <c r="I70" s="435"/>
      <c r="J70" s="435"/>
      <c r="K70" s="435"/>
      <c r="L70" s="435"/>
      <c r="M70" s="435"/>
      <c r="N70" s="435"/>
      <c r="O70" s="435"/>
      <c r="P70" s="435"/>
    </row>
    <row r="71" spans="1:16" ht="34" customHeight="1" x14ac:dyDescent="0.2"/>
    <row r="72" spans="1:16" ht="34" customHeight="1" x14ac:dyDescent="0.2">
      <c r="A72" s="435"/>
      <c r="B72" s="435"/>
      <c r="C72" s="435"/>
      <c r="D72" s="435"/>
      <c r="E72" s="435"/>
      <c r="F72" s="435"/>
      <c r="G72" s="435"/>
      <c r="H72" s="435"/>
      <c r="I72" s="435"/>
      <c r="J72" s="435"/>
      <c r="K72" s="435"/>
      <c r="L72" s="435"/>
      <c r="M72" s="435"/>
      <c r="N72" s="435"/>
      <c r="O72" s="435"/>
      <c r="P72" s="435"/>
    </row>
    <row r="73" spans="1:16" ht="34" customHeight="1" x14ac:dyDescent="0.2">
      <c r="B73" s="435"/>
      <c r="C73" s="435"/>
      <c r="D73" s="435"/>
      <c r="E73" s="435"/>
      <c r="F73" s="435"/>
      <c r="G73" s="435"/>
      <c r="H73" s="435"/>
      <c r="I73" s="435"/>
      <c r="J73" s="435"/>
      <c r="K73" s="435"/>
      <c r="L73" s="435"/>
      <c r="M73" s="435"/>
      <c r="N73" s="435"/>
      <c r="O73" s="435"/>
      <c r="P73" s="435"/>
    </row>
    <row r="74" spans="1:16" ht="34" customHeight="1" x14ac:dyDescent="0.2">
      <c r="B74" s="435"/>
      <c r="C74" s="435"/>
      <c r="D74" s="435"/>
      <c r="E74" s="435"/>
      <c r="F74" s="435"/>
      <c r="G74" s="435"/>
      <c r="H74" s="435"/>
      <c r="I74" s="435"/>
      <c r="J74" s="435"/>
      <c r="K74" s="435"/>
      <c r="L74" s="435"/>
      <c r="M74" s="435"/>
      <c r="N74" s="435"/>
      <c r="O74" s="435"/>
      <c r="P74" s="435"/>
    </row>
    <row r="75" spans="1:16" ht="34" customHeight="1" x14ac:dyDescent="0.2">
      <c r="B75" s="435"/>
      <c r="C75" s="435"/>
      <c r="D75" s="435"/>
      <c r="E75" s="435"/>
      <c r="F75" s="435"/>
      <c r="G75" s="435"/>
      <c r="H75" s="435"/>
      <c r="I75" s="435"/>
      <c r="J75" s="435"/>
      <c r="K75" s="435"/>
      <c r="L75" s="435"/>
      <c r="M75" s="435"/>
      <c r="N75" s="435"/>
      <c r="O75" s="435"/>
      <c r="P75" s="435"/>
    </row>
    <row r="76" spans="1:16" ht="30" customHeight="1" x14ac:dyDescent="0.2">
      <c r="A76" s="399" t="s">
        <v>242</v>
      </c>
      <c r="B76" s="436" t="s">
        <v>243</v>
      </c>
      <c r="C76" s="435"/>
      <c r="D76" s="435"/>
      <c r="E76" s="435"/>
      <c r="F76" s="435"/>
      <c r="G76" s="435"/>
      <c r="H76" s="435"/>
      <c r="I76" s="435"/>
      <c r="J76" s="435"/>
      <c r="K76" s="435"/>
      <c r="L76" s="435"/>
      <c r="M76" s="435"/>
      <c r="N76" s="435"/>
      <c r="O76" s="435"/>
      <c r="P76" s="435"/>
    </row>
    <row r="77" spans="1:16" ht="93.75" customHeight="1" x14ac:dyDescent="0.2">
      <c r="B77" s="435"/>
      <c r="C77" s="435"/>
      <c r="D77" s="435"/>
      <c r="E77" s="435"/>
      <c r="F77" s="435"/>
      <c r="G77" s="435"/>
      <c r="H77" s="435"/>
      <c r="I77" s="435"/>
      <c r="J77" s="435"/>
      <c r="K77" s="435"/>
      <c r="L77" s="435"/>
      <c r="M77" s="435"/>
      <c r="N77" s="435"/>
      <c r="O77" s="435"/>
      <c r="P77" s="435"/>
    </row>
    <row r="78" spans="1:16" ht="39" customHeight="1" x14ac:dyDescent="0.2">
      <c r="A78" s="414" t="s">
        <v>244</v>
      </c>
    </row>
    <row r="79" spans="1:16" ht="24" customHeight="1" x14ac:dyDescent="0.2">
      <c r="A79" s="442" t="s">
        <v>245</v>
      </c>
      <c r="B79" s="435"/>
      <c r="C79" s="435"/>
      <c r="D79" s="435"/>
      <c r="E79" s="435"/>
      <c r="F79" s="435"/>
      <c r="G79" s="435"/>
      <c r="H79" s="435"/>
      <c r="I79" s="435"/>
      <c r="J79" s="435"/>
      <c r="K79" s="435"/>
      <c r="L79" s="435"/>
      <c r="M79" s="435"/>
      <c r="N79" s="435"/>
      <c r="O79" s="435"/>
      <c r="P79" s="435"/>
    </row>
    <row r="80" spans="1:16" ht="163.5" customHeight="1" x14ac:dyDescent="0.2">
      <c r="A80" s="399" t="s">
        <v>246</v>
      </c>
      <c r="B80" s="436" t="s">
        <v>247</v>
      </c>
      <c r="C80" s="435"/>
      <c r="D80" s="435"/>
      <c r="E80" s="435"/>
      <c r="F80" s="435"/>
      <c r="G80" s="435"/>
      <c r="H80" s="435"/>
      <c r="I80" s="435"/>
      <c r="J80" s="435"/>
      <c r="K80" s="435"/>
      <c r="L80" s="435"/>
      <c r="M80" s="435"/>
      <c r="N80" s="435"/>
      <c r="O80" s="435"/>
      <c r="P80" s="435"/>
    </row>
    <row r="81" spans="1:16" ht="135.75" customHeight="1" x14ac:dyDescent="0.2">
      <c r="A81" s="415" t="s">
        <v>248</v>
      </c>
      <c r="B81" s="443" t="s">
        <v>249</v>
      </c>
      <c r="C81" s="435"/>
      <c r="D81" s="435"/>
      <c r="E81" s="435"/>
      <c r="F81" s="435"/>
      <c r="G81" s="435"/>
      <c r="H81" s="435"/>
      <c r="I81" s="435"/>
      <c r="J81" s="435"/>
      <c r="K81" s="435"/>
      <c r="L81" s="435"/>
      <c r="M81" s="435"/>
      <c r="N81" s="435"/>
      <c r="O81" s="435"/>
      <c r="P81" s="435"/>
    </row>
    <row r="82" spans="1:16" ht="121.5" customHeight="1" x14ac:dyDescent="0.2">
      <c r="A82" s="399" t="s">
        <v>250</v>
      </c>
      <c r="B82" s="436" t="s">
        <v>251</v>
      </c>
      <c r="C82" s="435"/>
      <c r="D82" s="435"/>
      <c r="E82" s="435"/>
      <c r="F82" s="435"/>
      <c r="G82" s="435"/>
      <c r="H82" s="435"/>
      <c r="I82" s="435"/>
      <c r="J82" s="435"/>
      <c r="K82" s="435"/>
      <c r="L82" s="435"/>
      <c r="M82" s="435"/>
      <c r="N82" s="435"/>
      <c r="O82" s="435"/>
      <c r="P82" s="435"/>
    </row>
    <row r="83" spans="1:16" ht="168" customHeight="1" x14ac:dyDescent="0.2">
      <c r="A83" s="399" t="s">
        <v>252</v>
      </c>
      <c r="B83" s="400" t="s">
        <v>253</v>
      </c>
    </row>
    <row r="84" spans="1:16" ht="24" customHeight="1" x14ac:dyDescent="0.2">
      <c r="A84" s="442" t="s">
        <v>254</v>
      </c>
      <c r="B84" s="435"/>
      <c r="C84" s="435"/>
      <c r="D84" s="435"/>
      <c r="E84" s="435"/>
      <c r="F84" s="435"/>
      <c r="G84" s="435"/>
      <c r="H84" s="435"/>
      <c r="I84" s="435"/>
      <c r="J84" s="435"/>
      <c r="K84" s="435"/>
      <c r="L84" s="435"/>
      <c r="M84" s="435"/>
      <c r="N84" s="435"/>
      <c r="O84" s="435"/>
      <c r="P84" s="435"/>
    </row>
    <row r="85" spans="1:16" ht="121.5" customHeight="1" x14ac:dyDescent="0.2">
      <c r="B85" s="435"/>
      <c r="C85" s="435"/>
      <c r="D85" s="435"/>
      <c r="E85" s="435"/>
      <c r="F85" s="435"/>
      <c r="G85" s="435"/>
      <c r="H85" s="435"/>
      <c r="I85" s="435"/>
      <c r="J85" s="435"/>
      <c r="K85" s="435"/>
      <c r="L85" s="435"/>
      <c r="M85" s="435"/>
      <c r="N85" s="435"/>
      <c r="O85" s="435"/>
      <c r="P85" s="435"/>
    </row>
    <row r="86" spans="1:16" ht="54.75" customHeight="1" x14ac:dyDescent="0.2">
      <c r="A86" s="408" t="s">
        <v>255</v>
      </c>
      <c r="E86" s="435"/>
      <c r="F86" s="435"/>
      <c r="G86" s="435"/>
      <c r="H86" s="435"/>
      <c r="I86" s="435"/>
      <c r="J86" s="435"/>
      <c r="K86" s="435"/>
      <c r="L86" s="435"/>
      <c r="M86" s="435"/>
      <c r="N86" s="435"/>
      <c r="O86" s="435"/>
      <c r="P86" s="435"/>
    </row>
    <row r="87" spans="1:16" ht="54.75" customHeight="1" x14ac:dyDescent="0.2">
      <c r="A87" s="399" t="s">
        <v>256</v>
      </c>
      <c r="B87" s="400" t="s">
        <v>257</v>
      </c>
      <c r="E87" s="435"/>
      <c r="F87" s="435"/>
      <c r="G87" s="435"/>
      <c r="H87" s="435"/>
      <c r="I87" s="435"/>
      <c r="J87" s="435"/>
      <c r="K87" s="435"/>
      <c r="L87" s="435"/>
      <c r="M87" s="435"/>
      <c r="N87" s="435"/>
      <c r="O87" s="435"/>
      <c r="P87" s="435"/>
    </row>
    <row r="88" spans="1:16" ht="54.75" customHeight="1" x14ac:dyDescent="0.2">
      <c r="A88" s="394" t="s">
        <v>258</v>
      </c>
      <c r="B88" s="416" t="s">
        <v>259</v>
      </c>
      <c r="E88" s="435"/>
      <c r="F88" s="435"/>
      <c r="G88" s="435"/>
      <c r="H88" s="435"/>
      <c r="I88" s="435"/>
      <c r="J88" s="435"/>
      <c r="K88" s="435"/>
      <c r="L88" s="435"/>
      <c r="M88" s="435"/>
      <c r="N88" s="435"/>
      <c r="O88" s="435"/>
      <c r="P88" s="435"/>
    </row>
    <row r="89" spans="1:16" ht="54.75" customHeight="1" x14ac:dyDescent="0.2">
      <c r="A89" s="399" t="s">
        <v>260</v>
      </c>
      <c r="B89" s="400" t="s">
        <v>261</v>
      </c>
      <c r="E89" s="435"/>
      <c r="F89" s="435"/>
      <c r="G89" s="435"/>
      <c r="H89" s="435"/>
      <c r="I89" s="435"/>
      <c r="J89" s="435"/>
      <c r="K89" s="435"/>
      <c r="L89" s="435"/>
      <c r="M89" s="435"/>
      <c r="N89" s="435"/>
      <c r="O89" s="435"/>
      <c r="P89" s="435"/>
    </row>
    <row r="90" spans="1:16" ht="54.75" customHeight="1" x14ac:dyDescent="0.2">
      <c r="A90" s="399" t="s">
        <v>262</v>
      </c>
      <c r="B90" s="400" t="s">
        <v>263</v>
      </c>
      <c r="E90" s="435"/>
      <c r="F90" s="435"/>
      <c r="G90" s="435"/>
      <c r="H90" s="435"/>
      <c r="I90" s="435"/>
      <c r="J90" s="435"/>
      <c r="K90" s="435"/>
      <c r="L90" s="435"/>
      <c r="M90" s="435"/>
      <c r="N90" s="435"/>
      <c r="O90" s="435"/>
      <c r="P90" s="435"/>
    </row>
    <row r="91" spans="1:16" ht="54.75" customHeight="1" x14ac:dyDescent="0.2">
      <c r="A91" s="394" t="s">
        <v>264</v>
      </c>
      <c r="B91" s="416" t="s">
        <v>265</v>
      </c>
      <c r="E91" s="435"/>
      <c r="F91" s="435"/>
      <c r="G91" s="435"/>
      <c r="H91" s="435"/>
      <c r="I91" s="435"/>
      <c r="J91" s="435"/>
      <c r="K91" s="435"/>
      <c r="L91" s="435"/>
      <c r="M91" s="435"/>
      <c r="N91" s="435"/>
      <c r="O91" s="435"/>
      <c r="P91" s="435"/>
    </row>
    <row r="92" spans="1:16" ht="54.75" customHeight="1" x14ac:dyDescent="0.2">
      <c r="E92" s="435"/>
      <c r="F92" s="435"/>
      <c r="G92" s="435"/>
      <c r="H92" s="435"/>
      <c r="I92" s="435"/>
      <c r="J92" s="435"/>
      <c r="K92" s="435"/>
      <c r="L92" s="435"/>
      <c r="M92" s="435"/>
      <c r="N92" s="435"/>
      <c r="O92" s="435"/>
      <c r="P92" s="435"/>
    </row>
    <row r="93" spans="1:16" ht="54.75" customHeight="1" x14ac:dyDescent="0.2">
      <c r="A93" s="417" t="s">
        <v>266</v>
      </c>
      <c r="E93" s="435"/>
      <c r="F93" s="435"/>
      <c r="G93" s="435"/>
      <c r="H93" s="435"/>
      <c r="I93" s="435"/>
      <c r="J93" s="435"/>
      <c r="K93" s="435"/>
      <c r="L93" s="435"/>
      <c r="M93" s="435"/>
      <c r="N93" s="435"/>
      <c r="O93" s="435"/>
      <c r="P93" s="435"/>
    </row>
    <row r="94" spans="1:16" ht="409.5" customHeight="1" x14ac:dyDescent="0.2">
      <c r="A94" s="399" t="s">
        <v>267</v>
      </c>
      <c r="B94" s="400" t="s">
        <v>268</v>
      </c>
    </row>
    <row r="95" spans="1:16" ht="397.5" customHeight="1" x14ac:dyDescent="0.2">
      <c r="A95" s="399" t="s">
        <v>269</v>
      </c>
      <c r="B95" s="400" t="s">
        <v>270</v>
      </c>
    </row>
    <row r="96" spans="1:16" ht="303.75" customHeight="1" x14ac:dyDescent="0.2">
      <c r="A96" s="399" t="s">
        <v>271</v>
      </c>
      <c r="B96" s="418" t="s">
        <v>272</v>
      </c>
    </row>
    <row r="98" spans="1:15" ht="51.75" customHeight="1" x14ac:dyDescent="0.2">
      <c r="A98" s="419" t="s">
        <v>273</v>
      </c>
    </row>
    <row r="99" spans="1:15" ht="345" customHeight="1" x14ac:dyDescent="0.2">
      <c r="A99" s="399" t="s">
        <v>274</v>
      </c>
      <c r="B99" s="400" t="s">
        <v>275</v>
      </c>
    </row>
    <row r="100" spans="1:15" ht="32.25" customHeight="1" x14ac:dyDescent="0.2">
      <c r="A100" s="420" t="s">
        <v>94</v>
      </c>
      <c r="B100" s="421" t="s">
        <v>95</v>
      </c>
      <c r="C100" s="421" t="s">
        <v>276</v>
      </c>
      <c r="D100" s="421" t="s">
        <v>97</v>
      </c>
      <c r="E100" s="421" t="s">
        <v>277</v>
      </c>
      <c r="O100" s="422" t="s">
        <v>278</v>
      </c>
    </row>
    <row r="101" spans="1:15" ht="63.75" customHeight="1" x14ac:dyDescent="0.2">
      <c r="A101" s="420" t="s">
        <v>279</v>
      </c>
      <c r="B101" s="421" t="s">
        <v>280</v>
      </c>
      <c r="C101" s="421" t="s">
        <v>281</v>
      </c>
      <c r="D101" s="421" t="s">
        <v>282</v>
      </c>
      <c r="E101" s="421" t="s">
        <v>283</v>
      </c>
      <c r="O101" s="422" t="s">
        <v>284</v>
      </c>
    </row>
    <row r="102" spans="1:15" ht="32.25" customHeight="1" x14ac:dyDescent="0.2">
      <c r="A102" s="423" t="s">
        <v>285</v>
      </c>
      <c r="B102" s="424" t="s">
        <v>286</v>
      </c>
      <c r="C102" s="424" t="s">
        <v>287</v>
      </c>
      <c r="D102" s="424" t="s">
        <v>288</v>
      </c>
      <c r="E102" s="424" t="s">
        <v>289</v>
      </c>
      <c r="O102" s="425" t="s">
        <v>290</v>
      </c>
    </row>
    <row r="103" spans="1:15" ht="53.25" customHeight="1" x14ac:dyDescent="0.2">
      <c r="A103" s="423" t="s">
        <v>101</v>
      </c>
      <c r="B103" s="424" t="s">
        <v>102</v>
      </c>
      <c r="C103" s="424" t="s">
        <v>281</v>
      </c>
      <c r="D103" s="424" t="s">
        <v>291</v>
      </c>
      <c r="E103" s="424" t="s">
        <v>292</v>
      </c>
      <c r="O103" s="425" t="s">
        <v>293</v>
      </c>
    </row>
    <row r="104" spans="1:15" ht="53.25" customHeight="1" x14ac:dyDescent="0.2">
      <c r="A104" s="423" t="s">
        <v>130</v>
      </c>
      <c r="B104" s="424" t="s">
        <v>294</v>
      </c>
      <c r="C104" s="424" t="s">
        <v>295</v>
      </c>
      <c r="D104" s="424" t="s">
        <v>296</v>
      </c>
      <c r="E104" s="424" t="s">
        <v>297</v>
      </c>
      <c r="O104" s="425" t="s">
        <v>298</v>
      </c>
    </row>
    <row r="105" spans="1:15" ht="53.25" customHeight="1" x14ac:dyDescent="0.2">
      <c r="A105" s="423" t="s">
        <v>299</v>
      </c>
      <c r="B105" s="424" t="s">
        <v>115</v>
      </c>
      <c r="C105" s="424" t="s">
        <v>300</v>
      </c>
      <c r="D105" s="424" t="s">
        <v>88</v>
      </c>
      <c r="E105" s="424" t="s">
        <v>301</v>
      </c>
      <c r="O105" s="425" t="s">
        <v>302</v>
      </c>
    </row>
    <row r="106" spans="1:15" ht="63.75" customHeight="1" x14ac:dyDescent="0.2">
      <c r="A106" s="423" t="s">
        <v>303</v>
      </c>
      <c r="B106" s="424" t="s">
        <v>304</v>
      </c>
      <c r="C106" s="424" t="s">
        <v>305</v>
      </c>
      <c r="D106" s="424" t="s">
        <v>122</v>
      </c>
      <c r="E106" s="424" t="s">
        <v>306</v>
      </c>
      <c r="O106" s="425" t="s">
        <v>307</v>
      </c>
    </row>
    <row r="107" spans="1:15" ht="53.25" customHeight="1" x14ac:dyDescent="0.2">
      <c r="A107" s="426" t="s">
        <v>308</v>
      </c>
      <c r="B107" s="427" t="s">
        <v>131</v>
      </c>
      <c r="C107" s="427" t="s">
        <v>309</v>
      </c>
      <c r="D107" s="427" t="s">
        <v>291</v>
      </c>
      <c r="E107" s="427" t="s">
        <v>310</v>
      </c>
      <c r="O107" s="427" t="s">
        <v>311</v>
      </c>
    </row>
  </sheetData>
  <mergeCells count="61">
    <mergeCell ref="A3:P3"/>
    <mergeCell ref="B12:P12"/>
    <mergeCell ref="B70:P70"/>
    <mergeCell ref="B58:P58"/>
    <mergeCell ref="B6:P6"/>
    <mergeCell ref="A1:P1"/>
    <mergeCell ref="E92:N92"/>
    <mergeCell ref="B5:P5"/>
    <mergeCell ref="A79:P79"/>
    <mergeCell ref="B76:P76"/>
    <mergeCell ref="B80:P80"/>
    <mergeCell ref="E88:N88"/>
    <mergeCell ref="O89:P89"/>
    <mergeCell ref="B85:P85"/>
    <mergeCell ref="E87:N87"/>
    <mergeCell ref="B4:P4"/>
    <mergeCell ref="B75:P75"/>
    <mergeCell ref="B7:P7"/>
    <mergeCell ref="A84:P84"/>
    <mergeCell ref="B16:P16"/>
    <mergeCell ref="O92:P92"/>
    <mergeCell ref="B69:P69"/>
    <mergeCell ref="B10:P10"/>
    <mergeCell ref="E93:N93"/>
    <mergeCell ref="O88:P88"/>
    <mergeCell ref="A48:P48"/>
    <mergeCell ref="E86:N86"/>
    <mergeCell ref="B65:P65"/>
    <mergeCell ref="O93:P93"/>
    <mergeCell ref="A64:P64"/>
    <mergeCell ref="B74:P74"/>
    <mergeCell ref="B68:P68"/>
    <mergeCell ref="B15:P15"/>
    <mergeCell ref="E89:N89"/>
    <mergeCell ref="B81:P81"/>
    <mergeCell ref="O91:P91"/>
    <mergeCell ref="B8:P8"/>
    <mergeCell ref="A62:P62"/>
    <mergeCell ref="A38:P38"/>
    <mergeCell ref="E91:N91"/>
    <mergeCell ref="A72:P72"/>
    <mergeCell ref="B73:P73"/>
    <mergeCell ref="B13:P13"/>
    <mergeCell ref="B82:P82"/>
    <mergeCell ref="B9:P9"/>
    <mergeCell ref="A18:P18"/>
    <mergeCell ref="A27:P27"/>
    <mergeCell ref="A56:P56"/>
    <mergeCell ref="B59:P59"/>
    <mergeCell ref="B66:P66"/>
    <mergeCell ref="O90:P90"/>
    <mergeCell ref="E90:N90"/>
    <mergeCell ref="O87:P87"/>
    <mergeCell ref="B77:P77"/>
    <mergeCell ref="B11:P11"/>
    <mergeCell ref="O86:P86"/>
    <mergeCell ref="B14:P14"/>
    <mergeCell ref="B60:P60"/>
    <mergeCell ref="B67:P67"/>
    <mergeCell ref="B61:P61"/>
    <mergeCell ref="B57:P57"/>
  </mergeCells>
  <pageMargins left="0.75" right="0.75" top="1" bottom="1" header="0.511811023622047" footer="0.511811023622047"/>
  <pageSetup paperSize="9" orientation="portrait" horizontalDpi="300" verticalDpi="30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5"/>
  <sheetViews>
    <sheetView tabSelected="1" zoomScaleNormal="100" workbookViewId="0">
      <pane ySplit="2" topLeftCell="A23" activePane="bottomLeft" state="frozen"/>
      <selection sqref="A1:P1"/>
      <selection pane="bottomLeft" sqref="A1:P1"/>
    </sheetView>
  </sheetViews>
  <sheetFormatPr baseColWidth="10" defaultColWidth="8.6640625" defaultRowHeight="15" x14ac:dyDescent="0.2"/>
  <cols>
    <col min="1" max="1" width="24" customWidth="1"/>
    <col min="2" max="2" width="96.1640625" customWidth="1"/>
    <col min="3" max="16" width="14" customWidth="1"/>
  </cols>
  <sheetData>
    <row r="1" spans="1:16" ht="30" customHeight="1" x14ac:dyDescent="0.2">
      <c r="A1" s="513" t="s">
        <v>2667</v>
      </c>
      <c r="B1" s="435"/>
      <c r="C1" s="435"/>
      <c r="D1" s="435"/>
      <c r="E1" s="435"/>
      <c r="F1" s="435"/>
      <c r="G1" s="435"/>
      <c r="H1" s="435"/>
      <c r="I1" s="435"/>
      <c r="J1" s="435"/>
      <c r="K1" s="435"/>
      <c r="L1" s="435"/>
      <c r="M1" s="435"/>
      <c r="N1" s="435"/>
      <c r="O1" s="435"/>
      <c r="P1" s="435"/>
    </row>
    <row r="3" spans="1:16" ht="24" customHeight="1" x14ac:dyDescent="0.2">
      <c r="A3" s="516" t="s">
        <v>2668</v>
      </c>
      <c r="B3" s="435"/>
      <c r="C3" s="435"/>
      <c r="D3" s="435"/>
      <c r="E3" s="435"/>
      <c r="F3" s="435"/>
      <c r="G3" s="435"/>
      <c r="H3" s="435"/>
      <c r="I3" s="435"/>
      <c r="J3" s="435"/>
      <c r="K3" s="435"/>
      <c r="L3" s="435"/>
      <c r="M3" s="435"/>
      <c r="N3" s="435"/>
      <c r="O3" s="435"/>
      <c r="P3" s="435"/>
    </row>
    <row r="4" spans="1:16" ht="39.75" customHeight="1" x14ac:dyDescent="0.2">
      <c r="A4" s="412" t="s">
        <v>235</v>
      </c>
      <c r="B4" s="437" t="s">
        <v>2669</v>
      </c>
      <c r="C4" s="435"/>
      <c r="D4" s="435"/>
      <c r="E4" s="435"/>
      <c r="F4" s="435"/>
      <c r="G4" s="435"/>
      <c r="H4" s="435"/>
      <c r="I4" s="435"/>
      <c r="J4" s="435"/>
      <c r="K4" s="435"/>
      <c r="L4" s="435"/>
      <c r="M4" s="435"/>
      <c r="N4" s="435"/>
      <c r="O4" s="435"/>
      <c r="P4" s="435"/>
    </row>
    <row r="5" spans="1:16" ht="79.5" customHeight="1" x14ac:dyDescent="0.2">
      <c r="A5" s="412" t="s">
        <v>231</v>
      </c>
      <c r="B5" s="437" t="s">
        <v>2670</v>
      </c>
      <c r="C5" s="435"/>
      <c r="D5" s="435"/>
      <c r="E5" s="435"/>
      <c r="F5" s="435"/>
      <c r="G5" s="435"/>
      <c r="H5" s="435"/>
      <c r="I5" s="435"/>
      <c r="J5" s="435"/>
      <c r="K5" s="435"/>
      <c r="L5" s="435"/>
      <c r="M5" s="435"/>
      <c r="N5" s="435"/>
      <c r="O5" s="435"/>
      <c r="P5" s="435"/>
    </row>
    <row r="6" spans="1:16" ht="66" customHeight="1" x14ac:dyDescent="0.2">
      <c r="A6" s="399" t="s">
        <v>2671</v>
      </c>
      <c r="B6" s="436" t="s">
        <v>234</v>
      </c>
      <c r="C6" s="435"/>
      <c r="D6" s="435"/>
      <c r="E6" s="435"/>
      <c r="F6" s="435"/>
      <c r="G6" s="435"/>
      <c r="H6" s="435"/>
      <c r="I6" s="435"/>
      <c r="J6" s="435"/>
      <c r="K6" s="435"/>
      <c r="L6" s="435"/>
      <c r="M6" s="435"/>
      <c r="N6" s="435"/>
      <c r="O6" s="435"/>
      <c r="P6" s="435"/>
    </row>
    <row r="7" spans="1:16" ht="39.75" customHeight="1" x14ac:dyDescent="0.2">
      <c r="A7" s="399" t="s">
        <v>2672</v>
      </c>
      <c r="B7" s="436" t="s">
        <v>2673</v>
      </c>
      <c r="C7" s="435"/>
      <c r="D7" s="435"/>
      <c r="E7" s="435"/>
      <c r="F7" s="435"/>
      <c r="G7" s="435"/>
      <c r="H7" s="435"/>
      <c r="I7" s="435"/>
      <c r="J7" s="435"/>
      <c r="K7" s="435"/>
      <c r="L7" s="435"/>
      <c r="M7" s="435"/>
      <c r="N7" s="435"/>
      <c r="O7" s="435"/>
      <c r="P7" s="435"/>
    </row>
    <row r="8" spans="1:16" ht="39.75" customHeight="1" x14ac:dyDescent="0.2">
      <c r="A8" s="399" t="s">
        <v>26</v>
      </c>
      <c r="B8" s="436" t="s">
        <v>2674</v>
      </c>
      <c r="C8" s="435"/>
      <c r="D8" s="435"/>
      <c r="E8" s="435"/>
      <c r="F8" s="435"/>
      <c r="G8" s="435"/>
      <c r="H8" s="435"/>
      <c r="I8" s="435"/>
      <c r="J8" s="435"/>
      <c r="K8" s="435"/>
      <c r="L8" s="435"/>
      <c r="M8" s="435"/>
      <c r="N8" s="435"/>
      <c r="O8" s="435"/>
      <c r="P8" s="435"/>
    </row>
    <row r="10" spans="1:16" ht="24" customHeight="1" x14ac:dyDescent="0.2">
      <c r="A10" s="512" t="s">
        <v>2675</v>
      </c>
      <c r="B10" s="435"/>
      <c r="C10" s="435"/>
      <c r="D10" s="435"/>
      <c r="E10" s="435"/>
      <c r="F10" s="435"/>
      <c r="G10" s="435"/>
      <c r="H10" s="435"/>
      <c r="I10" s="435"/>
      <c r="J10" s="435"/>
      <c r="K10" s="435"/>
      <c r="L10" s="435"/>
      <c r="M10" s="435"/>
      <c r="N10" s="435"/>
      <c r="O10" s="435"/>
      <c r="P10" s="435"/>
    </row>
    <row r="11" spans="1:16" ht="93.75" customHeight="1" x14ac:dyDescent="0.2">
      <c r="A11" s="399" t="s">
        <v>245</v>
      </c>
      <c r="B11" s="436" t="s">
        <v>2676</v>
      </c>
      <c r="C11" s="435"/>
      <c r="D11" s="435"/>
      <c r="E11" s="435"/>
      <c r="F11" s="435"/>
      <c r="G11" s="435"/>
      <c r="H11" s="435"/>
      <c r="I11" s="435"/>
      <c r="J11" s="435"/>
      <c r="K11" s="435"/>
      <c r="L11" s="435"/>
      <c r="M11" s="435"/>
      <c r="N11" s="435"/>
      <c r="O11" s="435"/>
      <c r="P11" s="435"/>
    </row>
    <row r="12" spans="1:16" ht="93.75" customHeight="1" x14ac:dyDescent="0.2">
      <c r="A12" s="399" t="s">
        <v>2677</v>
      </c>
      <c r="B12" s="436" t="s">
        <v>2678</v>
      </c>
      <c r="C12" s="435"/>
      <c r="D12" s="435"/>
      <c r="E12" s="435"/>
      <c r="F12" s="435"/>
      <c r="G12" s="435"/>
      <c r="H12" s="435"/>
      <c r="I12" s="435"/>
      <c r="J12" s="435"/>
      <c r="K12" s="435"/>
      <c r="L12" s="435"/>
      <c r="M12" s="435"/>
      <c r="N12" s="435"/>
      <c r="O12" s="435"/>
      <c r="P12" s="435"/>
    </row>
    <row r="13" spans="1:16" ht="51.75" customHeight="1" x14ac:dyDescent="0.2">
      <c r="A13" s="399" t="s">
        <v>2679</v>
      </c>
      <c r="B13" s="436" t="s">
        <v>2680</v>
      </c>
      <c r="C13" s="435"/>
      <c r="D13" s="435"/>
      <c r="E13" s="435"/>
      <c r="F13" s="435"/>
      <c r="G13" s="435"/>
      <c r="H13" s="435"/>
      <c r="I13" s="435"/>
      <c r="J13" s="435"/>
      <c r="K13" s="435"/>
      <c r="L13" s="435"/>
      <c r="M13" s="435"/>
      <c r="N13" s="435"/>
      <c r="O13" s="435"/>
      <c r="P13" s="435"/>
    </row>
    <row r="14" spans="1:16" ht="135.75" customHeight="1" x14ac:dyDescent="0.2">
      <c r="A14" s="399" t="s">
        <v>2681</v>
      </c>
      <c r="B14" s="436" t="s">
        <v>2682</v>
      </c>
      <c r="C14" s="435"/>
      <c r="D14" s="435"/>
      <c r="E14" s="435"/>
      <c r="F14" s="435"/>
      <c r="G14" s="435"/>
      <c r="H14" s="435"/>
      <c r="I14" s="435"/>
      <c r="J14" s="435"/>
      <c r="K14" s="435"/>
      <c r="L14" s="435"/>
      <c r="M14" s="435"/>
      <c r="N14" s="435"/>
      <c r="O14" s="435"/>
      <c r="P14" s="435"/>
    </row>
    <row r="15" spans="1:16" ht="39.75" customHeight="1" x14ac:dyDescent="0.2">
      <c r="A15" s="399" t="s">
        <v>2683</v>
      </c>
      <c r="B15" s="436" t="s">
        <v>2684</v>
      </c>
      <c r="C15" s="435"/>
      <c r="D15" s="435"/>
      <c r="E15" s="435"/>
      <c r="F15" s="435"/>
      <c r="G15" s="435"/>
      <c r="H15" s="435"/>
      <c r="I15" s="435"/>
      <c r="J15" s="435"/>
      <c r="K15" s="435"/>
      <c r="L15" s="435"/>
      <c r="M15" s="435"/>
      <c r="N15" s="435"/>
      <c r="O15" s="435"/>
      <c r="P15" s="435"/>
    </row>
    <row r="16" spans="1:16" ht="39.75" customHeight="1" x14ac:dyDescent="0.2">
      <c r="A16" s="399" t="s">
        <v>2685</v>
      </c>
      <c r="B16" s="436" t="s">
        <v>2686</v>
      </c>
      <c r="C16" s="435"/>
      <c r="D16" s="435"/>
      <c r="E16" s="435"/>
      <c r="F16" s="435"/>
      <c r="G16" s="435"/>
      <c r="H16" s="435"/>
      <c r="I16" s="435"/>
      <c r="J16" s="435"/>
      <c r="K16" s="435"/>
      <c r="L16" s="435"/>
      <c r="M16" s="435"/>
      <c r="N16" s="435"/>
      <c r="O16" s="435"/>
      <c r="P16" s="435"/>
    </row>
    <row r="18" spans="1:16" ht="24" customHeight="1" x14ac:dyDescent="0.2">
      <c r="A18" s="514" t="s">
        <v>2687</v>
      </c>
      <c r="B18" s="435"/>
      <c r="C18" s="435"/>
      <c r="D18" s="435"/>
      <c r="E18" s="435"/>
      <c r="F18" s="435"/>
      <c r="G18" s="435"/>
      <c r="H18" s="435"/>
      <c r="I18" s="435"/>
      <c r="J18" s="435"/>
      <c r="K18" s="435"/>
      <c r="L18" s="435"/>
      <c r="M18" s="435"/>
      <c r="N18" s="435"/>
      <c r="O18" s="435"/>
      <c r="P18" s="435"/>
    </row>
    <row r="19" spans="1:16" ht="22" customHeight="1" x14ac:dyDescent="0.2">
      <c r="A19" s="438" t="s">
        <v>241</v>
      </c>
      <c r="B19" s="435"/>
      <c r="C19" s="435"/>
      <c r="D19" s="435"/>
      <c r="E19" s="435"/>
      <c r="F19" s="435"/>
      <c r="G19" s="435"/>
      <c r="H19" s="435"/>
      <c r="I19" s="435"/>
      <c r="J19" s="435"/>
      <c r="K19" s="435"/>
      <c r="L19" s="435"/>
      <c r="M19" s="435"/>
      <c r="N19" s="435"/>
      <c r="O19" s="435"/>
      <c r="P19" s="435"/>
    </row>
    <row r="20" spans="1:16" ht="34" customHeight="1" x14ac:dyDescent="0.2">
      <c r="B20" s="435"/>
      <c r="C20" s="435"/>
      <c r="D20" s="435"/>
      <c r="E20" s="435"/>
      <c r="F20" s="435"/>
      <c r="G20" s="435"/>
      <c r="H20" s="435"/>
      <c r="I20" s="435"/>
      <c r="J20" s="435"/>
      <c r="K20" s="435"/>
      <c r="L20" s="435"/>
      <c r="M20" s="435"/>
      <c r="N20" s="435"/>
      <c r="O20" s="435"/>
      <c r="P20" s="435"/>
    </row>
    <row r="21" spans="1:16" ht="34" customHeight="1" x14ac:dyDescent="0.2"/>
    <row r="22" spans="1:16" ht="34" customHeight="1" x14ac:dyDescent="0.2"/>
    <row r="23" spans="1:16" ht="34" customHeight="1" x14ac:dyDescent="0.2"/>
    <row r="24" spans="1:16" ht="34" customHeight="1" x14ac:dyDescent="0.2"/>
    <row r="25" spans="1:16" ht="34" customHeight="1" x14ac:dyDescent="0.2"/>
    <row r="26" spans="1:16" ht="34" customHeight="1" x14ac:dyDescent="0.2"/>
    <row r="27" spans="1:16" ht="34" customHeight="1" x14ac:dyDescent="0.2"/>
    <row r="28" spans="1:16" ht="34" customHeight="1" x14ac:dyDescent="0.2"/>
    <row r="29" spans="1:16" ht="34" customHeight="1" x14ac:dyDescent="0.2"/>
    <row r="30" spans="1:16" ht="34" customHeight="1" x14ac:dyDescent="0.2"/>
    <row r="31" spans="1:16" ht="34" customHeight="1" x14ac:dyDescent="0.2"/>
    <row r="32" spans="1:16" ht="34" customHeight="1" x14ac:dyDescent="0.2"/>
    <row r="33" spans="1:16" ht="34" customHeight="1" x14ac:dyDescent="0.2"/>
    <row r="34" spans="1:16" ht="34" customHeight="1" x14ac:dyDescent="0.2"/>
    <row r="35" spans="1:16" ht="34" customHeight="1" x14ac:dyDescent="0.2"/>
    <row r="36" spans="1:16" ht="34" customHeight="1" x14ac:dyDescent="0.2"/>
    <row r="37" spans="1:16" ht="34" customHeight="1" x14ac:dyDescent="0.2"/>
    <row r="38" spans="1:16" ht="34" customHeight="1" x14ac:dyDescent="0.2">
      <c r="B38" s="435"/>
      <c r="C38" s="435"/>
      <c r="D38" s="435"/>
      <c r="E38" s="435"/>
      <c r="F38" s="435"/>
      <c r="G38" s="435"/>
      <c r="H38" s="435"/>
      <c r="I38" s="435"/>
      <c r="J38" s="435"/>
      <c r="K38" s="435"/>
      <c r="L38" s="435"/>
      <c r="M38" s="435"/>
      <c r="N38" s="435"/>
      <c r="O38" s="435"/>
      <c r="P38" s="435"/>
    </row>
    <row r="39" spans="1:16" ht="34" customHeight="1" x14ac:dyDescent="0.2">
      <c r="B39" s="435"/>
      <c r="C39" s="435"/>
      <c r="D39" s="435"/>
      <c r="E39" s="435"/>
      <c r="F39" s="435"/>
      <c r="G39" s="435"/>
      <c r="H39" s="435"/>
      <c r="I39" s="435"/>
      <c r="J39" s="435"/>
      <c r="K39" s="435"/>
      <c r="L39" s="435"/>
      <c r="M39" s="435"/>
      <c r="N39" s="435"/>
      <c r="O39" s="435"/>
      <c r="P39" s="435"/>
    </row>
    <row r="40" spans="1:16" ht="34" customHeight="1" x14ac:dyDescent="0.2">
      <c r="B40" s="435"/>
      <c r="C40" s="435"/>
      <c r="D40" s="435"/>
      <c r="E40" s="435"/>
      <c r="F40" s="435"/>
      <c r="G40" s="435"/>
      <c r="H40" s="435"/>
      <c r="I40" s="435"/>
      <c r="J40" s="435"/>
      <c r="K40" s="435"/>
      <c r="L40" s="435"/>
      <c r="M40" s="435"/>
      <c r="N40" s="435"/>
      <c r="O40" s="435"/>
      <c r="P40" s="435"/>
    </row>
    <row r="41" spans="1:16" ht="34" customHeight="1" x14ac:dyDescent="0.2">
      <c r="B41" s="435"/>
      <c r="C41" s="435"/>
      <c r="D41" s="435"/>
      <c r="E41" s="435"/>
      <c r="F41" s="435"/>
      <c r="G41" s="435"/>
      <c r="H41" s="435"/>
      <c r="I41" s="435"/>
      <c r="J41" s="435"/>
      <c r="K41" s="435"/>
      <c r="L41" s="435"/>
      <c r="M41" s="435"/>
      <c r="N41" s="435"/>
      <c r="O41" s="435"/>
      <c r="P41" s="435"/>
    </row>
    <row r="42" spans="1:16" ht="34" customHeight="1" x14ac:dyDescent="0.2"/>
    <row r="43" spans="1:16" ht="34" customHeight="1" x14ac:dyDescent="0.2">
      <c r="A43" s="435"/>
      <c r="B43" s="435"/>
      <c r="C43" s="435"/>
      <c r="D43" s="435"/>
      <c r="E43" s="435"/>
      <c r="F43" s="435"/>
      <c r="G43" s="435"/>
      <c r="H43" s="435"/>
      <c r="I43" s="435"/>
      <c r="J43" s="435"/>
      <c r="K43" s="435"/>
      <c r="L43" s="435"/>
      <c r="M43" s="435"/>
      <c r="N43" s="435"/>
      <c r="O43" s="435"/>
      <c r="P43" s="435"/>
    </row>
    <row r="44" spans="1:16" ht="34" customHeight="1" x14ac:dyDescent="0.2">
      <c r="B44" s="435"/>
      <c r="C44" s="435"/>
      <c r="D44" s="435"/>
      <c r="E44" s="435"/>
      <c r="F44" s="435"/>
      <c r="G44" s="435"/>
      <c r="H44" s="435"/>
      <c r="I44" s="435"/>
      <c r="J44" s="435"/>
      <c r="K44" s="435"/>
      <c r="L44" s="435"/>
      <c r="M44" s="435"/>
      <c r="N44" s="435"/>
      <c r="O44" s="435"/>
      <c r="P44" s="435"/>
    </row>
    <row r="45" spans="1:16" ht="34" customHeight="1" x14ac:dyDescent="0.2">
      <c r="B45" s="435"/>
      <c r="C45" s="435"/>
      <c r="D45" s="435"/>
      <c r="E45" s="435"/>
      <c r="F45" s="435"/>
      <c r="G45" s="435"/>
      <c r="H45" s="435"/>
      <c r="I45" s="435"/>
      <c r="J45" s="435"/>
      <c r="K45" s="435"/>
      <c r="L45" s="435"/>
      <c r="M45" s="435"/>
      <c r="N45" s="435"/>
      <c r="O45" s="435"/>
      <c r="P45" s="435"/>
    </row>
    <row r="46" spans="1:16" ht="34" customHeight="1" x14ac:dyDescent="0.2">
      <c r="B46" s="435"/>
      <c r="C46" s="435"/>
      <c r="D46" s="435"/>
      <c r="E46" s="435"/>
      <c r="F46" s="435"/>
      <c r="G46" s="435"/>
      <c r="H46" s="435"/>
      <c r="I46" s="435"/>
      <c r="J46" s="435"/>
      <c r="K46" s="435"/>
      <c r="L46" s="435"/>
      <c r="M46" s="435"/>
      <c r="N46" s="435"/>
      <c r="O46" s="435"/>
      <c r="P46" s="435"/>
    </row>
    <row r="47" spans="1:16" ht="34" customHeight="1" x14ac:dyDescent="0.2">
      <c r="B47" s="435"/>
      <c r="C47" s="435"/>
      <c r="D47" s="435"/>
      <c r="E47" s="435"/>
      <c r="F47" s="435"/>
      <c r="G47" s="435"/>
      <c r="H47" s="435"/>
      <c r="I47" s="435"/>
      <c r="J47" s="435"/>
      <c r="K47" s="435"/>
      <c r="L47" s="435"/>
      <c r="M47" s="435"/>
      <c r="N47" s="435"/>
      <c r="O47" s="435"/>
      <c r="P47" s="435"/>
    </row>
    <row r="48" spans="1:16" ht="34" customHeight="1" x14ac:dyDescent="0.2">
      <c r="A48" s="413" t="s">
        <v>245</v>
      </c>
      <c r="B48" s="510" t="s">
        <v>2688</v>
      </c>
      <c r="C48" s="435"/>
      <c r="D48" s="435"/>
      <c r="E48" s="435"/>
      <c r="F48" s="435"/>
      <c r="G48" s="435"/>
      <c r="H48" s="435"/>
      <c r="I48" s="435"/>
      <c r="J48" s="435"/>
      <c r="K48" s="435"/>
      <c r="L48" s="435"/>
      <c r="M48" s="435"/>
      <c r="N48" s="435"/>
      <c r="O48" s="435"/>
      <c r="P48" s="435"/>
    </row>
    <row r="49" spans="1:16" ht="34" customHeight="1" x14ac:dyDescent="0.2">
      <c r="A49" s="413" t="s">
        <v>2689</v>
      </c>
      <c r="B49" s="428" t="s">
        <v>2690</v>
      </c>
    </row>
    <row r="50" spans="1:16" ht="24" customHeight="1" x14ac:dyDescent="0.2">
      <c r="A50" s="515" t="s">
        <v>2691</v>
      </c>
      <c r="B50" s="435"/>
      <c r="C50" s="435"/>
      <c r="D50" s="435"/>
      <c r="E50" s="435"/>
      <c r="F50" s="435"/>
      <c r="G50" s="435"/>
      <c r="H50" s="435"/>
      <c r="I50" s="435"/>
      <c r="J50" s="435"/>
      <c r="K50" s="435"/>
      <c r="L50" s="435"/>
      <c r="M50" s="435"/>
      <c r="N50" s="435"/>
      <c r="O50" s="435"/>
      <c r="P50" s="435"/>
    </row>
    <row r="51" spans="1:16" ht="66" customHeight="1" x14ac:dyDescent="0.2">
      <c r="A51" s="399" t="s">
        <v>2692</v>
      </c>
      <c r="B51" s="436" t="s">
        <v>2693</v>
      </c>
      <c r="C51" s="435"/>
      <c r="D51" s="435"/>
      <c r="E51" s="435"/>
      <c r="F51" s="435"/>
      <c r="G51" s="435"/>
      <c r="H51" s="435"/>
      <c r="I51" s="435"/>
      <c r="J51" s="435"/>
      <c r="K51" s="435"/>
      <c r="L51" s="435"/>
      <c r="M51" s="435"/>
      <c r="N51" s="435"/>
      <c r="O51" s="435"/>
      <c r="P51" s="435"/>
    </row>
    <row r="52" spans="1:16" ht="79.5" customHeight="1" x14ac:dyDescent="0.2">
      <c r="A52" s="399" t="s">
        <v>2694</v>
      </c>
      <c r="B52" s="436" t="s">
        <v>2695</v>
      </c>
      <c r="C52" s="435"/>
      <c r="D52" s="435"/>
      <c r="E52" s="435"/>
      <c r="F52" s="435"/>
      <c r="G52" s="435"/>
      <c r="H52" s="435"/>
      <c r="I52" s="435"/>
      <c r="J52" s="435"/>
      <c r="K52" s="435"/>
      <c r="L52" s="435"/>
      <c r="M52" s="435"/>
      <c r="N52" s="435"/>
      <c r="O52" s="435"/>
      <c r="P52" s="435"/>
    </row>
    <row r="53" spans="1:16" ht="66" customHeight="1" x14ac:dyDescent="0.2">
      <c r="A53" s="384" t="s">
        <v>2696</v>
      </c>
      <c r="B53" s="511" t="s">
        <v>2697</v>
      </c>
      <c r="C53" s="435"/>
      <c r="D53" s="435"/>
      <c r="E53" s="435"/>
      <c r="F53" s="435"/>
      <c r="G53" s="435"/>
      <c r="H53" s="435"/>
      <c r="I53" s="435"/>
      <c r="J53" s="435"/>
      <c r="K53" s="435"/>
      <c r="L53" s="435"/>
      <c r="M53" s="435"/>
      <c r="N53" s="435"/>
      <c r="O53" s="435"/>
      <c r="P53" s="435"/>
    </row>
    <row r="55" spans="1:16" ht="51.75" customHeight="1" x14ac:dyDescent="0.2">
      <c r="A55" s="417" t="s">
        <v>2698</v>
      </c>
    </row>
    <row r="56" spans="1:16" ht="210" customHeight="1" x14ac:dyDescent="0.2">
      <c r="A56" s="399" t="s">
        <v>2699</v>
      </c>
      <c r="B56" s="400" t="s">
        <v>2700</v>
      </c>
    </row>
    <row r="57" spans="1:16" ht="199.5" customHeight="1" x14ac:dyDescent="0.2">
      <c r="A57" s="399" t="s">
        <v>2701</v>
      </c>
      <c r="B57" s="400" t="s">
        <v>2702</v>
      </c>
    </row>
    <row r="58" spans="1:16" ht="137.25" customHeight="1" x14ac:dyDescent="0.2">
      <c r="A58" s="399" t="s">
        <v>2703</v>
      </c>
      <c r="B58" s="400" t="s">
        <v>2704</v>
      </c>
    </row>
    <row r="59" spans="1:16" ht="168" customHeight="1" x14ac:dyDescent="0.2">
      <c r="A59" s="399" t="s">
        <v>2705</v>
      </c>
      <c r="B59" s="400" t="s">
        <v>2706</v>
      </c>
    </row>
    <row r="60" spans="1:16" ht="231" customHeight="1" x14ac:dyDescent="0.2">
      <c r="A60" s="399" t="s">
        <v>2707</v>
      </c>
      <c r="B60" s="400" t="s">
        <v>2708</v>
      </c>
    </row>
    <row r="62" spans="1:16" ht="39" customHeight="1" x14ac:dyDescent="0.2">
      <c r="A62" s="429" t="s">
        <v>2709</v>
      </c>
    </row>
    <row r="63" spans="1:16" ht="210" customHeight="1" x14ac:dyDescent="0.2">
      <c r="A63" s="399" t="s">
        <v>2710</v>
      </c>
      <c r="B63" s="400" t="s">
        <v>2711</v>
      </c>
    </row>
    <row r="64" spans="1:16" ht="252" customHeight="1" x14ac:dyDescent="0.2">
      <c r="A64" s="399" t="s">
        <v>2712</v>
      </c>
      <c r="B64" s="400" t="s">
        <v>2713</v>
      </c>
    </row>
    <row r="65" spans="1:2" ht="241.5" customHeight="1" x14ac:dyDescent="0.2">
      <c r="A65" s="399" t="s">
        <v>2714</v>
      </c>
      <c r="B65" s="400" t="s">
        <v>2715</v>
      </c>
    </row>
  </sheetData>
  <mergeCells count="31">
    <mergeCell ref="B6:P6"/>
    <mergeCell ref="B51:P51"/>
    <mergeCell ref="B20:P20"/>
    <mergeCell ref="A1:P1"/>
    <mergeCell ref="B5:P5"/>
    <mergeCell ref="B45:P45"/>
    <mergeCell ref="B41:P41"/>
    <mergeCell ref="B4:P4"/>
    <mergeCell ref="B7:P7"/>
    <mergeCell ref="B47:P47"/>
    <mergeCell ref="B16:P16"/>
    <mergeCell ref="A18:P18"/>
    <mergeCell ref="B46:P46"/>
    <mergeCell ref="A50:P50"/>
    <mergeCell ref="A3:P3"/>
    <mergeCell ref="B12:P12"/>
    <mergeCell ref="B53:P53"/>
    <mergeCell ref="B44:P44"/>
    <mergeCell ref="A19:P19"/>
    <mergeCell ref="A10:P10"/>
    <mergeCell ref="B38:P38"/>
    <mergeCell ref="B40:P40"/>
    <mergeCell ref="B15:P15"/>
    <mergeCell ref="B52:P52"/>
    <mergeCell ref="B39:P39"/>
    <mergeCell ref="B11:P11"/>
    <mergeCell ref="B48:P48"/>
    <mergeCell ref="B14:P14"/>
    <mergeCell ref="B8:P8"/>
    <mergeCell ref="B13:P13"/>
    <mergeCell ref="A43:P43"/>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Executive Scorecard</vt:lpstr>
      <vt:lpstr>Changelog v15.6</vt:lpstr>
      <vt:lpstr>PE Relationship Map</vt:lpstr>
      <vt:lpstr>Track 1 · Franchisors</vt:lpstr>
      <vt:lpstr>Track 2 · Franchisees</vt:lpstr>
      <vt:lpstr>Engagement Log</vt:lpstr>
      <vt:lpstr>Account Feedback</vt:lpstr>
      <vt:lpstr>Field Guide</vt:lpstr>
      <vt:lpstr>📅 Event Intelligence</vt:lpstr>
      <vt:lpstr>💡 Engagement Ideas</vt:lpstr>
      <vt:lpstr>📊 Scoring Model</vt:lpstr>
      <vt:lpstr>🔍 Competition Intel</vt:lpstr>
      <vt:lpstr>📣 Marketing &amp; Offers</vt:lpstr>
      <vt:lpstr>🇺🇸 America 250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Flynt</cp:lastModifiedBy>
  <cp:revision>0</cp:revision>
  <dcterms:created xsi:type="dcterms:W3CDTF">2026-04-14T13:50:37Z</dcterms:created>
  <dcterms:modified xsi:type="dcterms:W3CDTF">2026-04-29T21:21:20Z</dcterms:modified>
  <dc:language>en-US</dc:language>
</cp:coreProperties>
</file>