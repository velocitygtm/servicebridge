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16380" windowHeight="8200" tabRatio="500" firstSheet="0" activeTab="0" autoFilterDateGrouping="1"/>
  </bookViews>
  <sheets>
    <sheet xmlns:r="http://schemas.openxmlformats.org/officeDocument/2006/relationships" name="ROI Calculator" sheetId="1" state="visible" r:id="rId1"/>
    <sheet xmlns:r="http://schemas.openxmlformats.org/officeDocument/2006/relationships" name="Franchisor GPO + CB Map" sheetId="2" state="visible" r:id="rId2"/>
    <sheet xmlns:r="http://schemas.openxmlformats.org/officeDocument/2006/relationships" name="BELFOR" sheetId="3" state="visible" r:id="rId3"/>
    <sheet xmlns:r="http://schemas.openxmlformats.org/officeDocument/2006/relationships" name="THRESHOLD" sheetId="4" state="visible" r:id="rId4"/>
    <sheet xmlns:r="http://schemas.openxmlformats.org/officeDocument/2006/relationships" name="EMPOWER" sheetId="5" state="visible" r:id="rId5"/>
    <sheet xmlns:r="http://schemas.openxmlformats.org/officeDocument/2006/relationships" name="PSB" sheetId="6" state="visible" r:id="rId6"/>
    <sheet xmlns:r="http://schemas.openxmlformats.org/officeDocument/2006/relationships" name="RESIBRANDS" sheetId="7" state="visible" r:id="rId7"/>
    <sheet xmlns:r="http://schemas.openxmlformats.org/officeDocument/2006/relationships" name="FIVE STAR" sheetId="8" state="visible" r:id="rId8"/>
    <sheet xmlns:r="http://schemas.openxmlformats.org/officeDocument/2006/relationships" name="HOMEFRONT" sheetId="9" state="visible" r:id="rId9"/>
    <sheet xmlns:r="http://schemas.openxmlformats.org/officeDocument/2006/relationships" name="AUTHORITY" sheetId="10" state="visible" r:id="rId10"/>
    <sheet xmlns:r="http://schemas.openxmlformats.org/officeDocument/2006/relationships" name="NEIGHBORLY" sheetId="11" state="visible" r:id="rId11"/>
    <sheet xmlns:r="http://schemas.openxmlformats.org/officeDocument/2006/relationships" name="Fuel Intelligence" sheetId="12" state="visible" r:id="rId12"/>
    <sheet xmlns:r="http://schemas.openxmlformats.org/officeDocument/2006/relationships" name="Sources &amp; Methodology" sheetId="13" state="visible" r:id="rId13"/>
    <sheet xmlns:r="http://schemas.openxmlformats.org/officeDocument/2006/relationships" name="Competitive Matrix" sheetId="14" state="visible" r:id="rId14"/>
    <sheet xmlns:r="http://schemas.openxmlformats.org/officeDocument/2006/relationships" name="Trade Reference" sheetId="15" state="visible" r:id="rId15"/>
    <sheet xmlns:r="http://schemas.openxmlformats.org/officeDocument/2006/relationships" name="3-Way Scenario" sheetId="16" state="visible" r:id="rId16"/>
  </sheets>
  <definedNames/>
  <calcPr calcId="191029" fullCalcOnLoad="1" iterateDelta="0.0001"/>
</workbook>
</file>

<file path=xl/styles.xml><?xml version="1.0" encoding="utf-8"?>
<styleSheet xmlns="http://schemas.openxmlformats.org/spreadsheetml/2006/main">
  <numFmts count="3">
    <numFmt numFmtId="164" formatCode="\$#,##0"/>
    <numFmt numFmtId="165" formatCode="\$#,##0;&quot;($&quot;#,##0\);\-"/>
    <numFmt numFmtId="166" formatCode="yyyy\-mm\-dd"/>
  </numFmts>
  <fonts count="64">
    <font>
      <name val="Calibri"/>
      <charset val="1"/>
      <family val="2"/>
      <color theme="1"/>
      <sz val="11"/>
    </font>
    <font>
      <name val="Arial"/>
      <charset val="1"/>
      <family val="2"/>
      <b val="1"/>
      <color rgb="FFFFFFFF"/>
      <sz val="16"/>
    </font>
    <font>
      <name val="Arial"/>
      <charset val="1"/>
      <family val="2"/>
      <color rgb="FFFFFFFF"/>
      <sz val="10"/>
    </font>
    <font>
      <name val="Arial"/>
      <charset val="1"/>
      <family val="2"/>
      <b val="1"/>
      <color rgb="FFFFFFFF"/>
      <sz val="10"/>
    </font>
    <font>
      <name val="Arial"/>
      <charset val="1"/>
      <family val="2"/>
      <color rgb="FF000000"/>
      <sz val="10"/>
    </font>
    <font>
      <name val="Arial"/>
      <charset val="1"/>
      <family val="2"/>
      <b val="1"/>
      <color rgb="FF0000FF"/>
      <sz val="10"/>
    </font>
    <font>
      <name val="Arial"/>
      <charset val="1"/>
      <family val="2"/>
      <i val="1"/>
      <color rgb="FF888780"/>
      <sz val="9"/>
    </font>
    <font>
      <name val="Arial"/>
      <charset val="1"/>
      <family val="2"/>
      <b val="1"/>
      <color rgb="FFFFFFFF"/>
      <sz val="11"/>
    </font>
    <font>
      <name val="Arial"/>
      <charset val="1"/>
      <family val="2"/>
      <b val="1"/>
      <color rgb="FF1A2B3C"/>
      <sz val="10"/>
    </font>
    <font>
      <name val="Arial"/>
      <charset val="1"/>
      <family val="2"/>
      <color rgb="FF0000FF"/>
      <sz val="10"/>
    </font>
    <font>
      <name val="Arial"/>
      <charset val="1"/>
      <family val="2"/>
      <b val="1"/>
      <color rgb="FFFFFFFF"/>
      <sz val="9"/>
    </font>
    <font>
      <name val="Arial"/>
      <charset val="1"/>
      <family val="2"/>
      <i val="1"/>
      <color rgb="FF444444"/>
      <sz val="8"/>
    </font>
    <font>
      <name val="Arial"/>
      <family val="2"/>
      <b val="1"/>
      <color rgb="FFFFFFFF"/>
      <sz val="14"/>
    </font>
    <font>
      <name val="Arial"/>
      <family val="2"/>
      <i val="1"/>
      <color rgb="FFFFFFFF"/>
      <sz val="10"/>
    </font>
    <font>
      <name val="Arial"/>
      <family val="2"/>
      <b val="1"/>
      <color rgb="FF7A3500"/>
      <sz val="10"/>
    </font>
    <font>
      <name val="Arial"/>
      <family val="2"/>
      <b val="1"/>
      <color rgb="FFFFFFFF"/>
      <sz val="11"/>
    </font>
    <font>
      <name val="Arial"/>
      <family val="2"/>
      <sz val="10"/>
    </font>
    <font>
      <name val="Arial"/>
      <family val="2"/>
      <b val="1"/>
      <color rgb="FF185FA5"/>
      <sz val="10"/>
    </font>
    <font>
      <name val="Arial"/>
      <family val="2"/>
      <i val="1"/>
      <color rgb="FF666666"/>
      <sz val="9"/>
    </font>
    <font>
      <name val="Arial"/>
      <family val="2"/>
      <color rgb="FF000000"/>
      <sz val="10"/>
    </font>
    <font>
      <name val="Arial"/>
      <family val="2"/>
      <b val="1"/>
      <color rgb="FFFFFFFF"/>
      <sz val="12"/>
    </font>
    <font>
      <name val="Arial"/>
      <family val="2"/>
      <b val="1"/>
      <i val="1"/>
      <color rgb="FF3B6D11"/>
      <sz val="9"/>
    </font>
    <font>
      <name val="Arial"/>
      <family val="2"/>
      <b val="1"/>
      <color rgb="FFFFFFFF"/>
      <sz val="13"/>
    </font>
    <font>
      <name val="Arial"/>
      <family val="2"/>
      <b val="1"/>
      <i val="1"/>
      <color rgb="FFC9A84C"/>
      <sz val="9"/>
    </font>
    <font>
      <name val="Arial"/>
      <family val="2"/>
      <b val="1"/>
      <sz val="10"/>
    </font>
    <font>
      <name val="Arial"/>
      <family val="2"/>
      <color rgb="FF333333"/>
      <sz val="10"/>
    </font>
    <font>
      <name val="Arial"/>
      <family val="2"/>
      <b val="1"/>
      <color rgb="FFFFFFFF"/>
      <sz val="10"/>
    </font>
    <font>
      <name val="Arial"/>
      <family val="2"/>
      <i val="1"/>
      <color rgb="FF555555"/>
      <sz val="9"/>
    </font>
    <font>
      <name val="Arial"/>
      <family val="2"/>
      <i val="1"/>
      <color rgb="FF555555"/>
      <sz val="10"/>
    </font>
    <font>
      <name val="Arial"/>
      <family val="2"/>
      <i val="1"/>
      <color rgb="FF999999"/>
      <sz val="10"/>
    </font>
    <font>
      <name val="Arial"/>
      <family val="2"/>
      <i val="1"/>
      <color rgb="FF7A3500"/>
      <sz val="9"/>
    </font>
    <font>
      <name val="Arial"/>
      <family val="2"/>
      <i val="1"/>
      <color rgb="FF3B6D11"/>
      <sz val="9"/>
    </font>
    <font>
      <name val="Arial"/>
      <charset val="1"/>
      <family val="2"/>
      <b val="1"/>
      <color rgb="FFFFFFFF"/>
      <sz val="14"/>
    </font>
    <font>
      <name val="Arial"/>
      <charset val="1"/>
      <family val="2"/>
      <color rgb="FF000000"/>
      <sz val="9"/>
    </font>
    <font>
      <name val="Arial"/>
      <charset val="1"/>
      <family val="2"/>
      <color rgb="FFA32D2D"/>
      <sz val="9"/>
    </font>
    <font>
      <name val="Arial"/>
      <charset val="1"/>
      <family val="2"/>
      <color rgb="FF000000"/>
      <sz val="8"/>
    </font>
    <font>
      <name val="Arial"/>
      <charset val="1"/>
      <family val="2"/>
      <color rgb="FF888780"/>
      <sz val="8"/>
    </font>
    <font>
      <name val="Arial"/>
      <charset val="1"/>
      <family val="2"/>
      <b val="1"/>
      <color rgb="FFFFFFFF"/>
      <sz val="8"/>
    </font>
    <font>
      <name val="Arial"/>
      <charset val="1"/>
      <family val="2"/>
      <color rgb="FF888780"/>
      <sz val="9"/>
    </font>
    <font>
      <name val="Arial"/>
      <charset val="1"/>
      <family val="2"/>
      <b val="1"/>
      <color rgb="FF1A2B3C"/>
      <sz val="9"/>
    </font>
    <font>
      <name val="Arial"/>
      <charset val="1"/>
      <family val="2"/>
      <i val="1"/>
      <color rgb="FF888780"/>
      <sz val="8"/>
    </font>
    <font>
      <name val="Arial"/>
      <charset val="1"/>
      <family val="2"/>
      <b val="1"/>
      <color rgb="FF000000"/>
      <sz val="9"/>
    </font>
    <font>
      <name val="Arial"/>
      <charset val="1"/>
      <family val="2"/>
      <b val="1"/>
      <color rgb="FFFFFFFF"/>
      <sz val="12"/>
    </font>
    <font>
      <name val="Arial"/>
      <charset val="1"/>
      <family val="2"/>
      <i val="1"/>
      <color rgb="FFFFFFFF"/>
      <sz val="9"/>
    </font>
    <font>
      <name val="Arial"/>
      <charset val="1"/>
      <family val="2"/>
      <sz val="9"/>
    </font>
    <font>
      <name val="Arial"/>
      <charset val="1"/>
      <family val="2"/>
      <b val="1"/>
      <sz val="9"/>
    </font>
    <font>
      <name val="Arial"/>
      <charset val="1"/>
      <family val="2"/>
      <b val="1"/>
      <sz val="8"/>
    </font>
    <font>
      <name val="Arial"/>
      <charset val="1"/>
      <family val="2"/>
      <i val="1"/>
      <sz val="8"/>
    </font>
    <font>
      <name val="Arial"/>
      <charset val="1"/>
      <family val="2"/>
      <i val="1"/>
      <color rgb="FF1A2B3C"/>
      <sz val="9"/>
    </font>
    <font>
      <name val="Arial"/>
      <charset val="1"/>
      <family val="2"/>
      <i val="1"/>
      <sz val="9"/>
    </font>
    <font>
      <name val="Arial"/>
      <charset val="1"/>
      <family val="2"/>
      <b val="1"/>
      <color rgb="FF1A6B1A"/>
      <sz val="9"/>
    </font>
    <font>
      <name val="Arial"/>
      <charset val="1"/>
      <family val="2"/>
      <i val="1"/>
      <color rgb="FF888888"/>
      <sz val="8"/>
    </font>
    <font>
      <name val="Arial"/>
      <charset val="1"/>
      <family val="2"/>
      <color rgb="FF1A2B3C"/>
      <sz val="9"/>
    </font>
    <font>
      <name val="Calibri"/>
      <b val="1"/>
      <color rgb="00FFFFFF"/>
      <sz val="16"/>
    </font>
    <font>
      <name val="Calibri"/>
      <i val="1"/>
      <color rgb="00555555"/>
      <sz val="10"/>
    </font>
    <font>
      <name val="Calibri"/>
      <b val="1"/>
      <color rgb="00FFFFFF"/>
      <sz val="10"/>
    </font>
    <font>
      <name val="Calibri"/>
      <b val="1"/>
      <color rgb="00222222"/>
      <sz val="10"/>
    </font>
    <font>
      <name val="Calibri"/>
      <b val="1"/>
      <color rgb="0027500A"/>
      <sz val="10"/>
    </font>
    <font>
      <name val="Calibri"/>
      <color rgb="00222222"/>
      <sz val="10"/>
    </font>
    <font>
      <name val="Calibri"/>
      <b val="1"/>
      <color rgb="00A32D2D"/>
      <sz val="10"/>
    </font>
    <font>
      <name val="Calibri"/>
      <b val="1"/>
      <color rgb="00854F0B"/>
      <sz val="10"/>
    </font>
    <font>
      <name val="Calibri"/>
      <b val="1"/>
      <color rgb="000C447C"/>
      <sz val="10"/>
    </font>
    <font>
      <name val="Calibri"/>
      <b val="1"/>
      <color rgb="00555555"/>
      <sz val="10"/>
    </font>
    <font>
      <name val="Calibri"/>
      <i val="1"/>
      <color rgb="00555555"/>
      <sz val="9"/>
    </font>
  </fonts>
  <fills count="35">
    <fill>
      <patternFill/>
    </fill>
    <fill>
      <patternFill patternType="gray125"/>
    </fill>
    <fill>
      <patternFill patternType="solid">
        <fgColor rgb="FF1A2B3C"/>
        <bgColor rgb="FF0D2137"/>
      </patternFill>
    </fill>
    <fill>
      <patternFill patternType="solid">
        <fgColor rgb="FF185FA5"/>
        <bgColor rgb="FF008080"/>
      </patternFill>
    </fill>
    <fill>
      <patternFill patternType="solid">
        <fgColor rgb="FFF2F2F2"/>
        <bgColor rgb="FFF5F5F5"/>
      </patternFill>
    </fill>
    <fill>
      <patternFill patternType="solid">
        <fgColor rgb="FFEEF4FB"/>
        <bgColor rgb="FFF2F2F2"/>
      </patternFill>
    </fill>
    <fill>
      <patternFill patternType="solid">
        <fgColor rgb="FFFFFFFF"/>
        <bgColor rgb="FFF5F5F5"/>
      </patternFill>
    </fill>
    <fill>
      <patternFill patternType="solid">
        <fgColor rgb="FFFFF8E1"/>
        <bgColor rgb="FFFFF5E0"/>
      </patternFill>
    </fill>
    <fill>
      <patternFill patternType="solid">
        <fgColor rgb="FFA32D2D"/>
        <bgColor rgb="FF993366"/>
      </patternFill>
    </fill>
    <fill>
      <patternFill patternType="solid">
        <fgColor rgb="FFD6E4F0"/>
        <bgColor rgb="FFD6EAF8"/>
      </patternFill>
    </fill>
    <fill>
      <patternFill patternType="solid">
        <fgColor rgb="FFC9A84C"/>
        <bgColor rgb="FF999999"/>
      </patternFill>
    </fill>
    <fill>
      <patternFill patternType="solid">
        <fgColor rgb="FF888780"/>
        <bgColor rgb="FF888888"/>
      </patternFill>
    </fill>
    <fill>
      <patternFill patternType="solid">
        <fgColor rgb="FFFAEEDA"/>
        <bgColor rgb="FFFFF0CC"/>
      </patternFill>
    </fill>
    <fill>
      <patternFill patternType="solid">
        <fgColor rgb="FF3B6D11"/>
        <bgColor rgb="FF1A6B1A"/>
      </patternFill>
    </fill>
    <fill>
      <patternFill patternType="solid">
        <fgColor rgb="FFE8F4DC"/>
        <bgColor rgb="FFE8F8E8"/>
      </patternFill>
    </fill>
    <fill>
      <patternFill patternType="solid">
        <fgColor rgb="FFFDF5DE"/>
        <bgColor rgb="FFFFF5E0"/>
      </patternFill>
    </fill>
    <fill>
      <patternFill patternType="solid">
        <fgColor rgb="FFFCEBEB"/>
        <bgColor rgb="FFFAEEDA"/>
      </patternFill>
    </fill>
    <fill>
      <patternFill patternType="solid">
        <fgColor rgb="FFD4500A"/>
        <bgColor rgb="FFA32D2D"/>
      </patternFill>
    </fill>
    <fill>
      <patternFill patternType="solid">
        <fgColor rgb="FF4A7FC1"/>
        <bgColor rgb="FF185FA5"/>
      </patternFill>
    </fill>
    <fill>
      <patternFill patternType="solid">
        <fgColor rgb="FFFFF3CD"/>
        <bgColor rgb="FFFFF0CC"/>
      </patternFill>
    </fill>
    <fill>
      <patternFill patternType="solid">
        <fgColor rgb="FFD6EAF8"/>
        <bgColor rgb="FFD6E4F0"/>
      </patternFill>
    </fill>
    <fill>
      <patternFill patternType="solid">
        <fgColor rgb="FFE2EFDA"/>
        <bgColor rgb="FFE8F4DC"/>
      </patternFill>
    </fill>
    <fill>
      <patternFill patternType="solid">
        <fgColor rgb="FFF5F5F5"/>
        <bgColor rgb="FFF2F2F2"/>
      </patternFill>
    </fill>
    <fill>
      <patternFill patternType="solid">
        <fgColor rgb="FFFFF0CC"/>
        <bgColor rgb="FFFFF3CD"/>
      </patternFill>
    </fill>
    <fill>
      <patternFill patternType="solid">
        <fgColor rgb="FF0D2137"/>
        <bgColor rgb="FF1A2B3C"/>
      </patternFill>
    </fill>
    <fill>
      <patternFill patternType="solid">
        <fgColor rgb="FFFCE4D6"/>
        <bgColor rgb="FFFAEEDA"/>
      </patternFill>
    </fill>
    <fill>
      <patternFill patternType="solid">
        <fgColor rgb="FFE8F8E8"/>
        <bgColor rgb="FFE8F4DC"/>
      </patternFill>
    </fill>
    <fill>
      <patternFill patternType="solid">
        <fgColor rgb="FFFFC000"/>
        <bgColor rgb="FFC9A84C"/>
      </patternFill>
    </fill>
    <fill>
      <patternFill patternType="solid">
        <fgColor rgb="FFFFF5E0"/>
        <bgColor rgb="FFFDF5DE"/>
      </patternFill>
    </fill>
    <fill>
      <patternFill patternType="solid">
        <fgColor rgb="001A2B3C"/>
        <bgColor rgb="001A2B3C"/>
      </patternFill>
    </fill>
    <fill>
      <patternFill patternType="solid">
        <fgColor rgb="00EAF3DE"/>
        <bgColor rgb="00EAF3DE"/>
      </patternFill>
    </fill>
    <fill>
      <patternFill patternType="solid">
        <fgColor rgb="00FAECE7"/>
        <bgColor rgb="00FAECE7"/>
      </patternFill>
    </fill>
    <fill>
      <patternFill patternType="solid">
        <fgColor rgb="00FEF9F0"/>
        <bgColor rgb="00FEF9F0"/>
      </patternFill>
    </fill>
    <fill>
      <patternFill patternType="solid">
        <fgColor rgb="00E6F1FB"/>
        <bgColor rgb="00E6F1FB"/>
      </patternFill>
    </fill>
    <fill>
      <patternFill patternType="solid">
        <fgColor rgb="00F5F5F5"/>
        <bgColor rgb="00F5F5F5"/>
      </patternFill>
    </fill>
  </fills>
  <borders count="9">
    <border>
      <left/>
      <right/>
      <top/>
      <bottom/>
      <diagonal/>
    </border>
    <border>
      <left style="thin">
        <color rgb="FFCCCCCC"/>
      </left>
      <right style="thin">
        <color rgb="FFCCCCCC"/>
      </right>
      <top style="thin">
        <color rgb="FFCCCCCC"/>
      </top>
      <bottom style="thin">
        <color rgb="FFCCCCCC"/>
      </bottom>
      <diagonal/>
    </border>
    <border>
      <left/>
      <right/>
      <top style="thin">
        <color rgb="FFDDDDDD"/>
      </top>
      <bottom style="thin">
        <color rgb="FFDDDDDD"/>
      </bottom>
      <diagonal/>
    </border>
    <border>
      <left/>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right/>
      <top style="thin">
        <color rgb="FFDDDDDD"/>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7">
    <xf numFmtId="0" fontId="0" fillId="0" borderId="0" pivotButton="0" quotePrefix="0" xfId="0"/>
    <xf numFmtId="0" fontId="15" fillId="3" borderId="0" applyAlignment="1" pivotButton="0" quotePrefix="0" xfId="0">
      <alignment horizontal="left" vertical="center" indent="1"/>
    </xf>
    <xf numFmtId="0" fontId="14" fillId="12" borderId="0" applyAlignment="1" pivotButton="0" quotePrefix="0" xfId="0">
      <alignment horizontal="left" vertical="center" wrapText="1"/>
    </xf>
    <xf numFmtId="0" fontId="13" fillId="3" borderId="0" applyAlignment="1" pivotButton="0" quotePrefix="0" xfId="0">
      <alignment horizontal="center" vertical="center"/>
    </xf>
    <xf numFmtId="0" fontId="12" fillId="2" borderId="0" applyAlignment="1" pivotButton="0" quotePrefix="0" xfId="0">
      <alignment horizontal="center" vertical="center"/>
    </xf>
    <xf numFmtId="0" fontId="11" fillId="4" borderId="0" applyAlignment="1" pivotButton="0" quotePrefix="0" xfId="0">
      <alignment horizontal="left" vertical="top" wrapText="1"/>
    </xf>
    <xf numFmtId="0" fontId="10" fillId="11" borderId="0" applyAlignment="1" pivotButton="0" quotePrefix="0" xfId="0">
      <alignment horizontal="left" vertical="center"/>
    </xf>
    <xf numFmtId="0" fontId="8" fillId="10" borderId="0" applyAlignment="1" pivotButton="0" quotePrefix="0" xfId="0">
      <alignment horizontal="left" vertical="center" indent="1"/>
    </xf>
    <xf numFmtId="0" fontId="0" fillId="0" borderId="0" pivotButton="0" quotePrefix="0" xfId="0"/>
    <xf numFmtId="0" fontId="3" fillId="8" borderId="0" applyAlignment="1" pivotButton="0" quotePrefix="0" xfId="0">
      <alignment horizontal="left" vertical="center" indent="1"/>
    </xf>
    <xf numFmtId="0" fontId="6" fillId="0" borderId="0" applyAlignment="1" pivotButton="0" quotePrefix="0" xfId="0">
      <alignment horizontal="left" vertical="center" indent="1"/>
    </xf>
    <xf numFmtId="0" fontId="3" fillId="3" borderId="0" applyAlignment="1" pivotButton="0" quotePrefix="0" xfId="0">
      <alignment horizontal="left" vertical="center" indent="1"/>
    </xf>
    <xf numFmtId="0" fontId="3" fillId="2" borderId="0" applyAlignment="1" pivotButton="0" quotePrefix="0" xfId="0">
      <alignment horizontal="center" vertical="center"/>
    </xf>
    <xf numFmtId="0" fontId="2" fillId="3" borderId="0" applyAlignment="1" pivotButton="0" quotePrefix="0" xfId="0">
      <alignment horizontal="center" vertical="center"/>
    </xf>
    <xf numFmtId="0" fontId="1" fillId="2" borderId="0" applyAlignment="1" pivotButton="0" quotePrefix="0" xfId="0">
      <alignment horizontal="center" vertical="center"/>
    </xf>
    <xf numFmtId="0" fontId="3"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left" vertical="center"/>
    </xf>
    <xf numFmtId="0" fontId="5" fillId="5" borderId="1" applyAlignment="1" pivotButton="0" quotePrefix="0" xfId="0">
      <alignment horizontal="center" vertical="center"/>
    </xf>
    <xf numFmtId="0" fontId="4" fillId="4"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9" borderId="1" applyAlignment="1" pivotButton="0" quotePrefix="0" xfId="0">
      <alignment horizontal="left" vertical="center"/>
    </xf>
    <xf numFmtId="164" fontId="4" fillId="9" borderId="1" applyAlignment="1" pivotButton="0" quotePrefix="0" xfId="0">
      <alignment horizontal="center" vertical="center"/>
    </xf>
    <xf numFmtId="0" fontId="7" fillId="2" borderId="0" applyAlignment="1" pivotButton="0" quotePrefix="0" xfId="0">
      <alignment horizontal="left" vertical="center" indent="1"/>
    </xf>
    <xf numFmtId="164" fontId="7" fillId="2" borderId="1" applyAlignment="1" pivotButton="0" quotePrefix="0" xfId="0">
      <alignment horizontal="center" vertical="center"/>
    </xf>
    <xf numFmtId="0" fontId="4" fillId="7" borderId="1" applyAlignment="1" pivotButton="0" quotePrefix="0" xfId="0">
      <alignment horizontal="left" vertical="center"/>
    </xf>
    <xf numFmtId="0" fontId="9" fillId="7" borderId="1" applyAlignment="1" pivotButton="0" quotePrefix="0" xfId="0">
      <alignment horizontal="center" vertical="center"/>
    </xf>
    <xf numFmtId="0" fontId="15" fillId="2" borderId="0" applyAlignment="1" pivotButton="0" quotePrefix="0" xfId="0">
      <alignment horizontal="center" vertical="center"/>
    </xf>
    <xf numFmtId="0" fontId="15" fillId="3" borderId="0" applyAlignment="1" pivotButton="0" quotePrefix="0" xfId="0">
      <alignment horizontal="center" vertical="center"/>
    </xf>
    <xf numFmtId="0" fontId="16" fillId="4" borderId="0" applyAlignment="1" pivotButton="0" quotePrefix="0" xfId="0">
      <alignment horizontal="left" vertical="center" indent="1"/>
    </xf>
    <xf numFmtId="0" fontId="17" fillId="5" borderId="0" applyAlignment="1" pivotButton="0" quotePrefix="0" xfId="0">
      <alignment horizontal="center" vertical="center"/>
    </xf>
    <xf numFmtId="0" fontId="16" fillId="4" borderId="0" applyAlignment="1" pivotButton="0" quotePrefix="0" xfId="0">
      <alignment horizontal="center" vertical="center"/>
    </xf>
    <xf numFmtId="0" fontId="16" fillId="6" borderId="0" applyAlignment="1" pivotButton="0" quotePrefix="0" xfId="0">
      <alignment horizontal="center" vertical="center"/>
    </xf>
    <xf numFmtId="0" fontId="16" fillId="7" borderId="0" applyAlignment="1" pivotButton="0" quotePrefix="0" xfId="0">
      <alignment horizontal="center" vertical="center"/>
    </xf>
    <xf numFmtId="0" fontId="18" fillId="0" borderId="0" applyAlignment="1" pivotButton="0" quotePrefix="0" xfId="0">
      <alignment horizontal="left" vertical="center" wrapText="1" indent="1"/>
    </xf>
    <xf numFmtId="0" fontId="19" fillId="4" borderId="0" applyAlignment="1" pivotButton="0" quotePrefix="0" xfId="0">
      <alignment horizontal="center" vertical="center"/>
    </xf>
    <xf numFmtId="0" fontId="19" fillId="6" borderId="0" applyAlignment="1" pivotButton="0" quotePrefix="0" xfId="0">
      <alignment horizontal="center" vertical="center"/>
    </xf>
    <xf numFmtId="0" fontId="19" fillId="7" borderId="0" applyAlignment="1" pivotButton="0" quotePrefix="0" xfId="0">
      <alignment horizontal="center" vertical="center"/>
    </xf>
    <xf numFmtId="0" fontId="18" fillId="0" borderId="0" applyAlignment="1" pivotButton="0" quotePrefix="0" xfId="0">
      <alignment horizontal="left" vertical="center" indent="1"/>
    </xf>
    <xf numFmtId="165" fontId="16" fillId="4" borderId="0" applyAlignment="1" pivotButton="0" quotePrefix="0" xfId="0">
      <alignment horizontal="center" vertical="center"/>
    </xf>
    <xf numFmtId="0" fontId="16" fillId="14" borderId="0" applyAlignment="1" pivotButton="0" quotePrefix="0" xfId="0">
      <alignment horizontal="left" vertical="center" indent="1"/>
    </xf>
    <xf numFmtId="165" fontId="16" fillId="14" borderId="0" applyAlignment="1" pivotButton="0" quotePrefix="0" xfId="0">
      <alignment horizontal="center" vertical="center"/>
    </xf>
    <xf numFmtId="0" fontId="20" fillId="13" borderId="0" applyAlignment="1" pivotButton="0" quotePrefix="0" xfId="0">
      <alignment horizontal="left" vertical="center" indent="1"/>
    </xf>
    <xf numFmtId="165" fontId="20" fillId="13" borderId="0" applyAlignment="1" pivotButton="0" quotePrefix="0" xfId="0">
      <alignment horizontal="center" vertical="center"/>
    </xf>
    <xf numFmtId="0" fontId="21" fillId="0" borderId="0" applyAlignment="1" pivotButton="0" quotePrefix="0" xfId="0">
      <alignment horizontal="left" vertical="center" wrapText="1" indent="1"/>
    </xf>
    <xf numFmtId="0" fontId="16" fillId="15" borderId="0" applyAlignment="1" pivotButton="0" quotePrefix="0" xfId="0">
      <alignment horizontal="left" vertical="center" indent="1"/>
    </xf>
    <xf numFmtId="0" fontId="17" fillId="15" borderId="0" applyAlignment="1" pivotButton="0" quotePrefix="0" xfId="0">
      <alignment horizontal="center" vertical="center"/>
    </xf>
    <xf numFmtId="0" fontId="19" fillId="15" borderId="0" applyAlignment="1" pivotButton="0" quotePrefix="0" xfId="0">
      <alignment horizontal="center" vertical="center"/>
    </xf>
    <xf numFmtId="0" fontId="22" fillId="10" borderId="0" applyAlignment="1" pivotButton="0" quotePrefix="0" xfId="0">
      <alignment horizontal="left" vertical="center" indent="1"/>
    </xf>
    <xf numFmtId="165" fontId="22" fillId="10" borderId="0" applyAlignment="1" pivotButton="0" quotePrefix="0" xfId="0">
      <alignment horizontal="center" vertical="center"/>
    </xf>
    <xf numFmtId="0" fontId="23" fillId="0" borderId="0" applyAlignment="1" pivotButton="0" quotePrefix="0" xfId="0">
      <alignment horizontal="left" vertical="center" indent="1"/>
    </xf>
    <xf numFmtId="0" fontId="24" fillId="14" borderId="0" applyAlignment="1" pivotButton="0" quotePrefix="0" xfId="0">
      <alignment horizontal="left" vertical="center" indent="1"/>
    </xf>
    <xf numFmtId="165" fontId="24" fillId="14" borderId="0" applyAlignment="1" pivotButton="0" quotePrefix="0" xfId="0">
      <alignment horizontal="center" vertical="center"/>
    </xf>
    <xf numFmtId="0" fontId="15" fillId="2" borderId="1" applyAlignment="1" pivotButton="0" quotePrefix="0" xfId="0">
      <alignment horizontal="center" vertical="center"/>
    </xf>
    <xf numFmtId="0" fontId="16" fillId="4" borderId="1" applyAlignment="1" pivotButton="0" quotePrefix="0" xfId="0">
      <alignment horizontal="left" vertical="center" wrapText="1" indent="1"/>
    </xf>
    <xf numFmtId="0" fontId="29" fillId="6" borderId="1" applyAlignment="1" pivotButton="0" quotePrefix="0" xfId="0">
      <alignment horizontal="center" vertical="center"/>
    </xf>
    <xf numFmtId="0" fontId="16" fillId="6" borderId="1" applyAlignment="1" pivotButton="0" quotePrefix="0" xfId="0">
      <alignment horizontal="center" vertical="center"/>
    </xf>
    <xf numFmtId="166" fontId="16" fillId="6" borderId="1" applyAlignment="1" pivotButton="0" quotePrefix="0" xfId="0">
      <alignment horizontal="center" vertical="center"/>
    </xf>
    <xf numFmtId="0" fontId="16" fillId="6" borderId="1" applyAlignment="1" pivotButton="0" quotePrefix="0" xfId="0">
      <alignment horizontal="left" vertical="center" wrapText="1" indent="1"/>
    </xf>
    <xf numFmtId="0" fontId="30" fillId="12" borderId="1" applyAlignment="1" pivotButton="0" quotePrefix="0" xfId="0">
      <alignment horizontal="left" vertical="center" wrapText="1" indent="1"/>
    </xf>
    <xf numFmtId="0" fontId="14" fillId="16" borderId="1" applyAlignment="1" pivotButton="0" quotePrefix="0" xfId="0">
      <alignment horizontal="left" vertical="center" wrapText="1" indent="1"/>
    </xf>
    <xf numFmtId="0" fontId="0" fillId="6" borderId="1" applyAlignment="1" pivotButton="0" quotePrefix="0" xfId="0">
      <alignment horizontal="center" vertical="center"/>
    </xf>
    <xf numFmtId="166" fontId="0" fillId="6" borderId="1" applyAlignment="1" pivotButton="0" quotePrefix="0" xfId="0">
      <alignment horizontal="center" vertical="center"/>
    </xf>
    <xf numFmtId="0" fontId="0" fillId="6" borderId="1" applyAlignment="1" pivotButton="0" quotePrefix="0" xfId="0">
      <alignment horizontal="left" vertical="center" wrapText="1" indent="1"/>
    </xf>
    <xf numFmtId="0" fontId="24" fillId="14" borderId="1" applyAlignment="1" pivotButton="0" quotePrefix="0" xfId="0">
      <alignment horizontal="left" vertical="center" indent="1"/>
    </xf>
    <xf numFmtId="0" fontId="16" fillId="14" borderId="1" applyAlignment="1" pivotButton="0" quotePrefix="0" xfId="0">
      <alignment horizontal="center" vertical="center"/>
    </xf>
    <xf numFmtId="0" fontId="31" fillId="14" borderId="1" applyAlignment="1" pivotButton="0" quotePrefix="0" xfId="0">
      <alignment horizontal="left" vertical="center" wrapText="1" indent="1"/>
    </xf>
    <xf numFmtId="0" fontId="33" fillId="6" borderId="1" applyAlignment="1" pivotButton="0" quotePrefix="0" xfId="0">
      <alignment horizontal="left" vertical="center"/>
    </xf>
    <xf numFmtId="0" fontId="5" fillId="6" borderId="1" applyAlignment="1" pivotButton="0" quotePrefix="0" xfId="0">
      <alignment horizontal="center" vertical="center"/>
    </xf>
    <xf numFmtId="0" fontId="34" fillId="6" borderId="1" applyAlignment="1" pivotButton="0" quotePrefix="0" xfId="0">
      <alignment horizontal="center" vertical="center"/>
    </xf>
    <xf numFmtId="0" fontId="35" fillId="6" borderId="1" applyAlignment="1" pivotButton="0" quotePrefix="0" xfId="0">
      <alignment horizontal="left" vertical="center" wrapText="1"/>
    </xf>
    <xf numFmtId="0" fontId="36" fillId="6" borderId="1" applyAlignment="1" pivotButton="0" quotePrefix="0" xfId="0">
      <alignment horizontal="center" vertical="center"/>
    </xf>
    <xf numFmtId="0" fontId="37" fillId="8" borderId="1" applyAlignment="1" pivotButton="0" quotePrefix="0" xfId="0">
      <alignment horizontal="center" vertical="center"/>
    </xf>
    <xf numFmtId="0" fontId="33" fillId="4" borderId="1" applyAlignment="1" pivotButton="0" quotePrefix="0" xfId="0">
      <alignment horizontal="left" vertical="center"/>
    </xf>
    <xf numFmtId="0" fontId="5" fillId="4" borderId="1" applyAlignment="1" pivotButton="0" quotePrefix="0" xfId="0">
      <alignment horizontal="center" vertical="center"/>
    </xf>
    <xf numFmtId="0" fontId="34" fillId="4" borderId="1" applyAlignment="1" pivotButton="0" quotePrefix="0" xfId="0">
      <alignment horizontal="center" vertical="center"/>
    </xf>
    <xf numFmtId="0" fontId="35" fillId="4" borderId="1" applyAlignment="1" pivotButton="0" quotePrefix="0" xfId="0">
      <alignment horizontal="left" vertical="center" wrapText="1"/>
    </xf>
    <xf numFmtId="0" fontId="36" fillId="4" borderId="1" applyAlignment="1" pivotButton="0" quotePrefix="0" xfId="0">
      <alignment horizontal="center" vertical="center"/>
    </xf>
    <xf numFmtId="0" fontId="37" fillId="10" borderId="1" applyAlignment="1" pivotButton="0" quotePrefix="0" xfId="0">
      <alignment horizontal="center" vertical="center"/>
    </xf>
    <xf numFmtId="0" fontId="37" fillId="18" borderId="1" applyAlignment="1" pivotButton="0" quotePrefix="0" xfId="0">
      <alignment horizontal="center" vertical="center"/>
    </xf>
    <xf numFmtId="0" fontId="10" fillId="2" borderId="1" applyAlignment="1" pivotButton="0" quotePrefix="0" xfId="0">
      <alignment horizontal="center" vertical="center"/>
    </xf>
    <xf numFmtId="0" fontId="38" fillId="4" borderId="1" applyAlignment="1" pivotButton="0" quotePrefix="0" xfId="0">
      <alignment horizontal="center" vertical="center"/>
    </xf>
    <xf numFmtId="0" fontId="39" fillId="9" borderId="1" applyAlignment="1" pivotButton="0" quotePrefix="0" xfId="0">
      <alignment horizontal="center" vertical="center"/>
    </xf>
    <xf numFmtId="0" fontId="38" fillId="6" borderId="1" applyAlignment="1" pivotButton="0" quotePrefix="0" xfId="0">
      <alignment horizontal="center" vertical="center"/>
    </xf>
    <xf numFmtId="3" fontId="33" fillId="4" borderId="1" applyAlignment="1" pivotButton="0" quotePrefix="0" xfId="0">
      <alignment horizontal="center" vertical="center"/>
    </xf>
    <xf numFmtId="3" fontId="33" fillId="6" borderId="1" applyAlignment="1" pivotButton="0" quotePrefix="0" xfId="0">
      <alignment horizontal="center" vertical="center"/>
    </xf>
    <xf numFmtId="0" fontId="41" fillId="9" borderId="1" applyAlignment="1" pivotButton="0" quotePrefix="0" xfId="0">
      <alignment horizontal="left" vertical="center"/>
    </xf>
    <xf numFmtId="164" fontId="8" fillId="9" borderId="1" applyAlignment="1" pivotButton="0" quotePrefix="0" xfId="0">
      <alignment horizontal="center" vertical="center"/>
    </xf>
    <xf numFmtId="0" fontId="7" fillId="2" borderId="0" applyAlignment="1" pivotButton="0" quotePrefix="0" xfId="0">
      <alignment horizontal="left" vertical="center"/>
    </xf>
    <xf numFmtId="164" fontId="42" fillId="2" borderId="1" applyAlignment="1" pivotButton="0" quotePrefix="0" xfId="0">
      <alignment horizontal="center" vertical="center"/>
    </xf>
    <xf numFmtId="0" fontId="37" fillId="11" borderId="1" applyAlignment="1" pivotButton="0" quotePrefix="0" xfId="0">
      <alignment horizontal="center" vertical="center" wrapText="1"/>
    </xf>
    <xf numFmtId="0" fontId="33" fillId="4" borderId="1" applyAlignment="1" pivotButton="0" quotePrefix="0" xfId="0">
      <alignment horizontal="center" vertical="center"/>
    </xf>
    <xf numFmtId="0" fontId="33" fillId="6" borderId="1" applyAlignment="1" pivotButton="0" quotePrefix="0" xfId="0">
      <alignment horizontal="center" vertical="center"/>
    </xf>
    <xf numFmtId="0" fontId="39" fillId="19" borderId="1" applyAlignment="1" pivotButton="0" quotePrefix="0" xfId="0">
      <alignment horizontal="left" vertical="center"/>
    </xf>
    <xf numFmtId="0" fontId="39" fillId="19" borderId="1" applyAlignment="1" pivotButton="0" quotePrefix="0" xfId="0">
      <alignment horizontal="center" vertical="center"/>
    </xf>
    <xf numFmtId="0" fontId="10" fillId="3" borderId="1" applyAlignment="1" pivotButton="0" quotePrefix="0" xfId="0">
      <alignment horizontal="left" vertical="center" indent="1"/>
    </xf>
    <xf numFmtId="0" fontId="33" fillId="4" borderId="2" applyAlignment="1" pivotButton="0" quotePrefix="0" xfId="0">
      <alignment horizontal="left" vertical="center"/>
    </xf>
    <xf numFmtId="0" fontId="33" fillId="4" borderId="2" applyAlignment="1" pivotButton="0" quotePrefix="0" xfId="0">
      <alignment horizontal="left" vertical="center" wrapText="1"/>
    </xf>
    <xf numFmtId="0" fontId="33" fillId="4" borderId="2" applyAlignment="1" pivotButton="0" quotePrefix="0" xfId="0">
      <alignment horizontal="center" vertical="center"/>
    </xf>
    <xf numFmtId="0" fontId="33" fillId="6" borderId="2" applyAlignment="1" pivotButton="0" quotePrefix="0" xfId="0">
      <alignment horizontal="left" vertical="center"/>
    </xf>
    <xf numFmtId="0" fontId="33" fillId="6" borderId="2" applyAlignment="1" pivotButton="0" quotePrefix="0" xfId="0">
      <alignment horizontal="left" vertical="center" wrapText="1"/>
    </xf>
    <xf numFmtId="0" fontId="33" fillId="6" borderId="2" applyAlignment="1" pivotButton="0" quotePrefix="0" xfId="0">
      <alignment horizontal="center" vertical="center"/>
    </xf>
    <xf numFmtId="0" fontId="10" fillId="3" borderId="0" applyAlignment="1" pivotButton="0" quotePrefix="0" xfId="0">
      <alignment horizontal="center" vertical="center" wrapText="1"/>
    </xf>
    <xf numFmtId="0" fontId="44" fillId="20" borderId="2" applyAlignment="1" pivotButton="0" quotePrefix="0" xfId="0">
      <alignment vertical="top" wrapText="1"/>
    </xf>
    <xf numFmtId="0" fontId="44" fillId="19" borderId="2" applyAlignment="1" pivotButton="0" quotePrefix="0" xfId="0">
      <alignment vertical="top" wrapText="1"/>
    </xf>
    <xf numFmtId="0" fontId="45" fillId="21" borderId="2" applyAlignment="1" pivotButton="0" quotePrefix="0" xfId="0">
      <alignment vertical="top" wrapText="1"/>
    </xf>
    <xf numFmtId="0" fontId="44" fillId="6" borderId="2" applyAlignment="1" pivotButton="0" quotePrefix="0" xfId="0">
      <alignment horizontal="left" vertical="center" wrapText="1"/>
    </xf>
    <xf numFmtId="0" fontId="44" fillId="6" borderId="2" applyAlignment="1" pivotButton="0" quotePrefix="0" xfId="0">
      <alignment horizontal="center" vertical="center" wrapText="1"/>
    </xf>
    <xf numFmtId="0" fontId="10" fillId="3" borderId="2" applyAlignment="1" pivotButton="0" quotePrefix="0" xfId="0">
      <alignment horizontal="center" vertical="center" wrapText="1"/>
    </xf>
    <xf numFmtId="0" fontId="10" fillId="2" borderId="2" applyAlignment="1" pivotButton="0" quotePrefix="0" xfId="0">
      <alignment vertical="top" wrapText="1"/>
    </xf>
    <xf numFmtId="0" fontId="44" fillId="22" borderId="2" applyAlignment="1" pivotButton="0" quotePrefix="0" xfId="0">
      <alignment vertical="top" wrapText="1"/>
    </xf>
    <xf numFmtId="0" fontId="46" fillId="23" borderId="2" applyAlignment="1" pivotButton="0" quotePrefix="0" xfId="0">
      <alignment vertical="top" wrapText="1"/>
    </xf>
    <xf numFmtId="0" fontId="47" fillId="20" borderId="2" applyAlignment="1" pivotButton="0" quotePrefix="0" xfId="0">
      <alignment vertical="top" wrapText="1"/>
    </xf>
    <xf numFmtId="0" fontId="37" fillId="24" borderId="2" applyAlignment="1" pivotButton="0" quotePrefix="0" xfId="0">
      <alignment vertical="top" wrapText="1"/>
    </xf>
    <xf numFmtId="0" fontId="44" fillId="21" borderId="2" applyAlignment="1" pivotButton="0" quotePrefix="0" xfId="0">
      <alignment vertical="top" wrapText="1"/>
    </xf>
    <xf numFmtId="0" fontId="44" fillId="25" borderId="2" applyAlignment="1" pivotButton="0" quotePrefix="0" xfId="0">
      <alignment vertical="top" wrapText="1"/>
    </xf>
    <xf numFmtId="0" fontId="37" fillId="24" borderId="0" applyAlignment="1" pivotButton="0" quotePrefix="0" xfId="0">
      <alignment vertical="top" wrapText="1"/>
    </xf>
    <xf numFmtId="0" fontId="44" fillId="21" borderId="0" applyAlignment="1" pivotButton="0" quotePrefix="0" xfId="0">
      <alignment vertical="top" wrapText="1"/>
    </xf>
    <xf numFmtId="0" fontId="44" fillId="25" borderId="0" applyAlignment="1" pivotButton="0" quotePrefix="0" xfId="0">
      <alignment vertical="top" wrapText="1"/>
    </xf>
    <xf numFmtId="0" fontId="46" fillId="23" borderId="0" applyAlignment="1" pivotButton="0" quotePrefix="0" xfId="0">
      <alignment vertical="top" wrapText="1"/>
    </xf>
    <xf numFmtId="0" fontId="47" fillId="20" borderId="0" applyAlignment="1" pivotButton="0" quotePrefix="0" xfId="0">
      <alignment vertical="top" wrapText="1"/>
    </xf>
    <xf numFmtId="0" fontId="10" fillId="2" borderId="0" applyAlignment="1" pivotButton="0" quotePrefix="0" xfId="0">
      <alignment vertical="top" wrapText="1"/>
    </xf>
    <xf numFmtId="0" fontId="44" fillId="19" borderId="0" applyAlignment="1" pivotButton="0" quotePrefix="0" xfId="0">
      <alignment vertical="top" wrapText="1"/>
    </xf>
    <xf numFmtId="0" fontId="44" fillId="22" borderId="0" applyAlignment="1" pivotButton="0" quotePrefix="0" xfId="0">
      <alignment vertical="top" wrapText="1"/>
    </xf>
    <xf numFmtId="0" fontId="49" fillId="22" borderId="0" applyAlignment="1" pivotButton="0" quotePrefix="0" xfId="0">
      <alignment vertical="top" wrapText="1"/>
    </xf>
    <xf numFmtId="0" fontId="45" fillId="23" borderId="0" applyAlignment="1" pivotButton="0" quotePrefix="0" xfId="0">
      <alignment vertical="top" wrapText="1"/>
    </xf>
    <xf numFmtId="0" fontId="50" fillId="26" borderId="0" applyAlignment="1" pivotButton="0" quotePrefix="0" xfId="0">
      <alignment vertical="top" wrapText="1"/>
    </xf>
    <xf numFmtId="0" fontId="10" fillId="24" borderId="0" applyAlignment="1" pivotButton="0" quotePrefix="0" xfId="0">
      <alignment vertical="top" wrapText="1"/>
    </xf>
    <xf numFmtId="0" fontId="44" fillId="6" borderId="0" pivotButton="0" quotePrefix="0" xfId="0"/>
    <xf numFmtId="0" fontId="49" fillId="20" borderId="0" applyAlignment="1" pivotButton="0" quotePrefix="0" xfId="0">
      <alignment vertical="top" wrapText="1"/>
    </xf>
    <xf numFmtId="0" fontId="44" fillId="28" borderId="0" applyAlignment="1" pivotButton="0" quotePrefix="0" xfId="0">
      <alignment vertical="top" wrapText="1"/>
    </xf>
    <xf numFmtId="0" fontId="52" fillId="9" borderId="2" applyAlignment="1" pivotButton="0" quotePrefix="0" xfId="0">
      <alignment horizontal="center" vertical="center"/>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1" fillId="4" borderId="3" applyAlignment="1" pivotButton="0" quotePrefix="0" xfId="0">
      <alignment horizontal="left" vertical="center"/>
    </xf>
    <xf numFmtId="0" fontId="33" fillId="4" borderId="3" applyAlignment="1" pivotButton="0" quotePrefix="0" xfId="0">
      <alignment horizontal="center" vertical="center"/>
    </xf>
    <xf numFmtId="0" fontId="41" fillId="6" borderId="3" applyAlignment="1" pivotButton="0" quotePrefix="0" xfId="0">
      <alignment horizontal="left" vertical="center"/>
    </xf>
    <xf numFmtId="0" fontId="33" fillId="6" borderId="3" applyAlignment="1" pivotButton="0" quotePrefix="0" xfId="0">
      <alignment horizontal="center" vertical="center"/>
    </xf>
    <xf numFmtId="0" fontId="3" fillId="2" borderId="3" applyAlignment="1" pivotButton="0" quotePrefix="0" xfId="0">
      <alignment horizontal="left" vertical="center"/>
    </xf>
    <xf numFmtId="0" fontId="3" fillId="2" borderId="3" applyAlignment="1" pivotButton="0" quotePrefix="0" xfId="0">
      <alignment horizontal="center" vertical="center"/>
    </xf>
    <xf numFmtId="0" fontId="15" fillId="11" borderId="0" applyAlignment="1" pivotButton="0" quotePrefix="0" xfId="0">
      <alignment horizontal="left" vertical="center" indent="1"/>
    </xf>
    <xf numFmtId="0" fontId="15" fillId="13" borderId="0" applyAlignment="1" pivotButton="0" quotePrefix="0" xfId="0">
      <alignment horizontal="left" vertical="center" indent="1"/>
    </xf>
    <xf numFmtId="0" fontId="15" fillId="10" borderId="0" applyAlignment="1" pivotButton="0" quotePrefix="0" xfId="0">
      <alignment horizontal="left" vertical="center" indent="1"/>
    </xf>
    <xf numFmtId="0" fontId="15" fillId="2" borderId="0" applyAlignment="1" pivotButton="0" quotePrefix="0" xfId="0">
      <alignment horizontal="left" vertical="center" indent="1"/>
    </xf>
    <xf numFmtId="0" fontId="25" fillId="4" borderId="0" applyAlignment="1" pivotButton="0" quotePrefix="0" xfId="0">
      <alignment horizontal="left" vertical="top" wrapText="1" indent="1"/>
    </xf>
    <xf numFmtId="0" fontId="26" fillId="11" borderId="0" applyAlignment="1" pivotButton="0" quotePrefix="0" xfId="0">
      <alignment horizontal="left" vertical="center" indent="1"/>
    </xf>
    <xf numFmtId="0" fontId="27" fillId="4" borderId="0" applyAlignment="1" pivotButton="0" quotePrefix="0" xfId="0">
      <alignment horizontal="left" vertical="top" wrapText="1" indent="1"/>
    </xf>
    <xf numFmtId="0" fontId="20" fillId="8" borderId="0" applyAlignment="1" pivotButton="0" quotePrefix="0" xfId="0">
      <alignment horizontal="left" vertical="center" indent="1"/>
    </xf>
    <xf numFmtId="0" fontId="28" fillId="12" borderId="0" applyAlignment="1" pivotButton="0" quotePrefix="0" xfId="0">
      <alignment horizontal="left" vertical="center" wrapText="1" indent="1"/>
    </xf>
    <xf numFmtId="0" fontId="26" fillId="3" borderId="0" applyAlignment="1" pivotButton="0" quotePrefix="0" xfId="0">
      <alignment horizontal="left" vertical="center" indent="1"/>
    </xf>
    <xf numFmtId="0" fontId="26" fillId="8" borderId="0" applyAlignment="1" pivotButton="0" quotePrefix="0" xfId="0">
      <alignment horizontal="left" vertical="center" indent="1"/>
    </xf>
    <xf numFmtId="0" fontId="26" fillId="13" borderId="0" applyAlignment="1" pivotButton="0" quotePrefix="0" xfId="0">
      <alignment horizontal="left" vertical="center" indent="1"/>
    </xf>
    <xf numFmtId="0" fontId="14" fillId="16" borderId="0" applyAlignment="1" pivotButton="0" quotePrefix="0" xfId="0">
      <alignment horizontal="left" vertical="center" wrapText="1"/>
    </xf>
    <xf numFmtId="0" fontId="32" fillId="2" borderId="0" applyAlignment="1" pivotButton="0" quotePrefix="0" xfId="0">
      <alignment horizontal="center" vertical="center"/>
    </xf>
    <xf numFmtId="0" fontId="2" fillId="8" borderId="0" applyAlignment="1" pivotButton="0" quotePrefix="0" xfId="0">
      <alignment horizontal="center" vertical="center"/>
    </xf>
    <xf numFmtId="0" fontId="3" fillId="17" borderId="0" applyAlignment="1" pivotButton="0" quotePrefix="0" xfId="0">
      <alignment horizontal="left" vertical="center"/>
    </xf>
    <xf numFmtId="0" fontId="3" fillId="3" borderId="0" applyAlignment="1" pivotButton="0" quotePrefix="0" xfId="0">
      <alignment horizontal="left" vertical="center"/>
    </xf>
    <xf numFmtId="0" fontId="40" fillId="4" borderId="1" applyAlignment="1" pivotButton="0" quotePrefix="0" xfId="0">
      <alignment horizontal="left" vertical="center" indent="1"/>
    </xf>
    <xf numFmtId="0" fontId="40" fillId="6" borderId="1" applyAlignment="1" pivotButton="0" quotePrefix="0" xfId="0">
      <alignment horizontal="left" vertical="center" indent="1"/>
    </xf>
    <xf numFmtId="0" fontId="3" fillId="2" borderId="0" applyAlignment="1" pivotButton="0" quotePrefix="0" xfId="0">
      <alignment horizontal="left" vertical="center"/>
    </xf>
    <xf numFmtId="0" fontId="40" fillId="9" borderId="1" applyAlignment="1" pivotButton="0" quotePrefix="0" xfId="0">
      <alignment horizontal="left" vertical="center" indent="1"/>
    </xf>
    <xf numFmtId="0" fontId="43" fillId="2" borderId="0" applyAlignment="1" pivotButton="0" quotePrefix="0" xfId="0">
      <alignment horizontal="left" vertical="center" indent="1"/>
    </xf>
    <xf numFmtId="0" fontId="3" fillId="8" borderId="0" applyAlignment="1" pivotButton="0" quotePrefix="0" xfId="0">
      <alignment horizontal="left" vertical="center"/>
    </xf>
    <xf numFmtId="0" fontId="8" fillId="10" borderId="0" applyAlignment="1" pivotButton="0" quotePrefix="0" xfId="0">
      <alignment horizontal="left" vertical="center"/>
    </xf>
    <xf numFmtId="0" fontId="33" fillId="9" borderId="1" applyAlignment="1" pivotButton="0" quotePrefix="0" xfId="0">
      <alignment horizontal="left" vertical="center" wrapText="1" indent="1"/>
    </xf>
    <xf numFmtId="0" fontId="39" fillId="9" borderId="1" applyAlignment="1" pivotButton="0" quotePrefix="0" xfId="0">
      <alignment horizontal="left" vertical="center" wrapText="1" indent="1"/>
    </xf>
    <xf numFmtId="0" fontId="33" fillId="6" borderId="1" applyAlignment="1" pivotButton="0" quotePrefix="0" xfId="0">
      <alignment horizontal="left" vertical="center" wrapText="1" indent="1"/>
    </xf>
    <xf numFmtId="0" fontId="39" fillId="7" borderId="1" applyAlignment="1" pivotButton="0" quotePrefix="0" xfId="0">
      <alignment horizontal="left" vertical="center" wrapText="1" indent="1"/>
    </xf>
    <xf numFmtId="0" fontId="7" fillId="2" borderId="0" applyAlignment="1" pivotButton="0" quotePrefix="0" xfId="0">
      <alignment horizontal="left" vertical="center"/>
    </xf>
    <xf numFmtId="0" fontId="10" fillId="3" borderId="0" applyAlignment="1" pivotButton="0" quotePrefix="0" xfId="0">
      <alignment vertical="center"/>
    </xf>
    <xf numFmtId="0" fontId="10" fillId="3" borderId="2" applyAlignment="1" pivotButton="0" quotePrefix="0" xfId="0">
      <alignment vertical="center"/>
    </xf>
    <xf numFmtId="0" fontId="3" fillId="2" borderId="0" applyAlignment="1" pivotButton="0" quotePrefix="0" xfId="0">
      <alignment horizontal="left" vertical="center" wrapText="1"/>
    </xf>
    <xf numFmtId="0" fontId="48" fillId="23" borderId="0" applyAlignment="1" pivotButton="0" quotePrefix="0" xfId="0">
      <alignment horizontal="left" vertical="center" wrapText="1"/>
    </xf>
    <xf numFmtId="0" fontId="10" fillId="3" borderId="0" applyAlignment="1" pivotButton="0" quotePrefix="0" xfId="0">
      <alignment horizontal="left" vertical="center" wrapText="1"/>
    </xf>
    <xf numFmtId="0" fontId="41" fillId="27" borderId="0" applyAlignment="1" pivotButton="0" quotePrefix="0" xfId="0">
      <alignment horizontal="left" vertical="center" wrapText="1"/>
    </xf>
    <xf numFmtId="0" fontId="10" fillId="2" borderId="0" applyAlignment="1" pivotButton="0" quotePrefix="0" xfId="0">
      <alignment horizontal="left" vertical="center" wrapText="1"/>
    </xf>
    <xf numFmtId="0" fontId="51" fillId="6" borderId="0" applyAlignment="1" pivotButton="0" quotePrefix="0" xfId="0">
      <alignment horizontal="left" vertical="center" wrapText="1"/>
    </xf>
    <xf numFmtId="0" fontId="6" fillId="0" borderId="0" applyAlignment="1" pivotButton="0" quotePrefix="0" xfId="0">
      <alignment horizontal="center" vertical="center"/>
    </xf>
    <xf numFmtId="0" fontId="53" fillId="29" borderId="0" applyAlignment="1" pivotButton="0" quotePrefix="0" xfId="0">
      <alignment horizontal="left" vertical="center" indent="1"/>
    </xf>
    <xf numFmtId="0" fontId="54" fillId="0" borderId="0" applyAlignment="1" pivotButton="0" quotePrefix="0" xfId="0">
      <alignment horizontal="left" vertical="center" indent="1"/>
    </xf>
    <xf numFmtId="0" fontId="55" fillId="29" borderId="8" applyAlignment="1" pivotButton="0" quotePrefix="0" xfId="0">
      <alignment horizontal="center" vertical="center" wrapText="1"/>
    </xf>
    <xf numFmtId="0" fontId="56" fillId="0" borderId="8" applyAlignment="1" pivotButton="0" quotePrefix="0" xfId="0">
      <alignment horizontal="center" vertical="center" wrapText="1"/>
    </xf>
    <xf numFmtId="0" fontId="56" fillId="0" borderId="8" applyAlignment="1" pivotButton="0" quotePrefix="0" xfId="0">
      <alignment horizontal="left" vertical="center" wrapText="1" indent="1"/>
    </xf>
    <xf numFmtId="0" fontId="57" fillId="30" borderId="8" applyAlignment="1" pivotButton="0" quotePrefix="0" xfId="0">
      <alignment horizontal="center" vertical="center" wrapText="1"/>
    </xf>
    <xf numFmtId="0" fontId="58" fillId="0" borderId="8" applyAlignment="1" pivotButton="0" quotePrefix="0" xfId="0">
      <alignment horizontal="left" vertical="center" wrapText="1" indent="1"/>
    </xf>
    <xf numFmtId="0" fontId="58" fillId="0" borderId="8" applyAlignment="1" pivotButton="0" quotePrefix="0" xfId="0">
      <alignment horizontal="center" vertical="center" wrapText="1"/>
    </xf>
    <xf numFmtId="0" fontId="59" fillId="31" borderId="8" applyAlignment="1" pivotButton="0" quotePrefix="0" xfId="0">
      <alignment horizontal="center" vertical="center" wrapText="1"/>
    </xf>
    <xf numFmtId="0" fontId="60" fillId="32" borderId="8" applyAlignment="1" pivotButton="0" quotePrefix="0" xfId="0">
      <alignment horizontal="center" vertical="center" wrapText="1"/>
    </xf>
    <xf numFmtId="0" fontId="61" fillId="33" borderId="8" applyAlignment="1" pivotButton="0" quotePrefix="0" xfId="0">
      <alignment horizontal="center" vertical="center" wrapText="1"/>
    </xf>
    <xf numFmtId="0" fontId="62" fillId="34" borderId="8" applyAlignment="1" pivotButton="0" quotePrefix="0" xfId="0">
      <alignment horizontal="center" vertical="center" wrapText="1"/>
    </xf>
    <xf numFmtId="0" fontId="0" fillId="29" borderId="0" pivotButton="0" quotePrefix="0" xfId="0"/>
    <xf numFmtId="0" fontId="55" fillId="29" borderId="8" applyAlignment="1" pivotButton="0" quotePrefix="0" xfId="0">
      <alignment horizontal="left" vertical="center" wrapText="1" indent="1"/>
    </xf>
    <xf numFmtId="0" fontId="63" fillId="0" borderId="0" applyAlignment="1" pivotButton="0" quotePrefix="0" xfId="0">
      <alignment horizontal="left" vertical="top" wrapText="1" indent="1"/>
    </xf>
    <xf numFmtId="0" fontId="0" fillId="0" borderId="6" pivotButton="0" quotePrefix="0" xfId="0"/>
    <xf numFmtId="0" fontId="0" fillId="0" borderId="3"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0CC"/>
      <rgbColor rgb="FFFF00FF"/>
      <rgbColor rgb="FFF2F2F2"/>
      <rgbColor rgb="FF800000"/>
      <rgbColor rgb="FF1A6B1A"/>
      <rgbColor rgb="FF000080"/>
      <rgbColor rgb="FF3B6D11"/>
      <rgbColor rgb="FF800080"/>
      <rgbColor rgb="FF008080"/>
      <rgbColor rgb="FFCCCCCC"/>
      <rgbColor rgb="FF888780"/>
      <rgbColor rgb="FF888888"/>
      <rgbColor rgb="FF7A3500"/>
      <rgbColor rgb="FFFFF8E1"/>
      <rgbColor rgb="FFD6EAF8"/>
      <rgbColor rgb="FF660066"/>
      <rgbColor rgb="FFFFF5E0"/>
      <rgbColor rgb="FF185FA5"/>
      <rgbColor rgb="FFDDDDDD"/>
      <rgbColor rgb="FF000080"/>
      <rgbColor rgb="FFFF00FF"/>
      <rgbColor rgb="FFFDF5DE"/>
      <rgbColor rgb="FFF5F5F5"/>
      <rgbColor rgb="FF800080"/>
      <rgbColor rgb="FF800000"/>
      <rgbColor rgb="FF008080"/>
      <rgbColor rgb="FF0000FF"/>
      <rgbColor rgb="FF00CCFF"/>
      <rgbColor rgb="FFE8F8E8"/>
      <rgbColor rgb="FFE2EFDA"/>
      <rgbColor rgb="FFFFF3CD"/>
      <rgbColor rgb="FFD6E4F0"/>
      <rgbColor rgb="FFFCEBEB"/>
      <rgbColor rgb="FFFAEEDA"/>
      <rgbColor rgb="FFFCE4D6"/>
      <rgbColor rgb="FF4A7FC1"/>
      <rgbColor rgb="FFEEF4FB"/>
      <rgbColor rgb="FFE8F4DC"/>
      <rgbColor rgb="FFFFC000"/>
      <rgbColor rgb="FFC9A84C"/>
      <rgbColor rgb="FFD4500A"/>
      <rgbColor rgb="FF666666"/>
      <rgbColor rgb="FF999999"/>
      <rgbColor rgb="FF1A2B3C"/>
      <rgbColor rgb="FF339966"/>
      <rgbColor rgb="FF0D2137"/>
      <rgbColor rgb="FF444444"/>
      <rgbColor rgb="FFA32D2D"/>
      <rgbColor rgb="FF993366"/>
      <rgbColor rgb="FF555555"/>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A1" sqref="A1:H1"/>
    </sheetView>
  </sheetViews>
  <sheetFormatPr baseColWidth="10" defaultColWidth="8.83203125" defaultRowHeight="15"/>
  <cols>
    <col width="28" customWidth="1" style="8" min="1" max="1"/>
    <col width="18" customWidth="1" style="8" min="2" max="8"/>
  </cols>
  <sheetData>
    <row r="1" ht="36" customHeight="1" s="8">
      <c r="A1" s="14" t="inlineStr">
        <is>
          <t>THE INSIGHT ENGINE  |  ROI CALCULATOR</t>
        </is>
      </c>
    </row>
    <row r="2" ht="18" customHeight="1" s="8">
      <c r="A2" s="13" t="inlineStr">
        <is>
          <t>Powered by GPS Insight  ·  ServiceBridge Field Service Management + Telematics</t>
        </is>
      </c>
    </row>
    <row r="3" ht="6" customHeight="1" s="8"/>
    <row r="4" ht="21.75" customHeight="1" s="8">
      <c r="A4" s="15" t="inlineStr">
        <is>
          <t>INPUT / METRIC</t>
        </is>
      </c>
      <c r="B4" s="16" t="inlineStr">
        <is>
          <t>Your Value</t>
        </is>
      </c>
      <c r="C4" s="16" t="inlineStr">
        <is>
          <t>Conservative</t>
        </is>
      </c>
      <c r="D4" s="16" t="inlineStr">
        <is>
          <t>Base Case</t>
        </is>
      </c>
      <c r="E4" s="16" t="inlineStr">
        <is>
          <t>Stretch</t>
        </is>
      </c>
      <c r="F4" s="15" t="inlineStr">
        <is>
          <t>Notes / Source</t>
        </is>
      </c>
    </row>
    <row r="5" ht="18" customHeight="1" s="8">
      <c r="A5" s="11" t="inlineStr">
        <is>
          <t>A: BUSINESS PROFILE</t>
        </is>
      </c>
    </row>
    <row r="6" ht="18" customHeight="1" s="8">
      <c r="A6" s="17" t="inlineStr">
        <is>
          <t>Number of Field Technicians</t>
        </is>
      </c>
      <c r="B6" s="18" t="n">
        <v>100</v>
      </c>
      <c r="C6" s="19" t="n">
        <v>50</v>
      </c>
      <c r="D6" s="20" t="n">
        <v>100</v>
      </c>
      <c r="E6" s="21" t="n">
        <v>500</v>
      </c>
      <c r="F6" s="10" t="inlineStr">
        <is>
          <t>Source: User Input</t>
        </is>
      </c>
    </row>
    <row r="7" ht="18" customHeight="1" s="8">
      <c r="A7" s="17" t="inlineStr">
        <is>
          <t>Average Jobs per Tech per Day</t>
        </is>
      </c>
      <c r="B7" s="18" t="n">
        <v>4</v>
      </c>
      <c r="C7" s="19" t="n">
        <v>3</v>
      </c>
      <c r="D7" s="20" t="n">
        <v>4</v>
      </c>
      <c r="E7" s="21" t="n">
        <v>5</v>
      </c>
      <c r="F7" s="10" t="inlineStr">
        <is>
          <t>Industry avg: 3-5</t>
        </is>
      </c>
    </row>
    <row r="8" ht="18" customHeight="1" s="8">
      <c r="A8" s="17" t="inlineStr">
        <is>
          <t>Average Revenue per Job ($)</t>
        </is>
      </c>
      <c r="B8" s="18" t="n">
        <v>350</v>
      </c>
      <c r="C8" s="19" t="n">
        <v>250</v>
      </c>
      <c r="D8" s="20" t="n">
        <v>350</v>
      </c>
      <c r="E8" s="21" t="n">
        <v>500</v>
      </c>
      <c r="F8" s="10" t="inlineStr">
        <is>
          <t>Source: User Input</t>
        </is>
      </c>
    </row>
    <row r="9" ht="18" customHeight="1" s="8">
      <c r="A9" s="17" t="inlineStr">
        <is>
          <t>Working Days per Year</t>
        </is>
      </c>
      <c r="B9" s="18" t="n">
        <v>260</v>
      </c>
      <c r="C9" s="19" t="n">
        <v>260</v>
      </c>
      <c r="D9" s="20" t="n">
        <v>260</v>
      </c>
      <c r="E9" s="21" t="n">
        <v>260</v>
      </c>
      <c r="F9" s="10" t="inlineStr">
        <is>
          <t>Standard 5-day week</t>
        </is>
      </c>
    </row>
    <row r="10" ht="18" customHeight="1" s="8">
      <c r="A10" s="17" t="inlineStr">
        <is>
          <t>Average Hourly Tech Wage ($)</t>
        </is>
      </c>
      <c r="B10" s="18" t="n">
        <v>28</v>
      </c>
      <c r="C10" s="19" t="n">
        <v>24</v>
      </c>
      <c r="D10" s="20" t="n">
        <v>28</v>
      </c>
      <c r="E10" s="21" t="n">
        <v>32</v>
      </c>
      <c r="F10" s="10" t="inlineStr">
        <is>
          <t>BLS Field Service 2024</t>
        </is>
      </c>
    </row>
    <row r="11" ht="18" customHeight="1" s="8">
      <c r="A11" s="11" t="inlineStr">
        <is>
          <t>B: FSM UPLIFT (ServiceBridge)</t>
        </is>
      </c>
    </row>
    <row r="12" ht="18" customHeight="1" s="8">
      <c r="A12" s="17" t="inlineStr">
        <is>
          <t>Additional Jobs/Tech/Day (FSM)</t>
        </is>
      </c>
      <c r="B12" s="18" t="n">
        <v>0.5</v>
      </c>
      <c r="C12" s="19" t="n">
        <v>0.3</v>
      </c>
      <c r="D12" s="20" t="n">
        <v>0.5</v>
      </c>
      <c r="E12" s="21" t="n">
        <v>1</v>
      </c>
      <c r="F12" s="10" t="inlineStr">
        <is>
          <t>ServiceBridge benchmark</t>
        </is>
      </c>
    </row>
    <row r="13" ht="18" customHeight="1" s="8">
      <c r="A13" s="17" t="inlineStr">
        <is>
          <t>Admin Time Saved per Tech/Day (hrs)</t>
        </is>
      </c>
      <c r="B13" s="18" t="n">
        <v>1</v>
      </c>
      <c r="C13" s="19" t="n">
        <v>0.5</v>
      </c>
      <c r="D13" s="20" t="n">
        <v>1</v>
      </c>
      <c r="E13" s="21" t="n">
        <v>1.5</v>
      </c>
      <c r="F13" s="10" t="inlineStr">
        <is>
          <t>Industry estimate</t>
        </is>
      </c>
    </row>
    <row r="14" ht="18" customHeight="1" s="8">
      <c r="A14" s="17" t="inlineStr">
        <is>
          <t>Invoice Cycle Reduction (days)</t>
        </is>
      </c>
      <c r="B14" s="18" t="n">
        <v>5</v>
      </c>
      <c r="C14" s="19" t="n">
        <v>3</v>
      </c>
      <c r="D14" s="20" t="n">
        <v>5</v>
      </c>
      <c r="E14" s="21" t="n">
        <v>8</v>
      </c>
      <c r="F14" s="10" t="inlineStr">
        <is>
          <t>SB customer avg</t>
        </is>
      </c>
    </row>
    <row r="15" ht="18" customHeight="1" s="8">
      <c r="A15" s="17" t="inlineStr">
        <is>
          <t>First-Time Fix Rate Improvement (%)</t>
        </is>
      </c>
      <c r="B15" s="18" t="inlineStr">
        <is>
          <t>5%</t>
        </is>
      </c>
      <c r="C15" s="19" t="inlineStr">
        <is>
          <t>3%</t>
        </is>
      </c>
      <c r="D15" s="20" t="inlineStr">
        <is>
          <t>5%</t>
        </is>
      </c>
      <c r="E15" s="21" t="inlineStr">
        <is>
          <t>8%</t>
        </is>
      </c>
      <c r="F15" s="10" t="inlineStr">
        <is>
          <t>FSM benchmark</t>
        </is>
      </c>
    </row>
    <row r="16" ht="18" customHeight="1" s="8">
      <c r="A16" s="11" t="inlineStr">
        <is>
          <t>C: TELEMATICS UPLIFT (GPS Insight)</t>
        </is>
      </c>
    </row>
    <row r="17" ht="18" customHeight="1" s="8">
      <c r="A17" s="17" t="inlineStr">
        <is>
          <t>Fuel Savings per Vehicle/Year ($)</t>
        </is>
      </c>
      <c r="B17" s="18" t="n">
        <v>1800</v>
      </c>
      <c r="C17" s="19" t="n">
        <v>1200</v>
      </c>
      <c r="D17" s="20" t="n">
        <v>1800</v>
      </c>
      <c r="E17" s="21" t="n">
        <v>2800</v>
      </c>
      <c r="F17" s="10" t="inlineStr">
        <is>
          <t>GPS Insight data</t>
        </is>
      </c>
    </row>
    <row r="18" ht="18" customHeight="1" s="8">
      <c r="A18" s="17" t="inlineStr">
        <is>
          <t>Labor Recovered per Tech/Day (hrs)</t>
        </is>
      </c>
      <c r="B18" s="18" t="n">
        <v>0.5</v>
      </c>
      <c r="C18" s="19" t="n">
        <v>0.3</v>
      </c>
      <c r="D18" s="20" t="n">
        <v>0.5</v>
      </c>
      <c r="E18" s="21" t="n">
        <v>0.75</v>
      </c>
      <c r="F18" s="10" t="inlineStr">
        <is>
          <t>Routing optimization</t>
        </is>
      </c>
    </row>
    <row r="19" ht="18" customHeight="1" s="8">
      <c r="A19" s="17" t="inlineStr">
        <is>
          <t>Insurance Premium Reduction (%)</t>
        </is>
      </c>
      <c r="B19" s="18" t="inlineStr">
        <is>
          <t>8%</t>
        </is>
      </c>
      <c r="C19" s="19" t="inlineStr">
        <is>
          <t>5%</t>
        </is>
      </c>
      <c r="D19" s="20" t="inlineStr">
        <is>
          <t>8%</t>
        </is>
      </c>
      <c r="E19" s="21" t="inlineStr">
        <is>
          <t>12%</t>
        </is>
      </c>
      <c r="F19" s="10" t="inlineStr">
        <is>
          <t>Insurer avg w/ telematics</t>
        </is>
      </c>
    </row>
    <row r="20" ht="18" customHeight="1" s="8">
      <c r="A20" s="17" t="inlineStr">
        <is>
          <t>Annual Insurance Cost per Vehicle ($)</t>
        </is>
      </c>
      <c r="B20" s="18" t="n">
        <v>3200</v>
      </c>
      <c r="C20" s="19" t="n">
        <v>2800</v>
      </c>
      <c r="D20" s="20" t="n">
        <v>3200</v>
      </c>
      <c r="E20" s="21" t="n">
        <v>4000</v>
      </c>
      <c r="F20" s="10" t="inlineStr">
        <is>
          <t>Source: User Input</t>
        </is>
      </c>
    </row>
    <row r="22" ht="19.5" customHeight="1" s="8">
      <c r="A22" s="9" t="inlineStr">
        <is>
          <t>D: CALCULATED ANNUAL IMPACT</t>
        </is>
      </c>
    </row>
    <row r="23" ht="18" customHeight="1" s="8">
      <c r="A23" s="22" t="inlineStr">
        <is>
          <t>Incremental Revenue (FSM — Additional Jobs)</t>
        </is>
      </c>
      <c r="B23" s="23">
        <f>B6*B12*B8*B9</f>
        <v/>
      </c>
      <c r="C23" s="23">
        <f>C6*C12*C8*C9</f>
        <v/>
      </c>
      <c r="D23" s="23">
        <f>D6*D12*D8*D9</f>
        <v/>
      </c>
      <c r="E23" s="23">
        <f>E6*E12*E8*E9</f>
        <v/>
      </c>
    </row>
    <row r="24" ht="18" customHeight="1" s="8">
      <c r="A24" s="22" t="inlineStr">
        <is>
          <t>Admin Labor Savings ($)</t>
        </is>
      </c>
      <c r="B24" s="23">
        <f>B6*B13*B10*B9</f>
        <v/>
      </c>
      <c r="C24" s="23">
        <f>C6*C13*C10*C9</f>
        <v/>
      </c>
      <c r="D24" s="23">
        <f>D6*D13*D10*D9</f>
        <v/>
      </c>
      <c r="E24" s="23">
        <f>E6*E13*E10*E9</f>
        <v/>
      </c>
    </row>
    <row r="25" ht="18" customHeight="1" s="8">
      <c r="A25" s="22" t="inlineStr">
        <is>
          <t>Fuel Savings ($)</t>
        </is>
      </c>
      <c r="B25" s="23">
        <f>B6*B17</f>
        <v/>
      </c>
      <c r="C25" s="23">
        <f>C6*C17</f>
        <v/>
      </c>
      <c r="D25" s="23">
        <f>D6*D17</f>
        <v/>
      </c>
      <c r="E25" s="23">
        <f>E6*E17</f>
        <v/>
      </c>
    </row>
    <row r="26" ht="18" customHeight="1" s="8">
      <c r="A26" s="22" t="inlineStr">
        <is>
          <t>Telematics Labor Recovery ($)</t>
        </is>
      </c>
      <c r="B26" s="23">
        <f>B6*B18*B10*B9</f>
        <v/>
      </c>
      <c r="C26" s="23">
        <f>C6*C18*C10*C9</f>
        <v/>
      </c>
      <c r="D26" s="23">
        <f>D6*D18*D10*D9</f>
        <v/>
      </c>
      <c r="E26" s="23">
        <f>E6*E18*E10*E9</f>
        <v/>
      </c>
    </row>
    <row r="27" ht="18" customHeight="1" s="8">
      <c r="A27" s="22" t="inlineStr">
        <is>
          <t>Insurance Savings ($)</t>
        </is>
      </c>
      <c r="B27" s="23">
        <f>B6*B20*B19</f>
        <v/>
      </c>
      <c r="C27" s="23">
        <f>C6*C20*C19</f>
        <v/>
      </c>
      <c r="D27" s="23">
        <f>D6*D20*D19</f>
        <v/>
      </c>
      <c r="E27" s="23">
        <f>E6*E20*E19</f>
        <v/>
      </c>
    </row>
    <row r="28" ht="21.75" customHeight="1" s="8">
      <c r="A28" s="24" t="inlineStr">
        <is>
          <t>TOTAL ANNUAL VALUE ($)</t>
        </is>
      </c>
      <c r="B28" s="25">
        <f>SUM(B23:B27)</f>
        <v/>
      </c>
      <c r="C28" s="25">
        <f>SUM(C23:C27)</f>
        <v/>
      </c>
      <c r="D28" s="25">
        <f>SUM(D23:D27)</f>
        <v/>
      </c>
      <c r="E28" s="25">
        <f>SUM(E23:E27)</f>
        <v/>
      </c>
    </row>
    <row r="30" ht="19.5" customHeight="1" s="8">
      <c r="A30" s="7" t="inlineStr">
        <is>
          <t>E: EBITDA &amp; VALUATION IMPACT</t>
        </is>
      </c>
    </row>
    <row r="31" ht="18" customHeight="1" s="8">
      <c r="A31" s="26" t="inlineStr">
        <is>
          <t>EBITDA Margin Assumption (%)</t>
        </is>
      </c>
      <c r="B31" s="21" t="inlineStr">
        <is>
          <t>20%</t>
        </is>
      </c>
      <c r="C31" s="21" t="inlineStr">
        <is>
          <t>18%</t>
        </is>
      </c>
      <c r="D31" s="21" t="inlineStr">
        <is>
          <t>20%</t>
        </is>
      </c>
      <c r="E31" s="21" t="inlineStr">
        <is>
          <t>25%</t>
        </is>
      </c>
      <c r="F31" s="10" t="inlineStr">
        <is>
          <t>PE portfolio benchmark</t>
        </is>
      </c>
    </row>
    <row r="32" ht="18" customHeight="1" s="8">
      <c r="A32" s="26" t="inlineStr">
        <is>
          <t>Estimated EBITDA Uplift ($)</t>
        </is>
      </c>
      <c r="B32" s="21" t="n"/>
      <c r="C32" s="21" t="n"/>
      <c r="D32" s="21" t="n"/>
      <c r="E32" s="21" t="n"/>
      <c r="F32" s="10" t="inlineStr">
        <is>
          <t>Margin × Total Value</t>
        </is>
      </c>
    </row>
    <row r="33" ht="18" customHeight="1" s="8">
      <c r="A33" s="26" t="inlineStr">
        <is>
          <t>EV/EBITDA Exit Multiple</t>
        </is>
      </c>
      <c r="B33" s="27" t="inlineStr">
        <is>
          <t>8.0x</t>
        </is>
      </c>
      <c r="C33" s="27" t="inlineStr">
        <is>
          <t>7.0x</t>
        </is>
      </c>
      <c r="D33" s="27" t="inlineStr">
        <is>
          <t>8.0x</t>
        </is>
      </c>
      <c r="E33" s="27" t="inlineStr">
        <is>
          <t>10.0x</t>
        </is>
      </c>
      <c r="F33" s="10" t="inlineStr">
        <is>
          <t>FSM sector comps</t>
        </is>
      </c>
    </row>
    <row r="35" ht="15" customHeight="1" s="8">
      <c r="A35" s="6" t="inlineStr">
        <is>
          <t>DISCLAIMER</t>
        </is>
      </c>
    </row>
    <row r="36" ht="60" customHeight="1" s="8">
      <c r="A36" s="5" t="inlineStr">
        <is>
          <t>The Insight Engine is a predictive modeling tool designed to illustrate potential financial outcomes based on user-provided inputs and published industry benchmarks. All projections — including revenue uplift, cost reduction, EBITDA impact, and valuation estimates — are estimates only. Actual results will vary based on operational conditions, market dynamics, franchise network size, implementation quality, and other factors beyond the control of GPS Insight or ServiceBridge. This tool does not constitute financial, investment, legal, or business advice and should not be relied upon as the sole basis for any business decision. GPS Insight makes no representations or warranties regarding the accuracy or completeness of any projections generated. Users are encouraged to validate outputs against their own financial data and consult qualified financial or operational advisors before making strategic decisions.</t>
        </is>
      </c>
    </row>
  </sheetData>
  <mergeCells count="32">
    <mergeCell ref="F20:H20"/>
    <mergeCell ref="A30:H30"/>
    <mergeCell ref="F18:H18"/>
    <mergeCell ref="F33:H33"/>
    <mergeCell ref="F32:H32"/>
    <mergeCell ref="F8:H8"/>
    <mergeCell ref="F26:H26"/>
    <mergeCell ref="A36:H36"/>
    <mergeCell ref="A11:H11"/>
    <mergeCell ref="F17:H17"/>
    <mergeCell ref="A1:H1"/>
    <mergeCell ref="F23:H23"/>
    <mergeCell ref="F28:H28"/>
    <mergeCell ref="F13:H13"/>
    <mergeCell ref="F31:H31"/>
    <mergeCell ref="F27:H27"/>
    <mergeCell ref="A16:H16"/>
    <mergeCell ref="F9:H9"/>
    <mergeCell ref="F14:H14"/>
    <mergeCell ref="A2:H2"/>
    <mergeCell ref="F4:H4"/>
    <mergeCell ref="A5:H5"/>
    <mergeCell ref="A22:H22"/>
    <mergeCell ref="F25:H25"/>
    <mergeCell ref="F10:H10"/>
    <mergeCell ref="F6:H6"/>
    <mergeCell ref="F19:H19"/>
    <mergeCell ref="A35:H35"/>
    <mergeCell ref="F12:H12"/>
    <mergeCell ref="F7:H7"/>
    <mergeCell ref="F15:H15"/>
    <mergeCell ref="F24:H2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5" customWidth="1" style="8" min="1" max="1"/>
    <col width="22" customWidth="1" style="8" min="2" max="2"/>
    <col width="6" customWidth="1" style="8" min="3" max="3"/>
    <col width="22" customWidth="1" style="8" min="4" max="4"/>
    <col width="8" customWidth="1" style="8" min="5" max="5"/>
    <col width="12" customWidth="1" style="8" min="6" max="6"/>
    <col width="7" customWidth="1" style="8" min="7" max="7"/>
    <col width="22" customWidth="1" style="8" min="8" max="8"/>
    <col width="13" customWidth="1" style="8" min="9" max="9"/>
    <col width="7" customWidth="1" style="8" min="10" max="10"/>
    <col width="50" customWidth="1" style="8" min="11" max="11"/>
  </cols>
  <sheetData>
    <row r="1" ht="32" customHeight="1" s="8">
      <c r="A1" s="179" t="inlineStr">
        <is>
          <t>FRANCHISOR GPO + CONSUMER/COMMERCIAL MAP</t>
        </is>
      </c>
    </row>
    <row r="2" ht="20" customHeight="1" s="8">
      <c r="A2" s="180" t="inlineStr">
        <is>
          <t>Procurement infrastructure (GPO) and revenue mix (Consumer/Commercial) for all 9 priority franchisor targets · Anchored to P1 Priority Map · April 27, 2026</t>
        </is>
      </c>
    </row>
    <row r="3" ht="8" customHeight="1" s="8"/>
    <row r="4" ht="32" customHeight="1" s="8">
      <c r="A4" s="181" t="inlineStr">
        <is>
          <t>#</t>
        </is>
      </c>
      <c r="B4" s="181" t="inlineStr">
        <is>
          <t>Franchisor</t>
        </is>
      </c>
      <c r="C4" s="181" t="inlineStr">
        <is>
          <t>Tier</t>
        </is>
      </c>
      <c r="D4" s="181" t="inlineStr">
        <is>
          <t>PE Backer</t>
        </is>
      </c>
      <c r="E4" s="181" t="inlineStr">
        <is>
          <t>Brands</t>
        </is>
      </c>
      <c r="F4" s="181" t="inlineStr">
        <is>
          <t>Techs</t>
        </is>
      </c>
      <c r="G4" s="181" t="inlineStr">
        <is>
          <t>GPO</t>
        </is>
      </c>
      <c r="H4" s="181" t="inlineStr">
        <is>
          <t>GPO Name</t>
        </is>
      </c>
      <c r="I4" s="181" t="inlineStr">
        <is>
          <t>C/B Dominant</t>
        </is>
      </c>
      <c r="J4" s="181" t="inlineStr">
        <is>
          <t>C/B %</t>
        </is>
      </c>
      <c r="K4" s="181" t="inlineStr">
        <is>
          <t>Notes</t>
        </is>
      </c>
    </row>
    <row r="5" ht="50" customHeight="1" s="8">
      <c r="A5" s="182" t="n">
        <v>1</v>
      </c>
      <c r="B5" s="183" t="inlineStr">
        <is>
          <t>Empower Brands</t>
        </is>
      </c>
      <c r="C5" s="184" t="inlineStr">
        <is>
          <t>P1</t>
        </is>
      </c>
      <c r="D5" s="185" t="inlineStr">
        <is>
          <t>MidOcean Partners</t>
        </is>
      </c>
      <c r="E5" s="186" t="n">
        <v>10</v>
      </c>
      <c r="F5" s="186" t="inlineStr">
        <is>
          <t>5,150</t>
        </is>
      </c>
      <c r="G5" s="187" t="inlineStr">
        <is>
          <t>No</t>
        </is>
      </c>
      <c r="H5" s="185" t="inlineStr">
        <is>
          <t>—</t>
        </is>
      </c>
      <c r="I5" s="188" t="inlineStr">
        <is>
          <t>Commercial</t>
        </is>
      </c>
      <c r="J5" s="188" t="inlineStr">
        <is>
          <t>70%</t>
        </is>
      </c>
      <c r="K5" s="185" t="inlineStr">
        <is>
          <t>JAN-PRO + FRSTeam dominate by tech count. OLB-side residential brands (Bumble/Koala/Wallaby/etc.) are the consumer wedge.</t>
        </is>
      </c>
    </row>
    <row r="6" ht="50" customHeight="1" s="8">
      <c r="A6" s="182" t="n">
        <v>2</v>
      </c>
      <c r="B6" s="183" t="inlineStr">
        <is>
          <t>Neighborly</t>
        </is>
      </c>
      <c r="C6" s="184" t="inlineStr">
        <is>
          <t>P1</t>
        </is>
      </c>
      <c r="D6" s="185" t="inlineStr">
        <is>
          <t>KKR</t>
        </is>
      </c>
      <c r="E6" s="186" t="n">
        <v>19</v>
      </c>
      <c r="F6" s="186" t="inlineStr">
        <is>
          <t>13,259</t>
        </is>
      </c>
      <c r="G6" s="184" t="inlineStr">
        <is>
          <t>Yes</t>
        </is>
      </c>
      <c r="H6" s="185" t="inlineStr">
        <is>
          <t>ProTradeNet</t>
        </is>
      </c>
      <c r="I6" s="189" t="inlineStr">
        <is>
          <t>Consumer</t>
        </is>
      </c>
      <c r="J6" s="189" t="inlineStr">
        <is>
          <t>80%</t>
        </is>
      </c>
      <c r="K6" s="185" t="inlineStr">
        <is>
          <t>ProTradeNet delivered $107M to franchisees in 2023 ($8.7M rebates + $98M savings). Largest tech base in P1 set.</t>
        </is>
      </c>
    </row>
    <row r="7" ht="50" customHeight="1" s="8">
      <c r="A7" s="182" t="n">
        <v>3</v>
      </c>
      <c r="B7" s="183" t="inlineStr">
        <is>
          <t>Authority Brands</t>
        </is>
      </c>
      <c r="C7" s="184" t="inlineStr">
        <is>
          <t>P1</t>
        </is>
      </c>
      <c r="D7" s="185" t="inlineStr">
        <is>
          <t>Apax Partners</t>
        </is>
      </c>
      <c r="E7" s="186" t="n">
        <v>15</v>
      </c>
      <c r="F7" s="186" t="inlineStr">
        <is>
          <t>12,098</t>
        </is>
      </c>
      <c r="G7" s="184" t="inlineStr">
        <is>
          <t>Yes</t>
        </is>
      </c>
      <c r="H7" s="185" t="inlineStr">
        <is>
          <t>BuyMax</t>
        </is>
      </c>
      <c r="I7" s="189" t="inlineStr">
        <is>
          <t>Consumer</t>
        </is>
      </c>
      <c r="J7" s="189" t="inlineStr">
        <is>
          <t>90%</t>
        </is>
      </c>
      <c r="K7" s="185" t="inlineStr">
        <is>
          <t>BuyMax serves all 15 brands. 246 new franchisees in 2025 — fastest-growing portfolio. New CEO Caiafa + CFO Bedi (Aug-Sept 2025).</t>
        </is>
      </c>
    </row>
    <row r="8" ht="50" customHeight="1" s="8">
      <c r="A8" s="182" t="n">
        <v>4</v>
      </c>
      <c r="B8" s="183" t="inlineStr">
        <is>
          <t>Premium Service Brands</t>
        </is>
      </c>
      <c r="C8" s="184" t="inlineStr">
        <is>
          <t>P1</t>
        </is>
      </c>
      <c r="D8" s="185" t="inlineStr">
        <is>
          <t>Susquehanna Private Capital</t>
        </is>
      </c>
      <c r="E8" s="186" t="n">
        <v>9</v>
      </c>
      <c r="F8" s="186" t="inlineStr">
        <is>
          <t>4,300-4,700</t>
        </is>
      </c>
      <c r="G8" s="187" t="inlineStr">
        <is>
          <t>No</t>
        </is>
      </c>
      <c r="H8" s="185" t="inlineStr">
        <is>
          <t>—</t>
        </is>
      </c>
      <c r="I8" s="189" t="inlineStr">
        <is>
          <t>Consumer</t>
        </is>
      </c>
      <c r="J8" s="189" t="inlineStr">
        <is>
          <t>85%</t>
        </is>
      </c>
      <c r="K8" s="185" t="inlineStr">
        <is>
          <t>RooterMan is 70% of network. Parent $5.8M deficit + 15% RooterMan churn = franchisee-level adoption pitch is more realistic.</t>
        </is>
      </c>
    </row>
    <row r="9" ht="50" customHeight="1" s="8">
      <c r="A9" s="182" t="n">
        <v>5</v>
      </c>
      <c r="B9" s="183" t="inlineStr">
        <is>
          <t>ResiBrands</t>
        </is>
      </c>
      <c r="C9" s="184" t="inlineStr">
        <is>
          <t>P1</t>
        </is>
      </c>
      <c r="D9" s="185" t="inlineStr">
        <is>
          <t>Founder + Codie Sanchez</t>
        </is>
      </c>
      <c r="E9" s="186" t="n">
        <v>5</v>
      </c>
      <c r="F9" s="186" t="inlineStr">
        <is>
          <t>2,550</t>
        </is>
      </c>
      <c r="G9" s="187" t="inlineStr">
        <is>
          <t>No</t>
        </is>
      </c>
      <c r="H9" s="185" t="inlineStr">
        <is>
          <t>—</t>
        </is>
      </c>
      <c r="I9" s="189" t="inlineStr">
        <is>
          <t>Consumer</t>
        </is>
      </c>
      <c r="J9" s="189" t="inlineStr">
        <is>
          <t>95%</t>
        </is>
      </c>
      <c r="K9" s="185" t="inlineStr">
        <is>
          <t>Most consumer-focused franchisor in the set. Single decision-maker (Steven Montgomery) — fast yes/no cycle.</t>
        </is>
      </c>
    </row>
    <row r="10" ht="50" customHeight="1" s="8">
      <c r="A10" s="182" t="n">
        <v>6</v>
      </c>
      <c r="B10" s="183" t="inlineStr">
        <is>
          <t>Five Star Franchising</t>
        </is>
      </c>
      <c r="C10" s="184" t="inlineStr">
        <is>
          <t>P1</t>
        </is>
      </c>
      <c r="D10" s="185" t="inlineStr">
        <is>
          <t>Princeton Equity Group</t>
        </is>
      </c>
      <c r="E10" s="186" t="n">
        <v>5</v>
      </c>
      <c r="F10" s="186" t="inlineStr">
        <is>
          <t>2,350</t>
        </is>
      </c>
      <c r="G10" s="184" t="inlineStr">
        <is>
          <t>Yes</t>
        </is>
      </c>
      <c r="H10" s="185" t="inlineStr">
        <is>
          <t>Five Star Buying Group</t>
        </is>
      </c>
      <c r="I10" s="189" t="inlineStr">
        <is>
          <t>Consumer</t>
        </is>
      </c>
      <c r="J10" s="189" t="inlineStr">
        <is>
          <t>85%</t>
        </is>
      </c>
      <c r="K10" s="185" t="inlineStr">
        <is>
          <t>Five Star Buying Group operates as procurement channel. Mosquito Shield (400+ territories) is wedge brand.</t>
        </is>
      </c>
    </row>
    <row r="11" ht="50" customHeight="1" s="8">
      <c r="A11" s="182" t="n">
        <v>7</v>
      </c>
      <c r="B11" s="183" t="inlineStr">
        <is>
          <t>HomeFront Brands</t>
        </is>
      </c>
      <c r="C11" s="184" t="inlineStr">
        <is>
          <t>P1</t>
        </is>
      </c>
      <c r="D11" s="185" t="inlineStr">
        <is>
          <t>Dudan Group (Family Office)</t>
        </is>
      </c>
      <c r="E11" s="186" t="n">
        <v>5</v>
      </c>
      <c r="F11" s="186" t="inlineStr">
        <is>
          <t>2,550</t>
        </is>
      </c>
      <c r="G11" s="184" t="inlineStr">
        <is>
          <t>Yes</t>
        </is>
      </c>
      <c r="H11" s="185" t="inlineStr">
        <is>
          <t>Vendor Advantage Program</t>
        </is>
      </c>
      <c r="I11" s="189" t="inlineStr">
        <is>
          <t>Consumer</t>
        </is>
      </c>
      <c r="J11" s="189" t="inlineStr">
        <is>
          <t>50%</t>
        </is>
      </c>
      <c r="K11" s="185" t="inlineStr">
        <is>
          <t>Vendor Advantage Program. Most balanced C/B mix in P1 set. Founder-operated (Dudan family office) — different exit dynamics.</t>
        </is>
      </c>
    </row>
    <row r="12" ht="50" customHeight="1" s="8">
      <c r="A12" s="182" t="n">
        <v>8</v>
      </c>
      <c r="B12" s="183" t="inlineStr">
        <is>
          <t>BELFOR Franchise Group</t>
        </is>
      </c>
      <c r="C12" s="190" t="inlineStr">
        <is>
          <t>P2</t>
        </is>
      </c>
      <c r="D12" s="185" t="inlineStr">
        <is>
          <t>American Securities</t>
        </is>
      </c>
      <c r="E12" s="186" t="n">
        <v>15</v>
      </c>
      <c r="F12" s="186" t="inlineStr">
        <is>
          <t>9,250</t>
        </is>
      </c>
      <c r="G12" s="188" t="inlineStr">
        <is>
          <t>Inf.</t>
        </is>
      </c>
      <c r="H12" s="185" t="inlineStr">
        <is>
          <t>Shared vendor partnerships</t>
        </is>
      </c>
      <c r="I12" s="188" t="inlineStr">
        <is>
          <t>Commercial</t>
        </is>
      </c>
      <c r="J12" s="188" t="inlineStr">
        <is>
          <t>55%</t>
        </is>
      </c>
      <c r="K12" s="185" t="inlineStr">
        <is>
          <t>Restoration is B2B/insurance-driven. Shared vendor partnerships at parent BELFOR level (informal, not formal GPO).</t>
        </is>
      </c>
    </row>
    <row r="13" ht="50" customHeight="1" s="8">
      <c r="A13" s="182" t="n">
        <v>9</v>
      </c>
      <c r="B13" s="183" t="inlineStr">
        <is>
          <t>Threshold Brands</t>
        </is>
      </c>
      <c r="C13" s="190" t="inlineStr">
        <is>
          <t>P2</t>
        </is>
      </c>
      <c r="D13" s="185" t="inlineStr">
        <is>
          <t>The Riverside Company</t>
        </is>
      </c>
      <c r="E13" s="186" t="n">
        <v>10</v>
      </c>
      <c r="F13" s="186" t="inlineStr">
        <is>
          <t>6,250</t>
        </is>
      </c>
      <c r="G13" s="187" t="inlineStr">
        <is>
          <t>No</t>
        </is>
      </c>
      <c r="H13" s="185" t="inlineStr">
        <is>
          <t>—</t>
        </is>
      </c>
      <c r="I13" s="189" t="inlineStr">
        <is>
          <t>Consumer</t>
        </is>
      </c>
      <c r="J13" s="189" t="inlineStr">
        <is>
          <t>75%</t>
        </is>
      </c>
      <c r="K13" s="185" t="inlineStr">
        <is>
          <t>P2 — re-engage on Riverside-specific signal. PE pledged tech investment with zero delivery, exit window approaching.</t>
        </is>
      </c>
    </row>
    <row r="14" ht="36" customHeight="1" s="8">
      <c r="A14" s="191" t="inlineStr"/>
      <c r="B14" s="192" t="inlineStr">
        <is>
          <t>P1 TOTAL — 7 brands</t>
        </is>
      </c>
      <c r="C14" s="191" t="inlineStr"/>
      <c r="D14" s="191" t="inlineStr"/>
      <c r="E14" s="181" t="n">
        <v>68</v>
      </c>
      <c r="F14" s="181" t="inlineStr">
        <is>
          <t>~42,457</t>
        </is>
      </c>
      <c r="G14" s="181" t="inlineStr">
        <is>
          <t>4 of 7</t>
        </is>
      </c>
      <c r="H14" s="191" t="inlineStr"/>
      <c r="I14" s="181" t="inlineStr">
        <is>
          <t>6 of 7</t>
        </is>
      </c>
      <c r="J14" s="181" t="inlineStr">
        <is>
          <t>Consumer-led</t>
        </is>
      </c>
      <c r="K14" s="192" t="inlineStr">
        <is>
          <t>Empower is the only commercial-led — wedge play through OLB-side residential brands</t>
        </is>
      </c>
    </row>
    <row r="16" ht="48" customHeight="1" s="8">
      <c r="A16" s="193" t="inlineStr">
        <is>
          <t>Sources: P1 Priority Map (canonical priority order), Web research (GPO programs, C/B mix derived from brand portfolio analysis). C/B percentages are directional engagement narrative fuel — they do NOT affect the scoring model. Empower's Commercial 70% reflects tech-count weighting (JAN-PRO + FRSTeam dominate); by brand count Empower is ~80% Consumer.</t>
        </is>
      </c>
    </row>
  </sheetData>
  <mergeCells count="3">
    <mergeCell ref="A2:K2"/>
    <mergeCell ref="A16:K16"/>
    <mergeCell ref="A1:K1"/>
  </mergeCells>
  <pageMargins left="0.75" right="0.75" top="1" bottom="1" header="0.5" footer="0.5"/>
</worksheet>
</file>

<file path=xl/worksheets/sheet3.xml><?xml version="1.0" encoding="utf-8"?>
<worksheet xmlns="http://schemas.openxmlformats.org/spreadsheetml/2006/main">
  <sheetPr>
    <tabColor rgb="FF1A2B3C"/>
    <outlinePr summaryBelow="1" summaryRight="1"/>
    <pageSetUpPr/>
  </sheetPr>
  <dimension ref="A1:F69"/>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BELFOR</t>
        </is>
      </c>
    </row>
    <row r="2" ht="19.5" customHeight="1" s="8">
      <c r="A2" s="3" t="inlineStr">
        <is>
          <t>PE: American Securities  ·  15 brands · 9,250 techs · Restoration / Emergency Dispatch  ·  GPO: Inf. (Shared vendor partnerships)  ·  C/B: Commercial 55%  ·  Powered by GPS Insight · ServiceBridge</t>
        </is>
      </c>
    </row>
    <row r="3" ht="24" customHeight="1" s="8">
      <c r="A3" s="2" t="inlineStr">
        <is>
          <t>PE STORY: PE PATH: American Securities → Charles Layne → Accel-KKR warm intro to David Horing (Co-Chair IC)</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9250</v>
      </c>
      <c r="C6" s="32" t="n">
        <v>7500</v>
      </c>
      <c r="D6" s="33" t="n">
        <v>9250</v>
      </c>
      <c r="E6" s="34" t="n">
        <v>9250</v>
      </c>
      <c r="F6" s="35" t="inlineStr">
        <is>
          <t>14-brand network total</t>
        </is>
      </c>
    </row>
    <row r="7" ht="19.5" customHeight="1" s="8">
      <c r="A7" s="30" t="inlineStr">
        <is>
          <t>Average Jobs per Tech per Day</t>
        </is>
      </c>
      <c r="B7" s="31" t="n">
        <v>3</v>
      </c>
      <c r="C7" s="32" t="n">
        <v>2</v>
      </c>
      <c r="D7" s="33" t="n">
        <v>3</v>
      </c>
      <c r="E7" s="34" t="n">
        <v>4</v>
      </c>
      <c r="F7" s="35" t="inlineStr">
        <is>
          <t>Emergency dispatch: 2-4/day</t>
        </is>
      </c>
    </row>
    <row r="8" ht="19.5" customHeight="1" s="8">
      <c r="A8" s="30" t="inlineStr">
        <is>
          <t>Average Revenue per Job ($)</t>
        </is>
      </c>
      <c r="B8" s="31" t="n">
        <v>4500</v>
      </c>
      <c r="C8" s="32" t="n">
        <v>3500</v>
      </c>
      <c r="D8" s="33" t="n">
        <v>4500</v>
      </c>
      <c r="E8" s="34" t="n">
        <v>5500</v>
      </c>
      <c r="F8" s="35" t="inlineStr">
        <is>
          <t>1-800 WD avg invoice $4,500 (FDD 2024)</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28</v>
      </c>
      <c r="C10" s="32" t="n">
        <v>26</v>
      </c>
      <c r="D10" s="33" t="n">
        <v>28</v>
      </c>
      <c r="E10" s="34" t="n">
        <v>32</v>
      </c>
      <c r="F10" s="35" t="inlineStr">
        <is>
          <t>Restoration tech loaded cost</t>
        </is>
      </c>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0.3</v>
      </c>
      <c r="C13" s="32" t="n">
        <v>0.2</v>
      </c>
      <c r="D13" s="33" t="n">
        <v>0.3</v>
      </c>
      <c r="E13" s="34" t="n">
        <v>0.5</v>
      </c>
      <c r="F13" s="35" t="inlineStr">
        <is>
          <t>Conservative for greenfield</t>
        </is>
      </c>
    </row>
    <row r="14" ht="19.5" customHeight="1" s="8">
      <c r="A14" s="30" t="inlineStr">
        <is>
          <t>Admin Time Saved per Tech/Day (hrs)</t>
        </is>
      </c>
      <c r="B14" s="31" t="n">
        <v>1</v>
      </c>
      <c r="C14" s="32" t="n">
        <v>0.5</v>
      </c>
      <c r="D14" s="33" t="n">
        <v>1</v>
      </c>
      <c r="E14" s="34" t="n">
        <v>1.5</v>
      </c>
      <c r="F14" s="35" t="inlineStr">
        <is>
          <t>Paper-heavy restoration workflow</t>
        </is>
      </c>
    </row>
    <row r="15" ht="19.5" customHeight="1" s="8">
      <c r="A15" s="30" t="inlineStr">
        <is>
          <t>Invoice Cycle Reduction (days)</t>
        </is>
      </c>
      <c r="B15" s="31" t="n">
        <v>5</v>
      </c>
      <c r="C15" s="32" t="n">
        <v>3</v>
      </c>
      <c r="D15" s="33" t="n">
        <v>5</v>
      </c>
      <c r="E15" s="34" t="n">
        <v>8</v>
      </c>
      <c r="F15" s="35" t="inlineStr">
        <is>
          <t>Insurance carrier payment lag</t>
        </is>
      </c>
    </row>
    <row r="16" ht="19.5" customHeight="1" s="8">
      <c r="A16" s="30" t="inlineStr">
        <is>
          <t>First-Time Fix Rate Improvement (%)</t>
        </is>
      </c>
      <c r="B16" s="31" t="inlineStr">
        <is>
          <t>5%</t>
        </is>
      </c>
      <c r="C16" s="32" t="inlineStr">
        <is>
          <t>3%</t>
        </is>
      </c>
      <c r="D16" s="33" t="inlineStr">
        <is>
          <t>5%</t>
        </is>
      </c>
      <c r="E16" s="34" t="inlineStr">
        <is>
          <t>8%</t>
        </is>
      </c>
      <c r="F16" s="35" t="n"/>
    </row>
    <row r="17" ht="19.5" customHeight="1" s="8">
      <c r="A17" s="1" t="inlineStr">
        <is>
          <t>C: TELEMATICS UPLIFT (GPS Insight)</t>
        </is>
      </c>
    </row>
    <row r="18" ht="19.5" customHeight="1" s="8">
      <c r="A18" s="30" t="inlineStr">
        <is>
          <t>Fuel Savings per Vehicle/Year ($)</t>
        </is>
      </c>
      <c r="B18" s="31" t="n">
        <v>1800</v>
      </c>
      <c r="C18" s="32" t="n">
        <v>1200</v>
      </c>
      <c r="D18" s="33" t="n">
        <v>1800</v>
      </c>
      <c r="E18" s="34" t="n">
        <v>2800</v>
      </c>
      <c r="F18" s="35" t="inlineStr">
        <is>
          <t>Emergency response = high mileage</t>
        </is>
      </c>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12%</t>
        </is>
      </c>
      <c r="F20" s="35" t="inlineStr">
        <is>
          <t>Fleet insurance via telematics</t>
        </is>
      </c>
    </row>
    <row r="21" ht="19.5" customHeight="1" s="8">
      <c r="A21" s="30" t="inlineStr">
        <is>
          <t>Annual Insurance Cost per Vehicle ($)</t>
        </is>
      </c>
      <c r="B21" s="31" t="n">
        <v>3200</v>
      </c>
      <c r="C21" s="32" t="n">
        <v>2800</v>
      </c>
      <c r="D21" s="33" t="n">
        <v>3200</v>
      </c>
      <c r="E21" s="34" t="n">
        <v>4000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8.0x</t>
        </is>
      </c>
      <c r="C35" s="48" t="inlineStr">
        <is>
          <t>7.0x</t>
        </is>
      </c>
      <c r="D35" s="48" t="inlineStr">
        <is>
          <t>8.0x</t>
        </is>
      </c>
      <c r="E35" s="48" t="inlineStr">
        <is>
          <t>10.0x</t>
        </is>
      </c>
      <c r="F35" s="39" t="inlineStr">
        <is>
          <t>Restoration sector comps</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PE PATH: American Securities → Charles Layne → Accel-KKR warm intro to David Horing (Co-Chair IC)
PRIMARY CONTACT: Rusty Amarante (President BFG)
KEY ANGLE: Insurance carrier dispatch model — ServiceBridge job documentation = defensible claims record
FDD CONFIRMED: 94 franchisees, 157 locations, $480K avg/location (2023 FDD)
3-WAY SCENARIO: 178 locations × $24K EBITDA lift = $4.3M system EBITDA at 8x = $34.4M valuation impact</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BELFOR</t>
        </is>
      </c>
    </row>
    <row r="61" ht="48" customHeight="1" s="8">
      <c r="A61" s="61" t="inlineStr">
        <is>
          <t>Restoration is emergency-dispatched (claim-driven, not schedule-driven) — does 0.3 addtl jobs/tech/day hold when demand is carrier-driven?</t>
        </is>
      </c>
      <c r="B61" s="56" t="inlineStr">
        <is>
          <t>Not Started</t>
        </is>
      </c>
      <c r="C61" s="62" t="n"/>
      <c r="D61" s="63" t="n"/>
      <c r="E61" s="64" t="n"/>
      <c r="F61" s="60" t="inlineStr">
        <is>
          <t>Critical stress test — Base Case $1.09B EBITDA hinges on this assumption</t>
        </is>
      </c>
    </row>
    <row r="62" ht="48" customHeight="1" s="8">
      <c r="A62" s="61" t="inlineStr">
        <is>
          <t>Insurance carrier payment lag — does model correctly account for invoice cycle compression value, or is Incremental Revenue overstated for restoration?</t>
        </is>
      </c>
      <c r="B62" s="56" t="inlineStr">
        <is>
          <t>Not Started</t>
        </is>
      </c>
      <c r="C62" s="62" t="n"/>
      <c r="D62" s="63" t="n"/>
      <c r="E62" s="64" t="n"/>
      <c r="F62" s="60" t="inlineStr">
        <is>
          <t>Validate 5-day cycle reduction against actual BELFOR franchisee DSO data</t>
        </is>
      </c>
    </row>
    <row r="63" ht="48" customHeight="1" s="8">
      <c r="A63" s="61" t="inlineStr">
        <is>
          <t>American Securities exit window — is 8x multiple defensible for restoration franchise sector?</t>
        </is>
      </c>
      <c r="B63" s="56" t="inlineStr">
        <is>
          <t>Not Started</t>
        </is>
      </c>
      <c r="C63" s="62" t="n"/>
      <c r="D63" s="63" t="n"/>
      <c r="E63" s="64" t="n"/>
      <c r="F63" s="60" t="inlineStr">
        <is>
          <t>Check recent restoration PE transactions (ServiceMaster, Restoration Associates)</t>
        </is>
      </c>
    </row>
    <row r="64" ht="48" customHeight="1" s="8">
      <c r="A64" s="61" t="inlineStr">
        <is>
          <t>$4,500/job avg ticket — sourced from 2024 FDD for 1-800 Water Damage only, applies to full 14-brand BELFOR network?</t>
        </is>
      </c>
      <c r="B64" s="56" t="inlineStr">
        <is>
          <t>Not Started</t>
        </is>
      </c>
      <c r="C64" s="62" t="n"/>
      <c r="D64" s="63" t="n"/>
      <c r="E64" s="64" t="n"/>
      <c r="F64" s="60" t="inlineStr">
        <is>
          <t>Brand-level ticket validation needed for non-restoration brands (DUCTZ, Z Plumberz)</t>
        </is>
      </c>
    </row>
    <row r="66" ht="19.5" customHeight="1" s="8">
      <c r="A66" s="152" t="inlineStr">
        <is>
          <t xml:space="preserve">  SIGN-OFF  ·  All Checks Complete Before External Use</t>
        </is>
      </c>
    </row>
    <row r="67" ht="24" customHeight="1" s="8">
      <c r="A67" s="65" t="inlineStr">
        <is>
          <t>Mike Flynt  ·  Velocity GTM Co</t>
        </is>
      </c>
      <c r="B67" s="62" t="n"/>
      <c r="C67" s="66" t="inlineStr">
        <is>
          <t>Mike</t>
        </is>
      </c>
      <c r="D67" s="63" t="n"/>
      <c r="E67" s="64" t="n"/>
      <c r="F67" s="67" t="inlineStr">
        <is>
          <t>Signed off on all checkpoints</t>
        </is>
      </c>
    </row>
    <row r="68" ht="24" customHeight="1" s="8">
      <c r="A68" s="65" t="inlineStr">
        <is>
          <t>Garrett Else  ·  CFO, GPS Insight</t>
        </is>
      </c>
      <c r="B68" s="62" t="n"/>
      <c r="C68" s="66" t="inlineStr">
        <is>
          <t>Garrett</t>
        </is>
      </c>
      <c r="D68" s="63" t="n"/>
      <c r="E68" s="64" t="n"/>
      <c r="F68" s="67" t="inlineStr">
        <is>
          <t>ROI model sign-off on all assumptions</t>
        </is>
      </c>
    </row>
    <row r="69" ht="24" customHeight="1" s="8">
      <c r="A69" s="65" t="inlineStr">
        <is>
          <t>Charles Layne  ·  CEO, GPS Insight</t>
        </is>
      </c>
      <c r="B69" s="62" t="n"/>
      <c r="C69" s="66" t="inlineStr">
        <is>
          <t>Charles</t>
        </is>
      </c>
      <c r="D69" s="63" t="n"/>
      <c r="E69" s="64" t="n"/>
      <c r="F69" s="67" t="inlineStr">
        <is>
          <t>Optional — required for PE-facing external use</t>
        </is>
      </c>
    </row>
  </sheetData>
  <mergeCells count="18">
    <mergeCell ref="A2:F2"/>
    <mergeCell ref="A49:F49"/>
    <mergeCell ref="A42:F42"/>
    <mergeCell ref="A60:F60"/>
    <mergeCell ref="A46:F46"/>
    <mergeCell ref="A66:F66"/>
    <mergeCell ref="A45:F45"/>
    <mergeCell ref="A23:F23"/>
    <mergeCell ref="A1:F1"/>
    <mergeCell ref="A5:F5"/>
    <mergeCell ref="A26:F26"/>
    <mergeCell ref="A40:F40"/>
    <mergeCell ref="A17:F17"/>
    <mergeCell ref="A34:F34"/>
    <mergeCell ref="A12:F12"/>
    <mergeCell ref="A3:F3"/>
    <mergeCell ref="A39:F39"/>
    <mergeCell ref="A43:F43"/>
  </mergeCells>
  <dataValidations count="2">
    <dataValidation sqref="B50:B58 B61:B64 B67:B69" showDropDown="0" showInputMessage="0" showErrorMessage="0" allowBlank="1" errorTitle="Invalid entry" error="Please select from dropdown" type="list">
      <formula1>"Yes,No,Needs Work,Not Started"</formula1>
      <formula2>0</formula2>
    </dataValidation>
    <dataValidation sqref="C50:C58 C61:C64"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1A2B3C"/>
    <outlinePr summaryBelow="1" summaryRight="1"/>
    <pageSetUpPr/>
  </sheetPr>
  <dimension ref="A1:F69"/>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THRESHOLD BRANDS</t>
        </is>
      </c>
    </row>
    <row r="2" ht="19.5" customHeight="1" s="8">
      <c r="A2" s="3" t="inlineStr">
        <is>
          <t>PE: The Riverside Company  ·  10 brands · 6,250 techs · Cleaning / Pest / Paint / Plumbing mix  ·  GPO: No  ·  C/B: Consumer 75%  ·  Powered by GPS Insight · ServiceBridge</t>
        </is>
      </c>
    </row>
    <row r="3" ht="24" customHeight="1" s="8">
      <c r="A3" s="153" t="inlineStr">
        <is>
          <t>⚠️ Verify Hagan Kappler CEO status before any outreach. Backup: Andrea Hohermuth (COO).</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6250</v>
      </c>
      <c r="C6" s="32" t="n">
        <v>5000</v>
      </c>
      <c r="D6" s="33" t="n">
        <v>6250</v>
      </c>
      <c r="E6" s="34" t="n">
        <v>6250</v>
      </c>
      <c r="F6" s="35" t="inlineStr">
        <is>
          <t>10-brand network total</t>
        </is>
      </c>
    </row>
    <row r="7" ht="19.5" customHeight="1" s="8">
      <c r="A7" s="30" t="inlineStr">
        <is>
          <t>Average Jobs per Tech per Day</t>
        </is>
      </c>
      <c r="B7" s="31" t="n">
        <v>4</v>
      </c>
      <c r="C7" s="32" t="n">
        <v>3</v>
      </c>
      <c r="D7" s="33" t="n">
        <v>4</v>
      </c>
      <c r="E7" s="34" t="n">
        <v>5</v>
      </c>
      <c r="F7" s="35" t="inlineStr">
        <is>
          <t>Recurring service model</t>
        </is>
      </c>
    </row>
    <row r="8" ht="19.5" customHeight="1" s="8">
      <c r="A8" s="30" t="inlineStr">
        <is>
          <t>Average Revenue per Job ($)</t>
        </is>
      </c>
      <c r="B8" s="31" t="n">
        <v>250</v>
      </c>
      <c r="C8" s="32" t="n">
        <v>200</v>
      </c>
      <c r="D8" s="33" t="n">
        <v>250</v>
      </c>
      <c r="E8" s="34" t="n">
        <v>350</v>
      </c>
      <c r="F8" s="35" t="inlineStr">
        <is>
          <t>Cleaning/pest average ticket</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26</v>
      </c>
      <c r="C10" s="32" t="n">
        <v>22</v>
      </c>
      <c r="D10" s="33" t="n">
        <v>26</v>
      </c>
      <c r="E10" s="34" t="n">
        <v>30</v>
      </c>
      <c r="F10" s="35" t="inlineStr">
        <is>
          <t>Light trades loaded cost</t>
        </is>
      </c>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0.5</v>
      </c>
      <c r="C13" s="32" t="n">
        <v>0.3</v>
      </c>
      <c r="D13" s="33" t="n">
        <v>0.5</v>
      </c>
      <c r="E13" s="34" t="n">
        <v>0.75</v>
      </c>
      <c r="F13" s="35" t="inlineStr">
        <is>
          <t>Recurring = more jobs/day possible</t>
        </is>
      </c>
    </row>
    <row r="14" ht="19.5" customHeight="1" s="8">
      <c r="A14" s="30" t="inlineStr">
        <is>
          <t>Admin Time Saved per Tech/Day (hrs)</t>
        </is>
      </c>
      <c r="B14" s="31" t="n">
        <v>1</v>
      </c>
      <c r="C14" s="32" t="n">
        <v>0.5</v>
      </c>
      <c r="D14" s="33" t="n">
        <v>1</v>
      </c>
      <c r="E14" s="34" t="n">
        <v>1.5</v>
      </c>
      <c r="F14" s="35" t="inlineStr">
        <is>
          <t>Paper-based scheduling common</t>
        </is>
      </c>
    </row>
    <row r="15" ht="19.5" customHeight="1" s="8">
      <c r="A15" s="30" t="inlineStr">
        <is>
          <t>Invoice Cycle Reduction (days)</t>
        </is>
      </c>
      <c r="B15" s="31" t="n">
        <v>5</v>
      </c>
      <c r="C15" s="32" t="n">
        <v>3</v>
      </c>
      <c r="D15" s="33" t="n">
        <v>5</v>
      </c>
      <c r="E15" s="34" t="n">
        <v>7</v>
      </c>
      <c r="F15" s="35" t="inlineStr">
        <is>
          <t>DSO improvement opportunity</t>
        </is>
      </c>
    </row>
    <row r="16" ht="19.5" customHeight="1" s="8">
      <c r="A16" s="30" t="inlineStr">
        <is>
          <t>First-Time Fix Rate Improvement (%)</t>
        </is>
      </c>
      <c r="B16" s="31" t="inlineStr">
        <is>
          <t>5%</t>
        </is>
      </c>
      <c r="C16" s="32" t="inlineStr">
        <is>
          <t>3%</t>
        </is>
      </c>
      <c r="D16" s="33" t="inlineStr">
        <is>
          <t>5%</t>
        </is>
      </c>
      <c r="E16" s="34" t="inlineStr">
        <is>
          <t>8%</t>
        </is>
      </c>
      <c r="F16" s="35" t="n"/>
    </row>
    <row r="17" ht="19.5" customHeight="1" s="8">
      <c r="A17" s="1" t="inlineStr">
        <is>
          <t>C: TELEMATICS UPLIFT (GPS Insight)</t>
        </is>
      </c>
    </row>
    <row r="18" ht="19.5" customHeight="1" s="8">
      <c r="A18" s="30" t="inlineStr">
        <is>
          <t>Fuel Savings per Vehicle/Year ($)</t>
        </is>
      </c>
      <c r="B18" s="31" t="n">
        <v>1500</v>
      </c>
      <c r="C18" s="32" t="n">
        <v>1000</v>
      </c>
      <c r="D18" s="33" t="n">
        <v>1500</v>
      </c>
      <c r="E18" s="34" t="n">
        <v>2400</v>
      </c>
      <c r="F18" s="35" t="n"/>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12%</t>
        </is>
      </c>
      <c r="F20" s="35" t="n"/>
    </row>
    <row r="21" ht="19.5" customHeight="1" s="8">
      <c r="A21" s="30" t="inlineStr">
        <is>
          <t>Annual Insurance Cost per Vehicle ($)</t>
        </is>
      </c>
      <c r="B21" s="31" t="n">
        <v>2800</v>
      </c>
      <c r="C21" s="32" t="n">
        <v>2400</v>
      </c>
      <c r="D21" s="33" t="n">
        <v>2800</v>
      </c>
      <c r="E21" s="34" t="n">
        <v>3500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8.0x</t>
        </is>
      </c>
      <c r="C35" s="48" t="inlineStr">
        <is>
          <t>7.0x</t>
        </is>
      </c>
      <c r="D35" s="48" t="inlineStr">
        <is>
          <t>8.0x</t>
        </is>
      </c>
      <c r="E35" s="48" t="inlineStr">
        <is>
          <t>10.0x</t>
        </is>
      </c>
      <c r="F35" s="39" t="inlineStr">
        <is>
          <t>Consumer services sector</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PE PATH: Riverside Company → Loren Schlachet (MP) via Charles
PRIMARY CONTACT: ⚠️ VERIFY Hagan Kappler CEO status first. If unconfirmed: Andrea Hohermuth (COO)
KEY ANGLE: Unfulfilled tech promise to franchisees = ServiceBridge delivers what Threshold promised
BRAND WEDGES: MaidPro (448 locations largest), Heating + Air Paramedics (HVAC), USA Insulation
FDD: State registry pull needed for Items 8, 11, 19 unit economics</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THRESHOLD</t>
        </is>
      </c>
    </row>
    <row r="61" ht="48" customHeight="1" s="8">
      <c r="A61" s="61" t="inlineStr">
        <is>
          <t>Hagan Kappler CEO status unverified as of Apr 17, 2026 — does the model assume access to the right decision-maker?</t>
        </is>
      </c>
      <c r="B61" s="56" t="inlineStr">
        <is>
          <t>Not Started</t>
        </is>
      </c>
      <c r="C61" s="62" t="n"/>
      <c r="D61" s="63" t="n"/>
      <c r="E61" s="64" t="n"/>
      <c r="F61" s="60" t="inlineStr">
        <is>
          <t>Must verify via LinkedIn/LinkedIn Sales Nav before outreach</t>
        </is>
      </c>
    </row>
    <row r="62" ht="48" customHeight="1" s="8">
      <c r="A62" s="61" t="inlineStr">
        <is>
          <t>MaidPro proprietary scheduling system status post-Threshold acquisition — conflict risk with ServiceBridge FSM?</t>
        </is>
      </c>
      <c r="B62" s="56" t="inlineStr">
        <is>
          <t>Not Started</t>
        </is>
      </c>
      <c r="C62" s="62" t="n"/>
      <c r="D62" s="63" t="n"/>
      <c r="E62" s="64" t="n"/>
      <c r="F62" s="60" t="inlineStr">
        <is>
          <t>Pull MaidPro FDD Item 11 to confirm current tech stack</t>
        </is>
      </c>
    </row>
    <row r="63" ht="48" customHeight="1" s="8">
      <c r="A63" s="61" t="inlineStr">
        <is>
          <t>Riverside exit window — Threshold Brands investment year? Year 4-5 = imminent exit thesis valid?</t>
        </is>
      </c>
      <c r="B63" s="56" t="inlineStr">
        <is>
          <t>Not Started</t>
        </is>
      </c>
      <c r="C63" s="62" t="n"/>
      <c r="D63" s="63" t="n"/>
      <c r="E63" s="64" t="n"/>
      <c r="F63" s="60" t="inlineStr">
        <is>
          <t>Research Riverside acquisition date to confirm Year 5 timing</t>
        </is>
      </c>
    </row>
    <row r="64" ht="48" customHeight="1" s="8">
      <c r="A64" s="61" t="inlineStr">
        <is>
          <t>'Unfulfilled tech promise' narrative — validated with actual franchisee complaints/reviews?</t>
        </is>
      </c>
      <c r="B64" s="56" t="inlineStr">
        <is>
          <t>Not Started</t>
        </is>
      </c>
      <c r="C64" s="62" t="n"/>
      <c r="D64" s="63" t="n"/>
      <c r="E64" s="64" t="n"/>
      <c r="F64" s="60" t="inlineStr">
        <is>
          <t>Scan Glassdoor/Franchise Research Institute for franchisee satisfaction data</t>
        </is>
      </c>
    </row>
    <row r="66" ht="19.5" customHeight="1" s="8">
      <c r="A66" s="152" t="inlineStr">
        <is>
          <t xml:space="preserve">  SIGN-OFF  ·  All Checks Complete Before External Use</t>
        </is>
      </c>
    </row>
    <row r="67" ht="24" customHeight="1" s="8">
      <c r="A67" s="65" t="inlineStr">
        <is>
          <t>Mike Flynt  ·  Velocity GTM Co</t>
        </is>
      </c>
      <c r="B67" s="62" t="n"/>
      <c r="C67" s="66" t="inlineStr">
        <is>
          <t>Mike</t>
        </is>
      </c>
      <c r="D67" s="63" t="n"/>
      <c r="E67" s="64" t="n"/>
      <c r="F67" s="67" t="inlineStr">
        <is>
          <t>Signed off on all checkpoints</t>
        </is>
      </c>
    </row>
    <row r="68" ht="24" customHeight="1" s="8">
      <c r="A68" s="65" t="inlineStr">
        <is>
          <t>Garrett Else  ·  CFO, GPS Insight</t>
        </is>
      </c>
      <c r="B68" s="62" t="n"/>
      <c r="C68" s="66" t="inlineStr">
        <is>
          <t>Garrett</t>
        </is>
      </c>
      <c r="D68" s="63" t="n"/>
      <c r="E68" s="64" t="n"/>
      <c r="F68" s="67" t="inlineStr">
        <is>
          <t>ROI model sign-off on all assumptions</t>
        </is>
      </c>
    </row>
    <row r="69" ht="24" customHeight="1" s="8">
      <c r="A69" s="65" t="inlineStr">
        <is>
          <t>Charles Layne  ·  CEO, GPS Insight</t>
        </is>
      </c>
      <c r="B69" s="62" t="n"/>
      <c r="C69" s="66" t="inlineStr">
        <is>
          <t>Charles</t>
        </is>
      </c>
      <c r="D69" s="63" t="n"/>
      <c r="E69" s="64" t="n"/>
      <c r="F69" s="67" t="inlineStr">
        <is>
          <t>Optional — required for PE-facing external use</t>
        </is>
      </c>
    </row>
  </sheetData>
  <mergeCells count="18">
    <mergeCell ref="A2:F2"/>
    <mergeCell ref="A49:F49"/>
    <mergeCell ref="A42:F42"/>
    <mergeCell ref="A60:F60"/>
    <mergeCell ref="A46:F46"/>
    <mergeCell ref="A66:F66"/>
    <mergeCell ref="A45:F45"/>
    <mergeCell ref="A23:F23"/>
    <mergeCell ref="A1:F1"/>
    <mergeCell ref="A5:F5"/>
    <mergeCell ref="A26:F26"/>
    <mergeCell ref="A40:F40"/>
    <mergeCell ref="A17:F17"/>
    <mergeCell ref="A34:F34"/>
    <mergeCell ref="A12:F12"/>
    <mergeCell ref="A3:F3"/>
    <mergeCell ref="A39:F39"/>
    <mergeCell ref="A43:F43"/>
  </mergeCells>
  <dataValidations count="2">
    <dataValidation sqref="B50:B58 B61:B64 B67:B69" showDropDown="0" showInputMessage="0" showErrorMessage="0" allowBlank="1" errorTitle="Invalid entry" error="Please select from dropdown" type="list">
      <formula1>"Yes,No,Needs Work,Not Started"</formula1>
      <formula2>0</formula2>
    </dataValidation>
    <dataValidation sqref="C50:C58 C61:C64"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1A2B3C"/>
    <outlinePr summaryBelow="1" summaryRight="1"/>
    <pageSetUpPr/>
  </sheetPr>
  <dimension ref="A1:F69"/>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EMPOWER BRANDS</t>
        </is>
      </c>
    </row>
    <row r="2" ht="19.5" customHeight="1" s="8">
      <c r="A2" s="3" t="inlineStr">
        <is>
          <t>PE: MidOcean Partners  ·  10 brands · 5,150 techs · Outdoor Services + Commercial Cleaning  ·  GPO: No  ·  C/B: Commercial 70%  ·  Powered by GPS Insight · ServiceBridge</t>
        </is>
      </c>
    </row>
    <row r="3" ht="24" customHeight="1" s="8">
      <c r="A3" s="153" t="inlineStr">
        <is>
          <t>⚠️ JAN-PRO has proprietary FSM conflict. Model above excludes JAN-PRO — approach 9 greenfield brands only via Scott Zide.</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3500</v>
      </c>
      <c r="C6" s="32" t="n">
        <v>2800</v>
      </c>
      <c r="D6" s="33" t="n">
        <v>3500</v>
      </c>
      <c r="E6" s="34" t="n">
        <v>5150</v>
      </c>
      <c r="F6" s="35" t="inlineStr">
        <is>
          <t>9 greenfield brands (excl. JAN-PRO)</t>
        </is>
      </c>
    </row>
    <row r="7" ht="19.5" customHeight="1" s="8">
      <c r="A7" s="30" t="inlineStr">
        <is>
          <t>Average Jobs per Tech per Day</t>
        </is>
      </c>
      <c r="B7" s="31" t="n">
        <v>3.5</v>
      </c>
      <c r="C7" s="32" t="n">
        <v>3</v>
      </c>
      <c r="D7" s="33" t="n">
        <v>3.5</v>
      </c>
      <c r="E7" s="34" t="n">
        <v>4.5</v>
      </c>
      <c r="F7" s="35" t="inlineStr">
        <is>
          <t>Outdoor/home service mix</t>
        </is>
      </c>
    </row>
    <row r="8" ht="19.5" customHeight="1" s="8">
      <c r="A8" s="30" t="inlineStr">
        <is>
          <t>Average Revenue per Job ($)</t>
        </is>
      </c>
      <c r="B8" s="31" t="n">
        <v>350</v>
      </c>
      <c r="C8" s="32" t="n">
        <v>300</v>
      </c>
      <c r="D8" s="33" t="n">
        <v>350</v>
      </c>
      <c r="E8" s="34" t="n">
        <v>500</v>
      </c>
      <c r="F8" s="35" t="inlineStr">
        <is>
          <t>Bumble Roofing / Archadeck / etc.</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28</v>
      </c>
      <c r="C10" s="32" t="n">
        <v>24</v>
      </c>
      <c r="D10" s="33" t="n">
        <v>28</v>
      </c>
      <c r="E10" s="34" t="n">
        <v>32</v>
      </c>
      <c r="F10" s="35" t="n"/>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0.5</v>
      </c>
      <c r="C13" s="32" t="n">
        <v>0.3</v>
      </c>
      <c r="D13" s="33" t="n">
        <v>0.5</v>
      </c>
      <c r="E13" s="34" t="n">
        <v>0.75</v>
      </c>
      <c r="F13" s="35" t="inlineStr">
        <is>
          <t>Greenfield = high upside</t>
        </is>
      </c>
    </row>
    <row r="14" ht="19.5" customHeight="1" s="8">
      <c r="A14" s="30" t="inlineStr">
        <is>
          <t>Admin Time Saved per Tech/Day (hrs)</t>
        </is>
      </c>
      <c r="B14" s="31" t="n">
        <v>1</v>
      </c>
      <c r="C14" s="32" t="n">
        <v>0.5</v>
      </c>
      <c r="D14" s="33" t="n">
        <v>1</v>
      </c>
      <c r="E14" s="34" t="n">
        <v>1.5</v>
      </c>
      <c r="F14" s="35" t="n"/>
    </row>
    <row r="15" ht="19.5" customHeight="1" s="8">
      <c r="A15" s="30" t="inlineStr">
        <is>
          <t>Invoice Cycle Reduction (days)</t>
        </is>
      </c>
      <c r="B15" s="31" t="n">
        <v>5</v>
      </c>
      <c r="C15" s="32" t="n">
        <v>3</v>
      </c>
      <c r="D15" s="33" t="n">
        <v>5</v>
      </c>
      <c r="E15" s="34" t="n">
        <v>8</v>
      </c>
      <c r="F15" s="35" t="n"/>
    </row>
    <row r="16" ht="19.5" customHeight="1" s="8">
      <c r="A16" s="30" t="inlineStr">
        <is>
          <t>First-Time Fix Rate Improvement (%)</t>
        </is>
      </c>
      <c r="B16" s="31" t="inlineStr">
        <is>
          <t>5%</t>
        </is>
      </c>
      <c r="C16" s="32" t="inlineStr">
        <is>
          <t>3%</t>
        </is>
      </c>
      <c r="D16" s="33" t="inlineStr">
        <is>
          <t>5%</t>
        </is>
      </c>
      <c r="E16" s="34" t="inlineStr">
        <is>
          <t>8%</t>
        </is>
      </c>
      <c r="F16" s="35" t="n"/>
    </row>
    <row r="17" ht="19.5" customHeight="1" s="8">
      <c r="A17" s="1" t="inlineStr">
        <is>
          <t>C: TELEMATICS UPLIFT (GPS Insight)</t>
        </is>
      </c>
    </row>
    <row r="18" ht="19.5" customHeight="1" s="8">
      <c r="A18" s="30" t="inlineStr">
        <is>
          <t>Fuel Savings per Vehicle/Year ($)</t>
        </is>
      </c>
      <c r="B18" s="31" t="n">
        <v>1800</v>
      </c>
      <c r="C18" s="32" t="n">
        <v>1200</v>
      </c>
      <c r="D18" s="33" t="n">
        <v>1800</v>
      </c>
      <c r="E18" s="34" t="n">
        <v>2600</v>
      </c>
      <c r="F18" s="35" t="n"/>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12%</t>
        </is>
      </c>
      <c r="F20" s="35" t="n"/>
    </row>
    <row r="21" ht="19.5" customHeight="1" s="8">
      <c r="A21" s="30" t="inlineStr">
        <is>
          <t>Annual Insurance Cost per Vehicle ($)</t>
        </is>
      </c>
      <c r="B21" s="31" t="n">
        <v>3200</v>
      </c>
      <c r="C21" s="32" t="n">
        <v>2800</v>
      </c>
      <c r="D21" s="33" t="n">
        <v>3200</v>
      </c>
      <c r="E21" s="34" t="n">
        <v>4000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8.0x</t>
        </is>
      </c>
      <c r="C35" s="48" t="inlineStr">
        <is>
          <t>7.0x</t>
        </is>
      </c>
      <c r="D35" s="48" t="inlineStr">
        <is>
          <t>8.0x</t>
        </is>
      </c>
      <c r="E35" s="48" t="inlineStr">
        <is>
          <t>10.0x</t>
        </is>
      </c>
      <c r="F35" s="39" t="inlineStr">
        <is>
          <t>FSM sector comps</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PE PATH: MidOcean Partners → Eric Roth (Partner, covers Empower) via Charles
PRIMARY CONTACT: Scott Zide (CEO Empower Brands), Michael Borreca (CFO)
BRAND WEDGE: Bumble Roofing (fastest growing 2025), Canopy Lawn Care, Koala Insulation
⚠️ EXCLUDE JAN-PRO from model — proprietary FSM with $60/mo tech fee already in FDD
JAN-PRO SEPARATE PLAY: If ServiceBridge can replace proprietary platform = $8.1M/yr system cost elimination</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EMPOWER</t>
        </is>
      </c>
    </row>
    <row r="61" ht="48" customHeight="1" s="8">
      <c r="A61" s="61" t="inlineStr">
        <is>
          <t>JAN-PRO excluded from model — have we validated the 9 remaining brands actually total ~3,500 techs?</t>
        </is>
      </c>
      <c r="B61" s="56" t="inlineStr">
        <is>
          <t>Not Started</t>
        </is>
      </c>
      <c r="C61" s="62" t="n"/>
      <c r="D61" s="63" t="n"/>
      <c r="E61" s="64" t="n"/>
      <c r="F61" s="60" t="inlineStr">
        <is>
          <t>Ask Andrea for GPS Insight telematics coverage across non-JAN-PRO Empower brands</t>
        </is>
      </c>
    </row>
    <row r="62" ht="48" customHeight="1" s="8">
      <c r="A62" s="61" t="inlineStr">
        <is>
          <t>FieldRoutes (ServiceTitan subsidiary) in use on Canopy Lawn Care? Route-based lawn care is FieldRoutes' target segment.</t>
        </is>
      </c>
      <c r="B62" s="56" t="inlineStr">
        <is>
          <t>Not Started</t>
        </is>
      </c>
      <c r="C62" s="62" t="n"/>
      <c r="D62" s="63" t="n"/>
      <c r="E62" s="64" t="n"/>
      <c r="F62" s="60" t="inlineStr">
        <is>
          <t>Pull Canopy Lawn Care FDD Item 11 before approach</t>
        </is>
      </c>
    </row>
    <row r="63" ht="48" customHeight="1" s="8">
      <c r="A63" s="61" t="inlineStr">
        <is>
          <t>Bumble Roofing = fastest growing 2025 — is tech count 100 locations accurate, or growing faster than model reflects?</t>
        </is>
      </c>
      <c r="B63" s="56" t="inlineStr">
        <is>
          <t>Not Started</t>
        </is>
      </c>
      <c r="C63" s="62" t="n"/>
      <c r="D63" s="63" t="n"/>
      <c r="E63" s="64" t="n"/>
      <c r="F63" s="60" t="inlineStr">
        <is>
          <t>Check Bumble Roofing 2025 annual report or press for updated count</t>
        </is>
      </c>
    </row>
    <row r="64" ht="48" customHeight="1" s="8">
      <c r="A64" s="61" t="inlineStr">
        <is>
          <t>MidOcean invested Dec 2020 — is 5-year exit window framing accurate for Scott Zide conversation?</t>
        </is>
      </c>
      <c r="B64" s="56" t="inlineStr">
        <is>
          <t>Not Started</t>
        </is>
      </c>
      <c r="C64" s="62" t="n"/>
      <c r="D64" s="63" t="n"/>
      <c r="E64" s="64" t="n"/>
      <c r="F64" s="60" t="inlineStr">
        <is>
          <t>Verify MidOcean typical hold period for Empower Brands</t>
        </is>
      </c>
    </row>
    <row r="66" ht="19.5" customHeight="1" s="8">
      <c r="A66" s="152" t="inlineStr">
        <is>
          <t xml:space="preserve">  SIGN-OFF  ·  All Checks Complete Before External Use</t>
        </is>
      </c>
    </row>
    <row r="67" ht="24" customHeight="1" s="8">
      <c r="A67" s="65" t="inlineStr">
        <is>
          <t>Mike Flynt  ·  Velocity GTM Co</t>
        </is>
      </c>
      <c r="B67" s="62" t="n"/>
      <c r="C67" s="66" t="inlineStr">
        <is>
          <t>Mike</t>
        </is>
      </c>
      <c r="D67" s="63" t="n"/>
      <c r="E67" s="64" t="n"/>
      <c r="F67" s="67" t="inlineStr">
        <is>
          <t>Signed off on all checkpoints</t>
        </is>
      </c>
    </row>
    <row r="68" ht="24" customHeight="1" s="8">
      <c r="A68" s="65" t="inlineStr">
        <is>
          <t>Garrett Else  ·  CFO, GPS Insight</t>
        </is>
      </c>
      <c r="B68" s="62" t="n"/>
      <c r="C68" s="66" t="inlineStr">
        <is>
          <t>Garrett</t>
        </is>
      </c>
      <c r="D68" s="63" t="n"/>
      <c r="E68" s="64" t="n"/>
      <c r="F68" s="67" t="inlineStr">
        <is>
          <t>ROI model sign-off on all assumptions</t>
        </is>
      </c>
    </row>
    <row r="69" ht="24" customHeight="1" s="8">
      <c r="A69" s="65" t="inlineStr">
        <is>
          <t>Charles Layne  ·  CEO, GPS Insight</t>
        </is>
      </c>
      <c r="B69" s="62" t="n"/>
      <c r="C69" s="66" t="inlineStr">
        <is>
          <t>Charles</t>
        </is>
      </c>
      <c r="D69" s="63" t="n"/>
      <c r="E69" s="64" t="n"/>
      <c r="F69" s="67" t="inlineStr">
        <is>
          <t>Optional — required for PE-facing external use</t>
        </is>
      </c>
    </row>
  </sheetData>
  <mergeCells count="18">
    <mergeCell ref="A2:F2"/>
    <mergeCell ref="A49:F49"/>
    <mergeCell ref="A42:F42"/>
    <mergeCell ref="A60:F60"/>
    <mergeCell ref="A46:F46"/>
    <mergeCell ref="A66:F66"/>
    <mergeCell ref="A45:F45"/>
    <mergeCell ref="A23:F23"/>
    <mergeCell ref="A1:F1"/>
    <mergeCell ref="A5:F5"/>
    <mergeCell ref="A26:F26"/>
    <mergeCell ref="A40:F40"/>
    <mergeCell ref="A17:F17"/>
    <mergeCell ref="A34:F34"/>
    <mergeCell ref="A12:F12"/>
    <mergeCell ref="A3:F3"/>
    <mergeCell ref="A39:F39"/>
    <mergeCell ref="A43:F43"/>
  </mergeCells>
  <dataValidations count="2">
    <dataValidation sqref="B50:B58 B61:B64 B67:B69" showDropDown="0" showInputMessage="0" showErrorMessage="0" allowBlank="1" errorTitle="Invalid entry" error="Please select from dropdown" type="list">
      <formula1>"Yes,No,Needs Work,Not Started"</formula1>
      <formula2>0</formula2>
    </dataValidation>
    <dataValidation sqref="C50:C58 C61:C64"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A2B3C"/>
    <outlinePr summaryBelow="1" summaryRight="1"/>
    <pageSetUpPr/>
  </sheetPr>
  <dimension ref="A1:F69"/>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PREMIUM SERVICE BRANDS</t>
        </is>
      </c>
    </row>
    <row r="2" ht="19.5" customHeight="1" s="8">
      <c r="A2" s="3" t="inlineStr">
        <is>
          <t>PE: Susquehanna Private Capital  ·  9 brands · 4,300-4,700 techs · Painting / Plumbing / Cleaning / Garage  ·  GPO: No  ·  C/B: Consumer 85%  ·  Powered by GPS Insight · ServiceBridge</t>
        </is>
      </c>
    </row>
    <row r="3" ht="24" customHeight="1" s="8">
      <c r="A3" s="2" t="inlineStr">
        <is>
          <t>PE STORY: PE PATH: Susquehanna Private Capital → Kyle Squillario (Co-Head) via Charles</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4950</v>
      </c>
      <c r="C6" s="32" t="n">
        <v>4000</v>
      </c>
      <c r="D6" s="33" t="n">
        <v>4950</v>
      </c>
      <c r="E6" s="34" t="n">
        <v>4950</v>
      </c>
      <c r="F6" s="35" t="inlineStr">
        <is>
          <t>8-brand network total</t>
        </is>
      </c>
    </row>
    <row r="7" ht="19.5" customHeight="1" s="8">
      <c r="A7" s="30" t="inlineStr">
        <is>
          <t>Average Jobs per Tech per Day</t>
        </is>
      </c>
      <c r="B7" s="31" t="n">
        <v>4</v>
      </c>
      <c r="C7" s="32" t="n">
        <v>3</v>
      </c>
      <c r="D7" s="33" t="n">
        <v>4</v>
      </c>
      <c r="E7" s="34" t="n">
        <v>5</v>
      </c>
      <c r="F7" s="35" t="inlineStr">
        <is>
          <t>Mixed painting/plumbing/cleaning</t>
        </is>
      </c>
    </row>
    <row r="8" ht="19.5" customHeight="1" s="8">
      <c r="A8" s="30" t="inlineStr">
        <is>
          <t>Average Revenue per Job ($)</t>
        </is>
      </c>
      <c r="B8" s="31" t="n">
        <v>300</v>
      </c>
      <c r="C8" s="32" t="n">
        <v>250</v>
      </c>
      <c r="D8" s="33" t="n">
        <v>300</v>
      </c>
      <c r="E8" s="34" t="n">
        <v>400</v>
      </c>
      <c r="F8" s="35" t="inlineStr">
        <is>
          <t>PSB brand portfolio average</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28</v>
      </c>
      <c r="C10" s="32" t="n">
        <v>24</v>
      </c>
      <c r="D10" s="33" t="n">
        <v>28</v>
      </c>
      <c r="E10" s="34" t="n">
        <v>32</v>
      </c>
      <c r="F10" s="35" t="n"/>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0.5</v>
      </c>
      <c r="C13" s="32" t="n">
        <v>0.3</v>
      </c>
      <c r="D13" s="33" t="n">
        <v>0.5</v>
      </c>
      <c r="E13" s="34" t="n">
        <v>0.75</v>
      </c>
      <c r="F13" s="35" t="inlineStr">
        <is>
          <t>Greenfield — no incumbent FSM</t>
        </is>
      </c>
    </row>
    <row r="14" ht="19.5" customHeight="1" s="8">
      <c r="A14" s="30" t="inlineStr">
        <is>
          <t>Admin Time Saved per Tech/Day (hrs)</t>
        </is>
      </c>
      <c r="B14" s="31" t="n">
        <v>1</v>
      </c>
      <c r="C14" s="32" t="n">
        <v>0.5</v>
      </c>
      <c r="D14" s="33" t="n">
        <v>1</v>
      </c>
      <c r="E14" s="34" t="n">
        <v>1.5</v>
      </c>
      <c r="F14" s="35" t="n"/>
    </row>
    <row r="15" ht="19.5" customHeight="1" s="8">
      <c r="A15" s="30" t="inlineStr">
        <is>
          <t>Invoice Cycle Reduction (days)</t>
        </is>
      </c>
      <c r="B15" s="31" t="n">
        <v>5</v>
      </c>
      <c r="C15" s="32" t="n">
        <v>3</v>
      </c>
      <c r="D15" s="33" t="n">
        <v>5</v>
      </c>
      <c r="E15" s="34" t="n">
        <v>7</v>
      </c>
      <c r="F15" s="35" t="n"/>
    </row>
    <row r="16" ht="19.5" customHeight="1" s="8">
      <c r="A16" s="30" t="inlineStr">
        <is>
          <t>First-Time Fix Rate Improvement (%)</t>
        </is>
      </c>
      <c r="B16" s="31" t="inlineStr">
        <is>
          <t>5%</t>
        </is>
      </c>
      <c r="C16" s="32" t="inlineStr">
        <is>
          <t>3%</t>
        </is>
      </c>
      <c r="D16" s="33" t="inlineStr">
        <is>
          <t>5%</t>
        </is>
      </c>
      <c r="E16" s="34" t="inlineStr">
        <is>
          <t>8%</t>
        </is>
      </c>
      <c r="F16" s="35" t="n"/>
    </row>
    <row r="17" ht="19.5" customHeight="1" s="8">
      <c r="A17" s="1" t="inlineStr">
        <is>
          <t>C: TELEMATICS UPLIFT (GPS Insight)</t>
        </is>
      </c>
    </row>
    <row r="18" ht="19.5" customHeight="1" s="8">
      <c r="A18" s="30" t="inlineStr">
        <is>
          <t>Fuel Savings per Vehicle/Year ($)</t>
        </is>
      </c>
      <c r="B18" s="31" t="n">
        <v>1600</v>
      </c>
      <c r="C18" s="32" t="n">
        <v>1200</v>
      </c>
      <c r="D18" s="33" t="n">
        <v>1600</v>
      </c>
      <c r="E18" s="34" t="n">
        <v>2400</v>
      </c>
      <c r="F18" s="35" t="n"/>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12%</t>
        </is>
      </c>
      <c r="F20" s="35" t="n"/>
    </row>
    <row r="21" ht="19.5" customHeight="1" s="8">
      <c r="A21" s="30" t="inlineStr">
        <is>
          <t>Annual Insurance Cost per Vehicle ($)</t>
        </is>
      </c>
      <c r="B21" s="31" t="n">
        <v>3000</v>
      </c>
      <c r="C21" s="32" t="n">
        <v>2600</v>
      </c>
      <c r="D21" s="33" t="n">
        <v>3000</v>
      </c>
      <c r="E21" s="34" t="n">
        <v>3800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8.0x</t>
        </is>
      </c>
      <c r="C35" s="48" t="inlineStr">
        <is>
          <t>7.0x</t>
        </is>
      </c>
      <c r="D35" s="48" t="inlineStr">
        <is>
          <t>8.0x</t>
        </is>
      </c>
      <c r="E35" s="48" t="inlineStr">
        <is>
          <t>10.0x</t>
        </is>
      </c>
      <c r="F35" s="39" t="inlineStr">
        <is>
          <t>FSM sector comps</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PE PATH: Susquehanna Private Capital → Kyle Squillario (Co-Head) via Charles
PRIMARY CONTACT: Paul Flick (Founder &amp; CEO PSB, accessible direct)
BRAND WEDGE: RooterMan (300 plumbing locations) = best entry point
OPS CHAMPION: Roxanne Conrad (COO, former 360 Painting franchisee — knows inside out)
Greenfield across all 8 brands — no FSM mandate</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PSB</t>
        </is>
      </c>
    </row>
    <row r="61" ht="48" customHeight="1" s="8">
      <c r="A61" s="61" t="inlineStr">
        <is>
          <t>RooterMan 300-location count came from secondary source — validated against PSB FDD?</t>
        </is>
      </c>
      <c r="B61" s="56" t="inlineStr">
        <is>
          <t>Not Started</t>
        </is>
      </c>
      <c r="C61" s="62" t="n"/>
      <c r="D61" s="63" t="n"/>
      <c r="E61" s="64" t="n"/>
      <c r="F61" s="60" t="inlineStr">
        <is>
          <t>Pull RooterMan FDD Item 20 to confirm unit count</t>
        </is>
      </c>
    </row>
    <row r="62" ht="48" customHeight="1" s="8">
      <c r="A62" s="61" t="inlineStr">
        <is>
          <t>PSB brand mix (painting/cleaning/plumbing/garage) — is $300 avg ticket representative across all 8 brands?</t>
        </is>
      </c>
      <c r="B62" s="56" t="inlineStr">
        <is>
          <t>Not Started</t>
        </is>
      </c>
      <c r="C62" s="62" t="n"/>
      <c r="D62" s="63" t="n"/>
      <c r="E62" s="64" t="n"/>
      <c r="F62" s="60" t="inlineStr">
        <is>
          <t>Brand-level ticket validation: RooterMan likely $400+, 360 Painting likely $250</t>
        </is>
      </c>
    </row>
    <row r="63" ht="48" customHeight="1" s="8">
      <c r="A63" s="61" t="inlineStr">
        <is>
          <t>Susquehanna Private Capital — growth equity vs buyout thesis? Does exit multiple math apply?</t>
        </is>
      </c>
      <c r="B63" s="56" t="inlineStr">
        <is>
          <t>Not Started</t>
        </is>
      </c>
      <c r="C63" s="62" t="n"/>
      <c r="D63" s="63" t="n"/>
      <c r="E63" s="64" t="n"/>
      <c r="F63" s="60" t="inlineStr">
        <is>
          <t>Research SPC investment structure to calibrate multiple assumption</t>
        </is>
      </c>
    </row>
    <row r="64" ht="48" customHeight="1" s="8">
      <c r="A64" s="61" t="inlineStr">
        <is>
          <t>Paul Flick = founder-accessible — does he respond to PE exit math, or to per-franchisee story?</t>
        </is>
      </c>
      <c r="B64" s="56" t="inlineStr">
        <is>
          <t>Not Started</t>
        </is>
      </c>
      <c r="C64" s="62" t="n"/>
      <c r="D64" s="63" t="n"/>
      <c r="E64" s="64" t="n"/>
      <c r="F64" s="60" t="inlineStr">
        <is>
          <t>Adjust Conservative vs Base framing based on Flick's communication style</t>
        </is>
      </c>
    </row>
    <row r="66" ht="19.5" customHeight="1" s="8">
      <c r="A66" s="152" t="inlineStr">
        <is>
          <t xml:space="preserve">  SIGN-OFF  ·  All Checks Complete Before External Use</t>
        </is>
      </c>
    </row>
    <row r="67" ht="24" customHeight="1" s="8">
      <c r="A67" s="65" t="inlineStr">
        <is>
          <t>Mike Flynt  ·  Velocity GTM Co</t>
        </is>
      </c>
      <c r="B67" s="62" t="n"/>
      <c r="C67" s="66" t="inlineStr">
        <is>
          <t>Mike</t>
        </is>
      </c>
      <c r="D67" s="63" t="n"/>
      <c r="E67" s="64" t="n"/>
      <c r="F67" s="67" t="inlineStr">
        <is>
          <t>Signed off on all checkpoints</t>
        </is>
      </c>
    </row>
    <row r="68" ht="24" customHeight="1" s="8">
      <c r="A68" s="65" t="inlineStr">
        <is>
          <t>Garrett Else  ·  CFO, GPS Insight</t>
        </is>
      </c>
      <c r="B68" s="62" t="n"/>
      <c r="C68" s="66" t="inlineStr">
        <is>
          <t>Garrett</t>
        </is>
      </c>
      <c r="D68" s="63" t="n"/>
      <c r="E68" s="64" t="n"/>
      <c r="F68" s="67" t="inlineStr">
        <is>
          <t>ROI model sign-off on all assumptions</t>
        </is>
      </c>
    </row>
    <row r="69" ht="24" customHeight="1" s="8">
      <c r="A69" s="65" t="inlineStr">
        <is>
          <t>Charles Layne  ·  CEO, GPS Insight</t>
        </is>
      </c>
      <c r="B69" s="62" t="n"/>
      <c r="C69" s="66" t="inlineStr">
        <is>
          <t>Charles</t>
        </is>
      </c>
      <c r="D69" s="63" t="n"/>
      <c r="E69" s="64" t="n"/>
      <c r="F69" s="67" t="inlineStr">
        <is>
          <t>Optional — required for PE-facing external use</t>
        </is>
      </c>
    </row>
  </sheetData>
  <mergeCells count="18">
    <mergeCell ref="A2:F2"/>
    <mergeCell ref="A49:F49"/>
    <mergeCell ref="A42:F42"/>
    <mergeCell ref="A60:F60"/>
    <mergeCell ref="A46:F46"/>
    <mergeCell ref="A66:F66"/>
    <mergeCell ref="A45:F45"/>
    <mergeCell ref="A23:F23"/>
    <mergeCell ref="A1:F1"/>
    <mergeCell ref="A5:F5"/>
    <mergeCell ref="A26:F26"/>
    <mergeCell ref="A40:F40"/>
    <mergeCell ref="A17:F17"/>
    <mergeCell ref="A34:F34"/>
    <mergeCell ref="A12:F12"/>
    <mergeCell ref="A3:F3"/>
    <mergeCell ref="A39:F39"/>
    <mergeCell ref="A43:F43"/>
  </mergeCells>
  <dataValidations count="2">
    <dataValidation sqref="B50:B58 B61:B64 B67:B69" showDropDown="0" showInputMessage="0" showErrorMessage="0" allowBlank="1" errorTitle="Invalid entry" error="Please select from dropdown" type="list">
      <formula1>"Yes,No,Needs Work,Not Started"</formula1>
      <formula2>0</formula2>
    </dataValidation>
    <dataValidation sqref="C50:C58 C61:C64"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1A2B3C"/>
    <outlinePr summaryBelow="1" summaryRight="1"/>
    <pageSetUpPr/>
  </sheetPr>
  <dimension ref="A1:F69"/>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RESIBRANDS</t>
        </is>
      </c>
    </row>
    <row r="2" ht="19.5" customHeight="1" s="8">
      <c r="A2" s="3" t="inlineStr">
        <is>
          <t>PE: Founder + Codie Sanchez  ·  5 brands · 2,550 techs · Painting / Garage / Window / Exteriors  ·  GPO: No  ·  C/B: Consumer 95%  ·  Powered by GPS Insight · ServiceBridge</t>
        </is>
      </c>
    </row>
    <row r="3" ht="24" customHeight="1" s="8">
      <c r="A3" s="153" t="inlineStr">
        <is>
          <t>💡 Steven Montgomery responds to simplicity over PE math. Run Conservative scenario first.</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2550</v>
      </c>
      <c r="C6" s="32" t="n">
        <v>2000</v>
      </c>
      <c r="D6" s="33" t="n">
        <v>2550</v>
      </c>
      <c r="E6" s="34" t="n">
        <v>2550</v>
      </c>
      <c r="F6" s="35" t="inlineStr">
        <is>
          <t>5-brand network total</t>
        </is>
      </c>
    </row>
    <row r="7" ht="19.5" customHeight="1" s="8">
      <c r="A7" s="30" t="inlineStr">
        <is>
          <t>Average Jobs per Tech per Day</t>
        </is>
      </c>
      <c r="B7" s="31" t="n">
        <v>5</v>
      </c>
      <c r="C7" s="32" t="n">
        <v>4</v>
      </c>
      <c r="D7" s="33" t="n">
        <v>5</v>
      </c>
      <c r="E7" s="34" t="n">
        <v>6</v>
      </c>
      <c r="F7" s="35" t="inlineStr">
        <is>
          <t>Painting volume-based (5/day)</t>
        </is>
      </c>
    </row>
    <row r="8" ht="19.5" customHeight="1" s="8">
      <c r="A8" s="30" t="inlineStr">
        <is>
          <t>Average Revenue per Job ($)</t>
        </is>
      </c>
      <c r="B8" s="31" t="n">
        <v>200</v>
      </c>
      <c r="C8" s="32" t="n">
        <v>150</v>
      </c>
      <c r="D8" s="33" t="n">
        <v>200</v>
      </c>
      <c r="E8" s="34" t="n">
        <v>300</v>
      </c>
      <c r="F8" s="35" t="inlineStr">
        <is>
          <t>That 1 Painter avg ticket</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25</v>
      </c>
      <c r="C10" s="32" t="n">
        <v>22</v>
      </c>
      <c r="D10" s="33" t="n">
        <v>25</v>
      </c>
      <c r="E10" s="34" t="n">
        <v>28</v>
      </c>
      <c r="F10" s="35" t="n"/>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0.5</v>
      </c>
      <c r="C13" s="32" t="n">
        <v>0.3</v>
      </c>
      <c r="D13" s="33" t="n">
        <v>0.5</v>
      </c>
      <c r="E13" s="34" t="n">
        <v>0.8</v>
      </c>
      <c r="F13" s="35" t="inlineStr">
        <is>
          <t>ResiConnect = scheduling only; SB fills field ops gap</t>
        </is>
      </c>
    </row>
    <row r="14" ht="19.5" customHeight="1" s="8">
      <c r="A14" s="30" t="inlineStr">
        <is>
          <t>Admin Time Saved per Tech/Day (hrs)</t>
        </is>
      </c>
      <c r="B14" s="31" t="n">
        <v>1</v>
      </c>
      <c r="C14" s="32" t="n">
        <v>0.5</v>
      </c>
      <c r="D14" s="33" t="n">
        <v>1</v>
      </c>
      <c r="E14" s="34" t="n">
        <v>1.5</v>
      </c>
      <c r="F14" s="35" t="n"/>
    </row>
    <row r="15" ht="19.5" customHeight="1" s="8">
      <c r="A15" s="30" t="inlineStr">
        <is>
          <t>Invoice Cycle Reduction (days)</t>
        </is>
      </c>
      <c r="B15" s="31" t="n">
        <v>4</v>
      </c>
      <c r="C15" s="32" t="n">
        <v>2</v>
      </c>
      <c r="D15" s="33" t="n">
        <v>4</v>
      </c>
      <c r="E15" s="34" t="n">
        <v>6</v>
      </c>
      <c r="F15" s="35" t="n"/>
    </row>
    <row r="16" ht="19.5" customHeight="1" s="8">
      <c r="A16" s="30" t="inlineStr">
        <is>
          <t>First-Time Fix Rate Improvement (%)</t>
        </is>
      </c>
      <c r="B16" s="31" t="inlineStr">
        <is>
          <t>5%</t>
        </is>
      </c>
      <c r="C16" s="32" t="inlineStr">
        <is>
          <t>3%</t>
        </is>
      </c>
      <c r="D16" s="33" t="inlineStr">
        <is>
          <t>5%</t>
        </is>
      </c>
      <c r="E16" s="34" t="inlineStr">
        <is>
          <t>8%</t>
        </is>
      </c>
      <c r="F16" s="35" t="n"/>
    </row>
    <row r="17" ht="19.5" customHeight="1" s="8">
      <c r="A17" s="1" t="inlineStr">
        <is>
          <t>C: TELEMATICS UPLIFT (GPS Insight)</t>
        </is>
      </c>
    </row>
    <row r="18" ht="19.5" customHeight="1" s="8">
      <c r="A18" s="30" t="inlineStr">
        <is>
          <t>Fuel Savings per Vehicle/Year ($)</t>
        </is>
      </c>
      <c r="B18" s="31" t="n">
        <v>1400</v>
      </c>
      <c r="C18" s="32" t="n">
        <v>1000</v>
      </c>
      <c r="D18" s="33" t="n">
        <v>1400</v>
      </c>
      <c r="E18" s="34" t="n">
        <v>2000</v>
      </c>
      <c r="F18" s="35" t="n"/>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10%</t>
        </is>
      </c>
      <c r="F20" s="35" t="n"/>
    </row>
    <row r="21" ht="19.5" customHeight="1" s="8">
      <c r="A21" s="30" t="inlineStr">
        <is>
          <t>Annual Insurance Cost per Vehicle ($)</t>
        </is>
      </c>
      <c r="B21" s="31" t="n">
        <v>2600</v>
      </c>
      <c r="C21" s="32" t="n">
        <v>2200</v>
      </c>
      <c r="D21" s="33" t="n">
        <v>2600</v>
      </c>
      <c r="E21" s="34" t="n">
        <v>3200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7.0x</t>
        </is>
      </c>
      <c r="C35" s="48" t="inlineStr">
        <is>
          <t>6.0x</t>
        </is>
      </c>
      <c r="D35" s="48" t="inlineStr">
        <is>
          <t>7.0x</t>
        </is>
      </c>
      <c r="E35" s="48" t="inlineStr">
        <is>
          <t>9.0x</t>
        </is>
      </c>
      <c r="F35" s="39" t="inlineStr">
        <is>
          <t>Conservative for family/angel capital</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NO PE INTRO NEEDED — Steven Montgomery (Founder &amp; CEO) accessible direct
CURRENT STATUS: 🔥 HOT — Steven replied positive Apr 9. Call scheduled Apr 15.
ONE CONVERSATION COVERS ALL 5 BRANDS — Steven decides for all ResiBrands
FOUNDER PITCH: $1.67/tech/day = 2,550 × $1.67 × 260 = ~$1.1M annual value
POSITIONING: ResiConnect handles inbound scheduling only. ServiceBridge = field ops layer (complement, not replacement)</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RESIBRANDS</t>
        </is>
      </c>
    </row>
    <row r="61" ht="48" customHeight="1" s="8">
      <c r="A61" s="61" t="inlineStr">
        <is>
          <t>ResiConnect scheduling conflict — does model correctly position ServiceBridge as field-ops COMPLEMENT, not replacement?</t>
        </is>
      </c>
      <c r="B61" s="56" t="inlineStr">
        <is>
          <t>Not Started</t>
        </is>
      </c>
      <c r="C61" s="62" t="n"/>
      <c r="D61" s="63" t="n"/>
      <c r="E61" s="64" t="n"/>
      <c r="F61" s="60" t="inlineStr">
        <is>
          <t>Critical — if Steven hears 'replace ResiConnect' on Apr 15 call, deal is dead</t>
        </is>
      </c>
    </row>
    <row r="62" ht="48" customHeight="1" s="8">
      <c r="A62" s="61" t="inlineStr">
        <is>
          <t>Founder-decision = less committee math — is Conservative scenario the right default for Steven?</t>
        </is>
      </c>
      <c r="B62" s="56" t="inlineStr">
        <is>
          <t>Not Started</t>
        </is>
      </c>
      <c r="C62" s="62" t="n"/>
      <c r="D62" s="63" t="n"/>
      <c r="E62" s="64" t="n"/>
      <c r="F62" s="60" t="inlineStr">
        <is>
          <t>Steven responds to simplicity ($1.67/tech/day) over PE exit math</t>
        </is>
      </c>
    </row>
    <row r="63" ht="48" customHeight="1" s="8">
      <c r="A63" s="61" t="inlineStr">
        <is>
          <t>800+ territories claim from memory — is this sold territories or operating franchisees?</t>
        </is>
      </c>
      <c r="B63" s="56" t="inlineStr">
        <is>
          <t>Not Started</t>
        </is>
      </c>
      <c r="C63" s="62" t="n"/>
      <c r="D63" s="63" t="n"/>
      <c r="E63" s="64" t="n"/>
      <c r="F63" s="60" t="inlineStr">
        <is>
          <t>Clarify sold vs operating before using 2,550 tech baseline</t>
        </is>
      </c>
    </row>
    <row r="64" ht="48" customHeight="1" s="8">
      <c r="A64" s="61" t="inlineStr">
        <is>
          <t>Codie Sanchez angel backing = not traditional PE — does Enterprise Value framing even apply?</t>
        </is>
      </c>
      <c r="B64" s="56" t="inlineStr">
        <is>
          <t>Not Started</t>
        </is>
      </c>
      <c r="C64" s="62" t="n"/>
      <c r="D64" s="63" t="n"/>
      <c r="E64" s="64" t="n"/>
      <c r="F64" s="60" t="inlineStr">
        <is>
          <t>May want to drop EV/exit math entirely for ResiBrands conversation</t>
        </is>
      </c>
    </row>
    <row r="66" ht="19.5" customHeight="1" s="8">
      <c r="A66" s="152" t="inlineStr">
        <is>
          <t xml:space="preserve">  SIGN-OFF  ·  All Checks Complete Before External Use</t>
        </is>
      </c>
    </row>
    <row r="67" ht="24" customHeight="1" s="8">
      <c r="A67" s="65" t="inlineStr">
        <is>
          <t>Mike Flynt  ·  Velocity GTM Co</t>
        </is>
      </c>
      <c r="B67" s="62" t="n"/>
      <c r="C67" s="66" t="inlineStr">
        <is>
          <t>Mike</t>
        </is>
      </c>
      <c r="D67" s="63" t="n"/>
      <c r="E67" s="64" t="n"/>
      <c r="F67" s="67" t="inlineStr">
        <is>
          <t>Signed off on all checkpoints</t>
        </is>
      </c>
    </row>
    <row r="68" ht="24" customHeight="1" s="8">
      <c r="A68" s="65" t="inlineStr">
        <is>
          <t>Garrett Else  ·  CFO, GPS Insight</t>
        </is>
      </c>
      <c r="B68" s="62" t="n"/>
      <c r="C68" s="66" t="inlineStr">
        <is>
          <t>Garrett</t>
        </is>
      </c>
      <c r="D68" s="63" t="n"/>
      <c r="E68" s="64" t="n"/>
      <c r="F68" s="67" t="inlineStr">
        <is>
          <t>ROI model sign-off on all assumptions</t>
        </is>
      </c>
    </row>
    <row r="69" ht="24" customHeight="1" s="8">
      <c r="A69" s="65" t="inlineStr">
        <is>
          <t>Charles Layne  ·  CEO, GPS Insight</t>
        </is>
      </c>
      <c r="B69" s="62" t="n"/>
      <c r="C69" s="66" t="inlineStr">
        <is>
          <t>Charles</t>
        </is>
      </c>
      <c r="D69" s="63" t="n"/>
      <c r="E69" s="64" t="n"/>
      <c r="F69" s="67" t="inlineStr">
        <is>
          <t>Optional — required for PE-facing external use</t>
        </is>
      </c>
    </row>
  </sheetData>
  <mergeCells count="18">
    <mergeCell ref="A2:F2"/>
    <mergeCell ref="A49:F49"/>
    <mergeCell ref="A42:F42"/>
    <mergeCell ref="A60:F60"/>
    <mergeCell ref="A46:F46"/>
    <mergeCell ref="A66:F66"/>
    <mergeCell ref="A45:F45"/>
    <mergeCell ref="A23:F23"/>
    <mergeCell ref="A1:F1"/>
    <mergeCell ref="A5:F5"/>
    <mergeCell ref="A26:F26"/>
    <mergeCell ref="A40:F40"/>
    <mergeCell ref="A17:F17"/>
    <mergeCell ref="A34:F34"/>
    <mergeCell ref="A12:F12"/>
    <mergeCell ref="A3:F3"/>
    <mergeCell ref="A39:F39"/>
    <mergeCell ref="A43:F43"/>
  </mergeCells>
  <dataValidations count="2">
    <dataValidation sqref="B50:B58 B61:B64 B67:B69" showDropDown="0" showInputMessage="0" showErrorMessage="0" allowBlank="1" errorTitle="Invalid entry" error="Please select from dropdown" type="list">
      <formula1>"Yes,No,Needs Work,Not Started"</formula1>
      <formula2>0</formula2>
    </dataValidation>
    <dataValidation sqref="C50:C58 C61:C64"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A2B3C"/>
    <outlinePr summaryBelow="1" summaryRight="1"/>
    <pageSetUpPr/>
  </sheetPr>
  <dimension ref="A1:F69"/>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FIVE STAR FRANCHISING</t>
        </is>
      </c>
    </row>
    <row r="2" ht="19.5" customHeight="1" s="8">
      <c r="A2" s="3" t="inlineStr">
        <is>
          <t>PE: Princeton Equity Group  ·  5 brands · 2,350 techs · Pest / Bath / Biohazard / Contents  ·  GPO: Yes (Five Star Buying Group)  ·  C/B: Consumer 85%  ·  Powered by GPS Insight · ServiceBridge</t>
        </is>
      </c>
    </row>
    <row r="3" ht="24" customHeight="1" s="8">
      <c r="A3" s="153" t="inlineStr">
        <is>
          <t>⚠️ Verify FieldRoutes (ServiceTitan subsidiary) conflict on Mosquito Shield FDD before outreach.</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2350</v>
      </c>
      <c r="C6" s="32" t="n">
        <v>1800</v>
      </c>
      <c r="D6" s="33" t="n">
        <v>2350</v>
      </c>
      <c r="E6" s="34" t="n">
        <v>2350</v>
      </c>
      <c r="F6" s="35" t="inlineStr">
        <is>
          <t>5-brand network total</t>
        </is>
      </c>
    </row>
    <row r="7" ht="19.5" customHeight="1" s="8">
      <c r="A7" s="30" t="inlineStr">
        <is>
          <t>Average Jobs per Tech per Day</t>
        </is>
      </c>
      <c r="B7" s="31" t="n">
        <v>4</v>
      </c>
      <c r="C7" s="32" t="n">
        <v>3</v>
      </c>
      <c r="D7" s="33" t="n">
        <v>4</v>
      </c>
      <c r="E7" s="34" t="n">
        <v>5</v>
      </c>
      <c r="F7" s="35" t="inlineStr">
        <is>
          <t>Pest/biohazard/bath mix</t>
        </is>
      </c>
    </row>
    <row r="8" ht="19.5" customHeight="1" s="8">
      <c r="A8" s="30" t="inlineStr">
        <is>
          <t>Average Revenue per Job ($)</t>
        </is>
      </c>
      <c r="B8" s="31" t="n">
        <v>300</v>
      </c>
      <c r="C8" s="32" t="n">
        <v>250</v>
      </c>
      <c r="D8" s="33" t="n">
        <v>300</v>
      </c>
      <c r="E8" s="34" t="n">
        <v>400</v>
      </c>
      <c r="F8" s="35" t="inlineStr">
        <is>
          <t>Mosquito Shield route model</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26</v>
      </c>
      <c r="C10" s="32" t="n">
        <v>24</v>
      </c>
      <c r="D10" s="33" t="n">
        <v>26</v>
      </c>
      <c r="E10" s="34" t="n">
        <v>30</v>
      </c>
      <c r="F10" s="35" t="n"/>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0.5</v>
      </c>
      <c r="C13" s="32" t="n">
        <v>0.3</v>
      </c>
      <c r="D13" s="33" t="n">
        <v>0.5</v>
      </c>
      <c r="E13" s="34" t="n">
        <v>0.75</v>
      </c>
      <c r="F13" s="35" t="inlineStr">
        <is>
          <t>Route-based = recurring compounds</t>
        </is>
      </c>
    </row>
    <row r="14" ht="19.5" customHeight="1" s="8">
      <c r="A14" s="30" t="inlineStr">
        <is>
          <t>Admin Time Saved per Tech/Day (hrs)</t>
        </is>
      </c>
      <c r="B14" s="31" t="n">
        <v>1</v>
      </c>
      <c r="C14" s="32" t="n">
        <v>0.5</v>
      </c>
      <c r="D14" s="33" t="n">
        <v>1</v>
      </c>
      <c r="E14" s="34" t="n">
        <v>1.5</v>
      </c>
      <c r="F14" s="35" t="n"/>
    </row>
    <row r="15" ht="19.5" customHeight="1" s="8">
      <c r="A15" s="30" t="inlineStr">
        <is>
          <t>Invoice Cycle Reduction (days)</t>
        </is>
      </c>
      <c r="B15" s="31" t="n">
        <v>5</v>
      </c>
      <c r="C15" s="32" t="n">
        <v>3</v>
      </c>
      <c r="D15" s="33" t="n">
        <v>5</v>
      </c>
      <c r="E15" s="34" t="n">
        <v>7</v>
      </c>
      <c r="F15" s="35" t="n"/>
    </row>
    <row r="16" ht="19.5" customHeight="1" s="8">
      <c r="A16" s="30" t="inlineStr">
        <is>
          <t>First-Time Fix Rate Improvement (%)</t>
        </is>
      </c>
      <c r="B16" s="31" t="inlineStr">
        <is>
          <t>5%</t>
        </is>
      </c>
      <c r="C16" s="32" t="inlineStr">
        <is>
          <t>3%</t>
        </is>
      </c>
      <c r="D16" s="33" t="inlineStr">
        <is>
          <t>5%</t>
        </is>
      </c>
      <c r="E16" s="34" t="inlineStr">
        <is>
          <t>8%</t>
        </is>
      </c>
      <c r="F16" s="35" t="n"/>
    </row>
    <row r="17" ht="19.5" customHeight="1" s="8">
      <c r="A17" s="1" t="inlineStr">
        <is>
          <t>C: TELEMATICS UPLIFT (GPS Insight)</t>
        </is>
      </c>
    </row>
    <row r="18" ht="19.5" customHeight="1" s="8">
      <c r="A18" s="30" t="inlineStr">
        <is>
          <t>Fuel Savings per Vehicle/Year ($)</t>
        </is>
      </c>
      <c r="B18" s="31" t="n">
        <v>1600</v>
      </c>
      <c r="C18" s="32" t="n">
        <v>1200</v>
      </c>
      <c r="D18" s="33" t="n">
        <v>1600</v>
      </c>
      <c r="E18" s="34" t="n">
        <v>2400</v>
      </c>
      <c r="F18" s="35" t="n"/>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12%</t>
        </is>
      </c>
      <c r="F20" s="35" t="n"/>
    </row>
    <row r="21" ht="19.5" customHeight="1" s="8">
      <c r="A21" s="30" t="inlineStr">
        <is>
          <t>Annual Insurance Cost per Vehicle ($)</t>
        </is>
      </c>
      <c r="B21" s="31" t="n">
        <v>3000</v>
      </c>
      <c r="C21" s="32" t="n">
        <v>2600</v>
      </c>
      <c r="D21" s="33" t="n">
        <v>3000</v>
      </c>
      <c r="E21" s="34" t="n">
        <v>3800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8.0x</t>
        </is>
      </c>
      <c r="C35" s="48" t="inlineStr">
        <is>
          <t>7.0x</t>
        </is>
      </c>
      <c r="D35" s="48" t="inlineStr">
        <is>
          <t>8.0x</t>
        </is>
      </c>
      <c r="E35" s="48" t="inlineStr">
        <is>
          <t>10.0x</t>
        </is>
      </c>
      <c r="F35" s="39" t="inlineStr">
        <is>
          <t>Franchise PE sector comps</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PE PATH: Princeton Equity Group → Derek DeBenedetto (derek@princetonequity.com) via Charles
PRIMARY CONTACT: Scott Abbott (CEO, LinkedIn direct), Steve White (CFO for exit math)
BRAND WEDGE: Mosquito Shield (Michael Moorhouse, Brand President)
⚠️ VERIFY FieldRoutes (ST subsidiary) status on Mosquito Shield FDD before outreach
FRAMING: Princeton Year 5 = exit window opening. EBITDA story lands for Steve White.</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FIVE STAR</t>
        </is>
      </c>
    </row>
    <row r="61" ht="48" customHeight="1" s="8">
      <c r="A61" s="61" t="inlineStr">
        <is>
          <t>FieldRoutes (ServiceTitan subsidiary) mandate on Mosquito Shield — unverified. Kills the route model if true.</t>
        </is>
      </c>
      <c r="B61" s="56" t="inlineStr">
        <is>
          <t>Not Started</t>
        </is>
      </c>
      <c r="C61" s="62" t="n"/>
      <c r="D61" s="63" t="n"/>
      <c r="E61" s="64" t="n"/>
      <c r="F61" s="60" t="inlineStr">
        <is>
          <t>Pull Mosquito Shield FDD Item 11 BEFORE any outreach — highest-priority validation</t>
        </is>
      </c>
    </row>
    <row r="62" ht="48" customHeight="1" s="8">
      <c r="A62" s="61" t="inlineStr">
        <is>
          <t>Princeton Equity Year 5 exit window — exact Princeton investment date confirmed?</t>
        </is>
      </c>
      <c r="B62" s="56" t="inlineStr">
        <is>
          <t>Not Started</t>
        </is>
      </c>
      <c r="C62" s="62" t="n"/>
      <c r="D62" s="63" t="n"/>
      <c r="E62" s="64" t="n"/>
      <c r="F62" s="60" t="inlineStr">
        <is>
          <t>Research Princeton/Five Star acquisition year to validate timing</t>
        </is>
      </c>
    </row>
    <row r="63" ht="48" customHeight="1" s="8">
      <c r="A63" s="61" t="inlineStr">
        <is>
          <t>Scott Abbott (CEO) + Steve White (CFO) — dual-track approach requires both to see same ROI narrative</t>
        </is>
      </c>
      <c r="B63" s="56" t="inlineStr">
        <is>
          <t>Not Started</t>
        </is>
      </c>
      <c r="C63" s="62" t="n"/>
      <c r="D63" s="63" t="n"/>
      <c r="E63" s="64" t="n"/>
      <c r="F63" s="60" t="inlineStr">
        <is>
          <t>Ensure Base Case numbers hold across both contacts</t>
        </is>
      </c>
    </row>
    <row r="64" ht="48" customHeight="1" s="8">
      <c r="A64" s="61" t="inlineStr">
        <is>
          <t>Bio-One biohazard brand — does model's 5% premium reduction apply, or is biohazard insurance profile unique?</t>
        </is>
      </c>
      <c r="B64" s="56" t="inlineStr">
        <is>
          <t>Not Started</t>
        </is>
      </c>
      <c r="C64" s="62" t="n"/>
      <c r="D64" s="63" t="n"/>
      <c r="E64" s="64" t="n"/>
      <c r="F64" s="60" t="inlineStr">
        <is>
          <t>Specialty trade may have different insurance economics</t>
        </is>
      </c>
    </row>
    <row r="66" ht="19.5" customHeight="1" s="8">
      <c r="A66" s="152" t="inlineStr">
        <is>
          <t xml:space="preserve">  SIGN-OFF  ·  All Checks Complete Before External Use</t>
        </is>
      </c>
    </row>
    <row r="67" ht="24" customHeight="1" s="8">
      <c r="A67" s="65" t="inlineStr">
        <is>
          <t>Mike Flynt  ·  Velocity GTM Co</t>
        </is>
      </c>
      <c r="B67" s="62" t="n"/>
      <c r="C67" s="66" t="inlineStr">
        <is>
          <t>Mike</t>
        </is>
      </c>
      <c r="D67" s="63" t="n"/>
      <c r="E67" s="64" t="n"/>
      <c r="F67" s="67" t="inlineStr">
        <is>
          <t>Signed off on all checkpoints</t>
        </is>
      </c>
    </row>
    <row r="68" ht="24" customHeight="1" s="8">
      <c r="A68" s="65" t="inlineStr">
        <is>
          <t>Garrett Else  ·  CFO, GPS Insight</t>
        </is>
      </c>
      <c r="B68" s="62" t="n"/>
      <c r="C68" s="66" t="inlineStr">
        <is>
          <t>Garrett</t>
        </is>
      </c>
      <c r="D68" s="63" t="n"/>
      <c r="E68" s="64" t="n"/>
      <c r="F68" s="67" t="inlineStr">
        <is>
          <t>ROI model sign-off on all assumptions</t>
        </is>
      </c>
    </row>
    <row r="69" ht="24" customHeight="1" s="8">
      <c r="A69" s="65" t="inlineStr">
        <is>
          <t>Charles Layne  ·  CEO, GPS Insight</t>
        </is>
      </c>
      <c r="B69" s="62" t="n"/>
      <c r="C69" s="66" t="inlineStr">
        <is>
          <t>Charles</t>
        </is>
      </c>
      <c r="D69" s="63" t="n"/>
      <c r="E69" s="64" t="n"/>
      <c r="F69" s="67" t="inlineStr">
        <is>
          <t>Optional — required for PE-facing external use</t>
        </is>
      </c>
    </row>
  </sheetData>
  <mergeCells count="18">
    <mergeCell ref="A2:F2"/>
    <mergeCell ref="A49:F49"/>
    <mergeCell ref="A42:F42"/>
    <mergeCell ref="A60:F60"/>
    <mergeCell ref="A46:F46"/>
    <mergeCell ref="A66:F66"/>
    <mergeCell ref="A45:F45"/>
    <mergeCell ref="A23:F23"/>
    <mergeCell ref="A1:F1"/>
    <mergeCell ref="A5:F5"/>
    <mergeCell ref="A26:F26"/>
    <mergeCell ref="A40:F40"/>
    <mergeCell ref="A17:F17"/>
    <mergeCell ref="A34:F34"/>
    <mergeCell ref="A12:F12"/>
    <mergeCell ref="A3:F3"/>
    <mergeCell ref="A39:F39"/>
    <mergeCell ref="A43:F43"/>
  </mergeCells>
  <dataValidations count="2">
    <dataValidation sqref="B50:B58 B61:B64 B67:B69" showDropDown="0" showInputMessage="0" showErrorMessage="0" allowBlank="1" errorTitle="Invalid entry" error="Please select from dropdown" type="list">
      <formula1>"Yes,No,Needs Work,Not Started"</formula1>
      <formula2>0</formula2>
    </dataValidation>
    <dataValidation sqref="C50:C58 C61:C64"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A2B3C"/>
    <outlinePr summaryBelow="1" summaryRight="1"/>
    <pageSetUpPr/>
  </sheetPr>
  <dimension ref="A1:F69"/>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HOMEFRONT BRANDS</t>
        </is>
      </c>
    </row>
    <row r="2" ht="19.5" customHeight="1" s="8">
      <c r="A2" s="3" t="inlineStr">
        <is>
          <t>PE: Dudan Group (Family Office)  ·  5 brands · 2,550 techs · Fence / Window / Kitchen-Bath / Construction  ·  GPO: Yes (Vendor Advantage Program)  ·  C/B: Consumer 50%  ·  Powered by GPS Insight · ServiceBridge</t>
        </is>
      </c>
    </row>
    <row r="3" ht="24" customHeight="1" s="8">
      <c r="A3" s="153" t="inlineStr">
        <is>
          <t>💡 Founder-operated (not institutional PE). Per-franchisee story lands better than exit math.</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2550</v>
      </c>
      <c r="C6" s="32" t="n">
        <v>1800</v>
      </c>
      <c r="D6" s="33" t="n">
        <v>2550</v>
      </c>
      <c r="E6" s="34" t="n">
        <v>2550</v>
      </c>
      <c r="F6" s="35" t="inlineStr">
        <is>
          <t>5-brand network total</t>
        </is>
      </c>
    </row>
    <row r="7" ht="19.5" customHeight="1" s="8">
      <c r="A7" s="30" t="inlineStr">
        <is>
          <t>Average Jobs per Tech per Day</t>
        </is>
      </c>
      <c r="B7" s="31" t="n">
        <v>3</v>
      </c>
      <c r="C7" s="32" t="n">
        <v>2</v>
      </c>
      <c r="D7" s="33" t="n">
        <v>3</v>
      </c>
      <c r="E7" s="34" t="n">
        <v>4</v>
      </c>
      <c r="F7" s="35" t="inlineStr">
        <is>
          <t>Project-based fence/window/bath</t>
        </is>
      </c>
    </row>
    <row r="8" ht="19.5" customHeight="1" s="8">
      <c r="A8" s="30" t="inlineStr">
        <is>
          <t>Average Revenue per Job ($)</t>
        </is>
      </c>
      <c r="B8" s="31" t="n">
        <v>400</v>
      </c>
      <c r="C8" s="32" t="n">
        <v>300</v>
      </c>
      <c r="D8" s="33" t="n">
        <v>400</v>
      </c>
      <c r="E8" s="34" t="n">
        <v>600</v>
      </c>
      <c r="F8" s="35" t="inlineStr">
        <is>
          <t>Higher-ticket home improvement</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28</v>
      </c>
      <c r="C10" s="32" t="n">
        <v>26</v>
      </c>
      <c r="D10" s="33" t="n">
        <v>28</v>
      </c>
      <c r="E10" s="34" t="n">
        <v>32</v>
      </c>
      <c r="F10" s="35" t="n"/>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0.3</v>
      </c>
      <c r="C13" s="32" t="n">
        <v>0.2</v>
      </c>
      <c r="D13" s="33" t="n">
        <v>0.3</v>
      </c>
      <c r="E13" s="34" t="n">
        <v>0.5</v>
      </c>
      <c r="F13" s="35" t="inlineStr">
        <is>
          <t>Project model = lower frequency</t>
        </is>
      </c>
    </row>
    <row r="14" ht="19.5" customHeight="1" s="8">
      <c r="A14" s="30" t="inlineStr">
        <is>
          <t>Admin Time Saved per Tech/Day (hrs)</t>
        </is>
      </c>
      <c r="B14" s="31" t="n">
        <v>1</v>
      </c>
      <c r="C14" s="32" t="n">
        <v>0.5</v>
      </c>
      <c r="D14" s="33" t="n">
        <v>1</v>
      </c>
      <c r="E14" s="34" t="n">
        <v>1.5</v>
      </c>
      <c r="F14" s="35" t="n"/>
    </row>
    <row r="15" ht="19.5" customHeight="1" s="8">
      <c r="A15" s="30" t="inlineStr">
        <is>
          <t>Invoice Cycle Reduction (days)</t>
        </is>
      </c>
      <c r="B15" s="31" t="n">
        <v>5</v>
      </c>
      <c r="C15" s="32" t="n">
        <v>3</v>
      </c>
      <c r="D15" s="33" t="n">
        <v>5</v>
      </c>
      <c r="E15" s="34" t="n">
        <v>8</v>
      </c>
      <c r="F15" s="35" t="n"/>
    </row>
    <row r="16" ht="19.5" customHeight="1" s="8">
      <c r="A16" s="30" t="inlineStr">
        <is>
          <t>First-Time Fix Rate Improvement (%)</t>
        </is>
      </c>
      <c r="B16" s="31" t="inlineStr">
        <is>
          <t>5%</t>
        </is>
      </c>
      <c r="C16" s="32" t="inlineStr">
        <is>
          <t>3%</t>
        </is>
      </c>
      <c r="D16" s="33" t="inlineStr">
        <is>
          <t>5%</t>
        </is>
      </c>
      <c r="E16" s="34" t="inlineStr">
        <is>
          <t>8%</t>
        </is>
      </c>
      <c r="F16" s="35" t="n"/>
    </row>
    <row r="17" ht="19.5" customHeight="1" s="8">
      <c r="A17" s="1" t="inlineStr">
        <is>
          <t>C: TELEMATICS UPLIFT (GPS Insight)</t>
        </is>
      </c>
    </row>
    <row r="18" ht="19.5" customHeight="1" s="8">
      <c r="A18" s="30" t="inlineStr">
        <is>
          <t>Fuel Savings per Vehicle/Year ($)</t>
        </is>
      </c>
      <c r="B18" s="31" t="n">
        <v>1600</v>
      </c>
      <c r="C18" s="32" t="n">
        <v>1200</v>
      </c>
      <c r="D18" s="33" t="n">
        <v>1600</v>
      </c>
      <c r="E18" s="34" t="n">
        <v>2400</v>
      </c>
      <c r="F18" s="35" t="n"/>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12%</t>
        </is>
      </c>
      <c r="F20" s="35" t="n"/>
    </row>
    <row r="21" ht="19.5" customHeight="1" s="8">
      <c r="A21" s="30" t="inlineStr">
        <is>
          <t>Annual Insurance Cost per Vehicle ($)</t>
        </is>
      </c>
      <c r="B21" s="31" t="n">
        <v>3000</v>
      </c>
      <c r="C21" s="32" t="n">
        <v>2600</v>
      </c>
      <c r="D21" s="33" t="n">
        <v>3000</v>
      </c>
      <c r="E21" s="34" t="n">
        <v>3800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7.0x</t>
        </is>
      </c>
      <c r="C35" s="48" t="inlineStr">
        <is>
          <t>6.0x</t>
        </is>
      </c>
      <c r="D35" s="48" t="inlineStr">
        <is>
          <t>7.0x</t>
        </is>
      </c>
      <c r="E35" s="48" t="inlineStr">
        <is>
          <t>9.0x</t>
        </is>
      </c>
      <c r="F35" s="39" t="inlineStr">
        <is>
          <t>Conservative for family capital</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NO PE INTRO NEEDED — Jeff Dudan is both PE backer AND operating CEO
PRIMARY CONTACT: Jeff Dudan (podcaster, Forbes contributor, content angle works)
BRAND WEDGE: Window Hero (Tyler Kirk, Founder) — direct Jeff Dudan connection
OPS CHAMPION: Zack Dudan (CGO) — Homecoming 4 vendor path (Nov 2026 Orlando)
⚠️ Franchisee satisfaction issues flagged Dec 2025 — position SB as system health proof point</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HOMEFRONT</t>
        </is>
      </c>
    </row>
    <row r="61" ht="48" customHeight="1" s="8">
      <c r="A61" s="61" t="inlineStr">
        <is>
          <t>Franchisee satisfaction issues flagged Dec 2025 — is system health a precondition we should surface to Jeff?</t>
        </is>
      </c>
      <c r="B61" s="56" t="inlineStr">
        <is>
          <t>Not Started</t>
        </is>
      </c>
      <c r="C61" s="62" t="n"/>
      <c r="D61" s="63" t="n"/>
      <c r="E61" s="64" t="n"/>
      <c r="F61" s="60" t="inlineStr">
        <is>
          <t>Position SB as proof point for system health, not just efficiency</t>
        </is>
      </c>
    </row>
    <row r="62" ht="48" customHeight="1" s="8">
      <c r="A62" s="61" t="inlineStr">
        <is>
          <t>Dudan Group = family office, not institutional PE — does EV/exit framing even apply?</t>
        </is>
      </c>
      <c r="B62" s="56" t="inlineStr">
        <is>
          <t>Not Started</t>
        </is>
      </c>
      <c r="C62" s="62" t="n"/>
      <c r="D62" s="63" t="n"/>
      <c r="E62" s="64" t="n"/>
      <c r="F62" s="60" t="inlineStr">
        <is>
          <t>Per-franchisee story likely lands better; consider dropping Section F for HomeFront outreach</t>
        </is>
      </c>
    </row>
    <row r="63" ht="48" customHeight="1" s="8">
      <c r="A63" s="61" t="inlineStr">
        <is>
          <t>$400 avg ticket for fence/exterior — validated across HomeFront brand mix (Window Hero vs Top Rail Fence vs Designery)?</t>
        </is>
      </c>
      <c r="B63" s="56" t="inlineStr">
        <is>
          <t>Not Started</t>
        </is>
      </c>
      <c r="C63" s="62" t="n"/>
      <c r="D63" s="63" t="n"/>
      <c r="E63" s="64" t="n"/>
      <c r="F63" s="60" t="inlineStr">
        <is>
          <t>Brand-level ticket differs significantly; consider brand-specific models</t>
        </is>
      </c>
    </row>
    <row r="64" ht="48" customHeight="1" s="8">
      <c r="A64" s="61" t="inlineStr">
        <is>
          <t>Window Hero (Tyler Kirk) = brand wedge with direct Jeff Dudan relationship — does brand-specific model serve better than franchisor rollup?</t>
        </is>
      </c>
      <c r="B64" s="56" t="inlineStr">
        <is>
          <t>Not Started</t>
        </is>
      </c>
      <c r="C64" s="62" t="n"/>
      <c r="D64" s="63" t="n"/>
      <c r="E64" s="64" t="n"/>
      <c r="F64" s="60" t="inlineStr">
        <is>
          <t>Consider running Window Hero single-brand Insight Engine for Tyler conversation</t>
        </is>
      </c>
    </row>
    <row r="66" ht="19.5" customHeight="1" s="8">
      <c r="A66" s="152" t="inlineStr">
        <is>
          <t xml:space="preserve">  SIGN-OFF  ·  All Checks Complete Before External Use</t>
        </is>
      </c>
    </row>
    <row r="67" ht="24" customHeight="1" s="8">
      <c r="A67" s="65" t="inlineStr">
        <is>
          <t>Mike Flynt  ·  Velocity GTM Co</t>
        </is>
      </c>
      <c r="B67" s="62" t="n"/>
      <c r="C67" s="66" t="inlineStr">
        <is>
          <t>Mike</t>
        </is>
      </c>
      <c r="D67" s="63" t="n"/>
      <c r="E67" s="64" t="n"/>
      <c r="F67" s="67" t="inlineStr">
        <is>
          <t>Signed off on all checkpoints</t>
        </is>
      </c>
    </row>
    <row r="68" ht="24" customHeight="1" s="8">
      <c r="A68" s="65" t="inlineStr">
        <is>
          <t>Garrett Else  ·  CFO, GPS Insight</t>
        </is>
      </c>
      <c r="B68" s="62" t="n"/>
      <c r="C68" s="66" t="inlineStr">
        <is>
          <t>Garrett</t>
        </is>
      </c>
      <c r="D68" s="63" t="n"/>
      <c r="E68" s="64" t="n"/>
      <c r="F68" s="67" t="inlineStr">
        <is>
          <t>ROI model sign-off on all assumptions</t>
        </is>
      </c>
    </row>
    <row r="69" ht="24" customHeight="1" s="8">
      <c r="A69" s="65" t="inlineStr">
        <is>
          <t>Charles Layne  ·  CEO, GPS Insight</t>
        </is>
      </c>
      <c r="B69" s="62" t="n"/>
      <c r="C69" s="66" t="inlineStr">
        <is>
          <t>Charles</t>
        </is>
      </c>
      <c r="D69" s="63" t="n"/>
      <c r="E69" s="64" t="n"/>
      <c r="F69" s="67" t="inlineStr">
        <is>
          <t>Optional — required for PE-facing external use</t>
        </is>
      </c>
    </row>
  </sheetData>
  <mergeCells count="18">
    <mergeCell ref="A2:F2"/>
    <mergeCell ref="A49:F49"/>
    <mergeCell ref="A42:F42"/>
    <mergeCell ref="A60:F60"/>
    <mergeCell ref="A46:F46"/>
    <mergeCell ref="A66:F66"/>
    <mergeCell ref="A45:F45"/>
    <mergeCell ref="A23:F23"/>
    <mergeCell ref="A1:F1"/>
    <mergeCell ref="A5:F5"/>
    <mergeCell ref="A26:F26"/>
    <mergeCell ref="A40:F40"/>
    <mergeCell ref="A17:F17"/>
    <mergeCell ref="A34:F34"/>
    <mergeCell ref="A12:F12"/>
    <mergeCell ref="A3:F3"/>
    <mergeCell ref="A39:F39"/>
    <mergeCell ref="A43:F43"/>
  </mergeCells>
  <dataValidations count="2">
    <dataValidation sqref="B50:B58 B61:B64 B67:B69" showDropDown="0" showInputMessage="0" showErrorMessage="0" allowBlank="1" errorTitle="Invalid entry" error="Please select from dropdown" type="list">
      <formula1>"Yes,No,Needs Work,Not Started"</formula1>
      <formula2>0</formula2>
    </dataValidation>
    <dataValidation sqref="C50:C58 C61:C64"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A2B3C"/>
    <outlinePr summaryBelow="1" summaryRight="1"/>
    <pageSetUpPr/>
  </sheetPr>
  <dimension ref="A1:F69"/>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AUTHORITY BRANDS</t>
        </is>
      </c>
    </row>
    <row r="2" ht="19.5" customHeight="1" s="8">
      <c r="A2" s="3" t="inlineStr">
        <is>
          <t>PE: Apax Partners  ·  15 brands · 12,098 techs · Multi-trade home services  ·  GPO: Yes (BuyMax)  ·  C/B: Consumer 90%  ·  Powered by GPS Insight · ServiceBridge</t>
        </is>
      </c>
    </row>
    <row r="3" ht="24" customHeight="1" s="8">
      <c r="A3" s="153" t="inlineStr">
        <is>
          <t>⚠️ 3 brands on ST mandate (BFP, Mister Sparky, One Hour) — EXCLUDED from model. Target 9 greenfield only.</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5000</v>
      </c>
      <c r="C6" s="32" t="n">
        <v>4000</v>
      </c>
      <c r="D6" s="33" t="n">
        <v>5000</v>
      </c>
      <c r="E6" s="34" t="n">
        <v>7000</v>
      </c>
      <c r="F6" s="35" t="inlineStr">
        <is>
          <t>9 non-ST greenfield brands only</t>
        </is>
      </c>
    </row>
    <row r="7" ht="19.5" customHeight="1" s="8">
      <c r="A7" s="30" t="inlineStr">
        <is>
          <t>Average Jobs per Tech per Day</t>
        </is>
      </c>
      <c r="B7" s="31" t="n">
        <v>4</v>
      </c>
      <c r="C7" s="32" t="n">
        <v>3</v>
      </c>
      <c r="D7" s="33" t="n">
        <v>4</v>
      </c>
      <c r="E7" s="34" t="n">
        <v>5</v>
      </c>
      <c r="F7" s="35" t="inlineStr">
        <is>
          <t>Mixed trades (ASP, TCA, DRYmedic, etc.)</t>
        </is>
      </c>
    </row>
    <row r="8" ht="19.5" customHeight="1" s="8">
      <c r="A8" s="30" t="inlineStr">
        <is>
          <t>Average Revenue per Job ($)</t>
        </is>
      </c>
      <c r="B8" s="31" t="n">
        <v>350</v>
      </c>
      <c r="C8" s="32" t="n">
        <v>300</v>
      </c>
      <c r="D8" s="33" t="n">
        <v>350</v>
      </c>
      <c r="E8" s="34" t="n">
        <v>500</v>
      </c>
      <c r="F8" s="35" t="inlineStr">
        <is>
          <t>Portfolio average ex-ST brands</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30</v>
      </c>
      <c r="C10" s="32" t="n">
        <v>26</v>
      </c>
      <c r="D10" s="33" t="n">
        <v>30</v>
      </c>
      <c r="E10" s="34" t="n">
        <v>34</v>
      </c>
      <c r="F10" s="35" t="n"/>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0.5</v>
      </c>
      <c r="C13" s="32" t="n">
        <v>0.3</v>
      </c>
      <c r="D13" s="33" t="n">
        <v>0.5</v>
      </c>
      <c r="E13" s="34" t="n">
        <v>0.75</v>
      </c>
      <c r="F13" s="35" t="inlineStr">
        <is>
          <t>Greenfield = high upside on non-ST brands</t>
        </is>
      </c>
    </row>
    <row r="14" ht="19.5" customHeight="1" s="8">
      <c r="A14" s="30" t="inlineStr">
        <is>
          <t>Admin Time Saved per Tech/Day (hrs)</t>
        </is>
      </c>
      <c r="B14" s="31" t="n">
        <v>1</v>
      </c>
      <c r="C14" s="32" t="n">
        <v>0.5</v>
      </c>
      <c r="D14" s="33" t="n">
        <v>1</v>
      </c>
      <c r="E14" s="34" t="n">
        <v>1.5</v>
      </c>
      <c r="F14" s="35" t="n"/>
    </row>
    <row r="15" ht="19.5" customHeight="1" s="8">
      <c r="A15" s="30" t="inlineStr">
        <is>
          <t>Invoice Cycle Reduction (days)</t>
        </is>
      </c>
      <c r="B15" s="31" t="n">
        <v>5</v>
      </c>
      <c r="C15" s="32" t="n">
        <v>3</v>
      </c>
      <c r="D15" s="33" t="n">
        <v>5</v>
      </c>
      <c r="E15" s="34" t="n">
        <v>8</v>
      </c>
      <c r="F15" s="35" t="n"/>
    </row>
    <row r="16" ht="19.5" customHeight="1" s="8">
      <c r="A16" s="30" t="inlineStr">
        <is>
          <t>First-Time Fix Rate Improvement (%)</t>
        </is>
      </c>
      <c r="B16" s="31" t="inlineStr">
        <is>
          <t>5%</t>
        </is>
      </c>
      <c r="C16" s="32" t="inlineStr">
        <is>
          <t>3%</t>
        </is>
      </c>
      <c r="D16" s="33" t="inlineStr">
        <is>
          <t>5%</t>
        </is>
      </c>
      <c r="E16" s="34" t="inlineStr">
        <is>
          <t>8%</t>
        </is>
      </c>
      <c r="F16" s="35" t="n"/>
    </row>
    <row r="17" ht="19.5" customHeight="1" s="8">
      <c r="A17" s="1" t="inlineStr">
        <is>
          <t>C: TELEMATICS UPLIFT (GPS Insight)</t>
        </is>
      </c>
    </row>
    <row r="18" ht="19.5" customHeight="1" s="8">
      <c r="A18" s="30" t="inlineStr">
        <is>
          <t>Fuel Savings per Vehicle/Year ($)</t>
        </is>
      </c>
      <c r="B18" s="31" t="n">
        <v>1800</v>
      </c>
      <c r="C18" s="32" t="n">
        <v>1400</v>
      </c>
      <c r="D18" s="33" t="n">
        <v>1800</v>
      </c>
      <c r="E18" s="34" t="n">
        <v>2600</v>
      </c>
      <c r="F18" s="35" t="n"/>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12%</t>
        </is>
      </c>
      <c r="F20" s="35" t="n"/>
    </row>
    <row r="21" ht="19.5" customHeight="1" s="8">
      <c r="A21" s="30" t="inlineStr">
        <is>
          <t>Annual Insurance Cost per Vehicle ($)</t>
        </is>
      </c>
      <c r="B21" s="31" t="n">
        <v>3200</v>
      </c>
      <c r="C21" s="32" t="n">
        <v>2800</v>
      </c>
      <c r="D21" s="33" t="n">
        <v>3200</v>
      </c>
      <c r="E21" s="34" t="n">
        <v>4000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8.0x</t>
        </is>
      </c>
      <c r="C35" s="48" t="inlineStr">
        <is>
          <t>7.0x</t>
        </is>
      </c>
      <c r="D35" s="48" t="inlineStr">
        <is>
          <t>8.0x</t>
        </is>
      </c>
      <c r="E35" s="48" t="inlineStr">
        <is>
          <t>10.0x</t>
        </is>
      </c>
      <c r="F35" s="39" t="inlineStr">
        <is>
          <t>FSM sector comps</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PE PATH: Apax Partners → Ashish Karandikar (deal lead 2018) via Charles
PRIMARY CONTACT: Tij Bedi (CTO, hired Aug 2024 to build tech infrastructure) — DIRECT LINKEDIN
BRAND STRATEGY: 3 brands on ServiceTitan mandate (BFP, Mister Sparky, One Hour). 9 brands GREENFIELD.
POSITIONING: ServiceBridge for the 9 brands ST doesn't serve. NO displacement story.
USE COMPETITIVE MATRIX TAB to show Tij ServiceBridge vs ServiceTitan side by side</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AUTHORITY</t>
        </is>
      </c>
    </row>
    <row r="61" ht="48" customHeight="1" s="8">
      <c r="A61" s="61" t="inlineStr">
        <is>
          <t>5,000 tech estimate on 9 non-ST brands is an estimate — sourced from Authority annual report or internal breakdown?</t>
        </is>
      </c>
      <c r="B61" s="56" t="inlineStr">
        <is>
          <t>Not Started</t>
        </is>
      </c>
      <c r="C61" s="62" t="n"/>
      <c r="D61" s="63" t="n"/>
      <c r="E61" s="64" t="n"/>
      <c r="F61" s="60" t="inlineStr">
        <is>
          <t>Ask Andrea for GPS Insight telematics coverage across non-ST Authority brands</t>
        </is>
      </c>
    </row>
    <row r="62" ht="48" customHeight="1" s="8">
      <c r="A62" s="61" t="inlineStr">
        <is>
          <t>ServiceTitan mandate on 3 brands (BFP, Mister Sparky, One Hour) announced Sep 2024 — transition complete by when? Any delays create opportunity?</t>
        </is>
      </c>
      <c r="B62" s="56" t="inlineStr">
        <is>
          <t>Not Started</t>
        </is>
      </c>
      <c r="C62" s="62" t="n"/>
      <c r="D62" s="63" t="n"/>
      <c r="E62" s="64" t="n"/>
      <c r="F62" s="60" t="inlineStr">
        <is>
          <t>Monitor ST implementation status — delays = opening</t>
        </is>
      </c>
    </row>
    <row r="63" ht="48" customHeight="1" s="8">
      <c r="A63" s="61" t="inlineStr">
        <is>
          <t>Tij Bedi (CTO, joined Aug 2024) = hired to build tech — does he want to BUILD in-house, or BUY ServiceBridge?</t>
        </is>
      </c>
      <c r="B63" s="56" t="inlineStr">
        <is>
          <t>Not Started</t>
        </is>
      </c>
      <c r="C63" s="62" t="n"/>
      <c r="D63" s="63" t="n"/>
      <c r="E63" s="64" t="n"/>
      <c r="F63" s="60" t="inlineStr">
        <is>
          <t>Critical stress test — ask Tij directly: build vs buy philosophy</t>
        </is>
      </c>
    </row>
    <row r="64" ht="48" customHeight="1" s="8">
      <c r="A64" s="61" t="inlineStr">
        <is>
          <t>Apax Partners = large-cap PE with digital transformation thesis — is 8x exit multiple conservative or aggressive for Apax portfolio?</t>
        </is>
      </c>
      <c r="B64" s="56" t="inlineStr">
        <is>
          <t>Not Started</t>
        </is>
      </c>
      <c r="C64" s="62" t="n"/>
      <c r="D64" s="63" t="n"/>
      <c r="E64" s="64" t="n"/>
      <c r="F64" s="60" t="inlineStr">
        <is>
          <t>Research recent Apax home services exits for multiple calibration</t>
        </is>
      </c>
    </row>
    <row r="66" ht="19.5" customHeight="1" s="8">
      <c r="A66" s="152" t="inlineStr">
        <is>
          <t xml:space="preserve">  SIGN-OFF  ·  All Checks Complete Before External Use</t>
        </is>
      </c>
    </row>
    <row r="67" ht="24" customHeight="1" s="8">
      <c r="A67" s="65" t="inlineStr">
        <is>
          <t>Mike Flynt  ·  Velocity GTM Co</t>
        </is>
      </c>
      <c r="B67" s="62" t="n"/>
      <c r="C67" s="66" t="inlineStr">
        <is>
          <t>Mike</t>
        </is>
      </c>
      <c r="D67" s="63" t="n"/>
      <c r="E67" s="64" t="n"/>
      <c r="F67" s="67" t="inlineStr">
        <is>
          <t>Signed off on all checkpoints</t>
        </is>
      </c>
    </row>
    <row r="68" ht="24" customHeight="1" s="8">
      <c r="A68" s="65" t="inlineStr">
        <is>
          <t>Garrett Else  ·  CFO, GPS Insight</t>
        </is>
      </c>
      <c r="B68" s="62" t="n"/>
      <c r="C68" s="66" t="inlineStr">
        <is>
          <t>Garrett</t>
        </is>
      </c>
      <c r="D68" s="63" t="n"/>
      <c r="E68" s="64" t="n"/>
      <c r="F68" s="67" t="inlineStr">
        <is>
          <t>ROI model sign-off on all assumptions</t>
        </is>
      </c>
    </row>
    <row r="69" ht="24" customHeight="1" s="8">
      <c r="A69" s="65" t="inlineStr">
        <is>
          <t>Charles Layne  ·  CEO, GPS Insight</t>
        </is>
      </c>
      <c r="B69" s="62" t="n"/>
      <c r="C69" s="66" t="inlineStr">
        <is>
          <t>Charles</t>
        </is>
      </c>
      <c r="D69" s="63" t="n"/>
      <c r="E69" s="64" t="n"/>
      <c r="F69" s="67" t="inlineStr">
        <is>
          <t>Optional — required for PE-facing external use</t>
        </is>
      </c>
    </row>
  </sheetData>
  <mergeCells count="18">
    <mergeCell ref="A2:F2"/>
    <mergeCell ref="A49:F49"/>
    <mergeCell ref="A42:F42"/>
    <mergeCell ref="A60:F60"/>
    <mergeCell ref="A46:F46"/>
    <mergeCell ref="A66:F66"/>
    <mergeCell ref="A45:F45"/>
    <mergeCell ref="A23:F23"/>
    <mergeCell ref="A1:F1"/>
    <mergeCell ref="A5:F5"/>
    <mergeCell ref="A26:F26"/>
    <mergeCell ref="A40:F40"/>
    <mergeCell ref="A17:F17"/>
    <mergeCell ref="A34:F34"/>
    <mergeCell ref="A12:F12"/>
    <mergeCell ref="A3:F3"/>
    <mergeCell ref="A39:F39"/>
    <mergeCell ref="A43:F43"/>
  </mergeCells>
  <dataValidations count="2">
    <dataValidation sqref="B50:B58 B61:B64 B67:B69" showDropDown="0" showInputMessage="0" showErrorMessage="0" allowBlank="1" errorTitle="Invalid entry" error="Please select from dropdown" type="list">
      <formula1>"Yes,No,Needs Work,Not Started"</formula1>
      <formula2>0</formula2>
    </dataValidation>
    <dataValidation sqref="C50:C58 C61:C64"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A2B3C"/>
    <outlinePr summaryBelow="1" summaryRight="1"/>
    <pageSetUpPr/>
  </sheetPr>
  <dimension ref="A1:F70"/>
  <sheetViews>
    <sheetView zoomScaleNormal="100" workbookViewId="0">
      <pane ySplit="4" topLeftCell="A5" activePane="bottomLeft" state="frozen"/>
      <selection pane="bottomLeft" activeCell="A1" sqref="A1"/>
    </sheetView>
  </sheetViews>
  <sheetFormatPr baseColWidth="10" defaultColWidth="8.6640625" defaultRowHeight="15"/>
  <cols>
    <col width="44" customWidth="1" style="8" min="1" max="1"/>
    <col width="15" customWidth="1" style="8" min="2" max="5"/>
    <col width="42" customWidth="1" style="8" min="6" max="6"/>
  </cols>
  <sheetData>
    <row r="1" ht="25.5" customHeight="1" s="8">
      <c r="A1" s="4" t="inlineStr">
        <is>
          <t>THE INSIGHT ENGINE  |  NEIGHBORLY</t>
        </is>
      </c>
    </row>
    <row r="2" ht="19.5" customHeight="1" s="8">
      <c r="A2" s="3" t="inlineStr">
        <is>
          <t>PE: KKR  ·  19 brands · 13,259 techs · Mature multi-trade home services system  ·  GPO: Yes (ProTradeNet)  ·  C/B: Consumer 80%  ·  Powered by GPS Insight · ServiceBridge</t>
        </is>
      </c>
    </row>
    <row r="3" ht="24" customHeight="1" s="8">
      <c r="A3" s="153" t="inlineStr">
        <is>
          <t>🛑 DO NOT APPROACH DIRECT. PE intro only via Charles → Accel-KKR → KKR → Felix Gernburd. Model reflects telematics-only value.</t>
        </is>
      </c>
    </row>
    <row r="4" ht="21.75" customHeight="1" s="8">
      <c r="A4" s="28" t="inlineStr">
        <is>
          <t>INPUT / METRIC</t>
        </is>
      </c>
      <c r="B4" s="29" t="inlineStr">
        <is>
          <t>Your Value</t>
        </is>
      </c>
      <c r="C4" s="29" t="inlineStr">
        <is>
          <t>Conservative</t>
        </is>
      </c>
      <c r="D4" s="29" t="inlineStr">
        <is>
          <t>Base Case</t>
        </is>
      </c>
      <c r="E4" s="29" t="inlineStr">
        <is>
          <t>Stretch</t>
        </is>
      </c>
      <c r="F4" s="28" t="inlineStr">
        <is>
          <t>Notes / Source</t>
        </is>
      </c>
    </row>
    <row r="5" ht="19.5" customHeight="1" s="8">
      <c r="A5" s="1" t="inlineStr">
        <is>
          <t>A: BUSINESS PROFILE</t>
        </is>
      </c>
    </row>
    <row r="6" ht="19.5" customHeight="1" s="8">
      <c r="A6" s="30" t="inlineStr">
        <is>
          <t>Number of Field Technicians</t>
        </is>
      </c>
      <c r="B6" s="31" t="n">
        <v>13259</v>
      </c>
      <c r="C6" s="32" t="n">
        <v>10000</v>
      </c>
      <c r="D6" s="33" t="n">
        <v>13259</v>
      </c>
      <c r="E6" s="34" t="n">
        <v>13259</v>
      </c>
      <c r="F6" s="35" t="inlineStr">
        <is>
          <t>16-brand network total</t>
        </is>
      </c>
    </row>
    <row r="7" ht="19.5" customHeight="1" s="8">
      <c r="A7" s="30" t="inlineStr">
        <is>
          <t>Average Jobs per Tech per Day</t>
        </is>
      </c>
      <c r="B7" s="31" t="n">
        <v>5</v>
      </c>
      <c r="C7" s="32" t="n">
        <v>4</v>
      </c>
      <c r="D7" s="33" t="n">
        <v>5</v>
      </c>
      <c r="E7" s="34" t="n">
        <v>6</v>
      </c>
      <c r="F7" s="35" t="inlineStr">
        <is>
          <t>Mature ST system (higher baseline)</t>
        </is>
      </c>
    </row>
    <row r="8" ht="19.5" customHeight="1" s="8">
      <c r="A8" s="30" t="inlineStr">
        <is>
          <t>Average Revenue per Job ($)</t>
        </is>
      </c>
      <c r="B8" s="31" t="n">
        <v>400</v>
      </c>
      <c r="C8" s="32" t="n">
        <v>300</v>
      </c>
      <c r="D8" s="33" t="n">
        <v>400</v>
      </c>
      <c r="E8" s="34" t="n">
        <v>500</v>
      </c>
      <c r="F8" s="35" t="inlineStr">
        <is>
          <t>Portfolio average</t>
        </is>
      </c>
    </row>
    <row r="9" ht="19.5" customHeight="1" s="8">
      <c r="A9" s="30" t="inlineStr">
        <is>
          <t>Working Days per Year</t>
        </is>
      </c>
      <c r="B9" s="31" t="n">
        <v>260</v>
      </c>
      <c r="C9" s="36" t="n">
        <v>260</v>
      </c>
      <c r="D9" s="37" t="n">
        <v>260</v>
      </c>
      <c r="E9" s="38" t="n">
        <v>260</v>
      </c>
      <c r="F9" s="39" t="inlineStr">
        <is>
          <t>Standard 5-day work year</t>
        </is>
      </c>
    </row>
    <row r="10" ht="19.5" customHeight="1" s="8">
      <c r="A10" s="30" t="inlineStr">
        <is>
          <t>Average Hourly Tech Wage ($)</t>
        </is>
      </c>
      <c r="B10" s="31" t="n">
        <v>30</v>
      </c>
      <c r="C10" s="32" t="n">
        <v>26</v>
      </c>
      <c r="D10" s="33" t="n">
        <v>30</v>
      </c>
      <c r="E10" s="34" t="n">
        <v>34</v>
      </c>
      <c r="F10" s="35" t="n"/>
    </row>
    <row r="11" ht="19.5" customHeight="1" s="8">
      <c r="A11" s="30" t="inlineStr">
        <is>
          <t>Gross Margin Assumption (%)</t>
        </is>
      </c>
      <c r="B11" s="31" t="inlineStr">
        <is>
          <t>30%</t>
        </is>
      </c>
      <c r="C11" s="36" t="inlineStr">
        <is>
          <t>25%</t>
        </is>
      </c>
      <c r="D11" s="37" t="inlineStr">
        <is>
          <t>30%</t>
        </is>
      </c>
      <c r="E11" s="38" t="inlineStr">
        <is>
          <t>35%</t>
        </is>
      </c>
      <c r="F11" s="35" t="inlineStr">
        <is>
          <t>Field services gross margin (rev - COGS, pre-overhead)</t>
        </is>
      </c>
    </row>
    <row r="12" ht="19.5" customHeight="1" s="8">
      <c r="A12" s="1" t="inlineStr">
        <is>
          <t>B: FSM UPLIFT (ServiceBridge)</t>
        </is>
      </c>
    </row>
    <row r="13" ht="19.5" customHeight="1" s="8">
      <c r="A13" s="30" t="inlineStr">
        <is>
          <t>Additional Jobs/Tech/Day (FSM)</t>
        </is>
      </c>
      <c r="B13" s="31" t="n">
        <v>0.2</v>
      </c>
      <c r="C13" s="32" t="n">
        <v>0.1</v>
      </c>
      <c r="D13" s="33" t="n">
        <v>0.2</v>
      </c>
      <c r="E13" s="34" t="n">
        <v>0.3</v>
      </c>
      <c r="F13" s="35" t="inlineStr">
        <is>
          <t>Minimal FSM uplift — ST already delivers</t>
        </is>
      </c>
    </row>
    <row r="14" ht="19.5" customHeight="1" s="8">
      <c r="A14" s="30" t="inlineStr">
        <is>
          <t>Admin Time Saved per Tech/Day (hrs)</t>
        </is>
      </c>
      <c r="B14" s="31" t="n">
        <v>0.3</v>
      </c>
      <c r="C14" s="32" t="n">
        <v>0.2</v>
      </c>
      <c r="D14" s="33" t="n">
        <v>0.3</v>
      </c>
      <c r="E14" s="34" t="n">
        <v>0.5</v>
      </c>
      <c r="F14" s="35" t="n"/>
    </row>
    <row r="15" ht="19.5" customHeight="1" s="8">
      <c r="A15" s="30" t="inlineStr">
        <is>
          <t>Invoice Cycle Reduction (days)</t>
        </is>
      </c>
      <c r="B15" s="31" t="n">
        <v>2</v>
      </c>
      <c r="C15" s="32" t="n">
        <v>1</v>
      </c>
      <c r="D15" s="33" t="n">
        <v>2</v>
      </c>
      <c r="E15" s="34" t="n">
        <v>3</v>
      </c>
      <c r="F15" s="35" t="n"/>
    </row>
    <row r="16" ht="19.5" customHeight="1" s="8">
      <c r="A16" s="30" t="inlineStr">
        <is>
          <t>First-Time Fix Rate Improvement (%)</t>
        </is>
      </c>
      <c r="B16" s="31" t="inlineStr">
        <is>
          <t>2%</t>
        </is>
      </c>
      <c r="C16" s="32" t="inlineStr">
        <is>
          <t>1%</t>
        </is>
      </c>
      <c r="D16" s="33" t="inlineStr">
        <is>
          <t>2%</t>
        </is>
      </c>
      <c r="E16" s="34" t="inlineStr">
        <is>
          <t>3%</t>
        </is>
      </c>
      <c r="F16" s="35" t="n"/>
    </row>
    <row r="17" ht="19.5" customHeight="1" s="8">
      <c r="A17" s="1" t="inlineStr">
        <is>
          <t>C: TELEMATICS UPLIFT (GPS Insight)</t>
        </is>
      </c>
    </row>
    <row r="18" ht="19.5" customHeight="1" s="8">
      <c r="A18" s="30" t="inlineStr">
        <is>
          <t>Fuel Savings per Vehicle/Year ($)</t>
        </is>
      </c>
      <c r="B18" s="31" t="n">
        <v>2000</v>
      </c>
      <c r="C18" s="32" t="n">
        <v>1500</v>
      </c>
      <c r="D18" s="33" t="n">
        <v>2000</v>
      </c>
      <c r="E18" s="34" t="n">
        <v>3000</v>
      </c>
      <c r="F18" s="35" t="n"/>
    </row>
    <row r="19" ht="19.5" customHeight="1" s="8">
      <c r="A19" s="30" t="inlineStr">
        <is>
          <t>Labor Recovered per Tech/Day (hrs)</t>
        </is>
      </c>
      <c r="B19" s="31" t="n">
        <v>0.5</v>
      </c>
      <c r="C19" s="32" t="n">
        <v>0.3</v>
      </c>
      <c r="D19" s="33" t="n">
        <v>0.5</v>
      </c>
      <c r="E19" s="34" t="n">
        <v>0.75</v>
      </c>
      <c r="F19" s="35" t="n"/>
    </row>
    <row r="20" ht="19.5" customHeight="1" s="8">
      <c r="A20" s="30" t="inlineStr">
        <is>
          <t>Insurance Premium Reduction (%)</t>
        </is>
      </c>
      <c r="B20" s="31" t="inlineStr">
        <is>
          <t>8%</t>
        </is>
      </c>
      <c r="C20" s="32" t="inlineStr">
        <is>
          <t>5%</t>
        </is>
      </c>
      <c r="D20" s="33" t="inlineStr">
        <is>
          <t>8%</t>
        </is>
      </c>
      <c r="E20" s="34" t="inlineStr">
        <is>
          <t>12%</t>
        </is>
      </c>
      <c r="F20" s="35" t="n"/>
    </row>
    <row r="21" ht="19.5" customHeight="1" s="8">
      <c r="A21" s="30" t="inlineStr">
        <is>
          <t>Annual Insurance Cost per Vehicle ($)</t>
        </is>
      </c>
      <c r="B21" s="31" t="n">
        <v>3200</v>
      </c>
      <c r="C21" s="32" t="n">
        <v>2800</v>
      </c>
      <c r="D21" s="33" t="n">
        <v>3200</v>
      </c>
      <c r="E21" s="34" t="n">
        <v>4000</v>
      </c>
      <c r="F21" s="35" t="n"/>
    </row>
    <row r="23" ht="19.5" customHeight="1" s="8">
      <c r="A23" s="141" t="inlineStr">
        <is>
          <t>D: TOP-LINE IMPACT (Informational)</t>
        </is>
      </c>
    </row>
    <row r="24" ht="19.5" customHeight="1" s="8">
      <c r="A24" s="30" t="inlineStr">
        <is>
          <t>Incremental Revenue (Additional Jobs × Ticket)</t>
        </is>
      </c>
      <c r="B24" s="40">
        <f>B6*B13*B8*B9</f>
        <v/>
      </c>
      <c r="C24" s="40">
        <f>C6*C13*C8*C9</f>
        <v/>
      </c>
      <c r="D24" s="40">
        <f>D6*D13*D8*D9</f>
        <v/>
      </c>
      <c r="E24" s="40">
        <f>E6*E13*E8*E9</f>
        <v/>
      </c>
      <c r="F24" s="35" t="inlineStr">
        <is>
          <t>Techs × Addtl Jobs × Ticket × Days — gross top-line lift</t>
        </is>
      </c>
    </row>
    <row r="26" ht="19.5" customHeight="1" s="8">
      <c r="A26" s="142" t="inlineStr">
        <is>
          <t>E: EBITDA CONTRIBUTION  ·  THE PE HEADLINE</t>
        </is>
      </c>
    </row>
    <row r="27" ht="19.5" customHeight="1" s="8">
      <c r="A27" s="41" t="inlineStr">
        <is>
          <t>Incremental Gross Profit (Rev × Gross Margin)</t>
        </is>
      </c>
      <c r="B27" s="42">
        <f>B24*B11</f>
        <v/>
      </c>
      <c r="C27" s="42">
        <f>C24*C11</f>
        <v/>
      </c>
      <c r="D27" s="42">
        <f>D24*D11</f>
        <v/>
      </c>
      <c r="E27" s="42">
        <f>E24*E11</f>
        <v/>
      </c>
      <c r="F27" s="35" t="inlineStr">
        <is>
          <t>Revenue × Gross Margin = margin dollars, not top-line</t>
        </is>
      </c>
    </row>
    <row r="28" ht="19.5" customHeight="1" s="8">
      <c r="A28" s="41" t="inlineStr">
        <is>
          <t>Admin Labor Savings</t>
        </is>
      </c>
      <c r="B28" s="42">
        <f>B6*B14*B10*B9</f>
        <v/>
      </c>
      <c r="C28" s="42">
        <f>C6*C14*C10*C9</f>
        <v/>
      </c>
      <c r="D28" s="42">
        <f>D6*D14*D10*D9</f>
        <v/>
      </c>
      <c r="E28" s="42">
        <f>E6*E14*E10*E9</f>
        <v/>
      </c>
      <c r="F28" s="35" t="inlineStr">
        <is>
          <t>Techs × Hours Saved × Wage × Days</t>
        </is>
      </c>
    </row>
    <row r="29" ht="19.5" customHeight="1" s="8">
      <c r="A29" s="41" t="inlineStr">
        <is>
          <t>Fuel Cost Savings</t>
        </is>
      </c>
      <c r="B29" s="42">
        <f>B6*B18</f>
        <v/>
      </c>
      <c r="C29" s="42">
        <f>C6*C18</f>
        <v/>
      </c>
      <c r="D29" s="42">
        <f>D6*D18</f>
        <v/>
      </c>
      <c r="E29" s="42">
        <f>E6*E18</f>
        <v/>
      </c>
      <c r="F29" s="35" t="inlineStr">
        <is>
          <t>Techs × Annual Fuel Savings per Vehicle</t>
        </is>
      </c>
    </row>
    <row r="30" ht="19.5" customHeight="1" s="8">
      <c r="A30" s="41" t="inlineStr">
        <is>
          <t>Telematics Labor Recovery</t>
        </is>
      </c>
      <c r="B30" s="42">
        <f>B6*B19*B10*B9</f>
        <v/>
      </c>
      <c r="C30" s="42">
        <f>C6*C19*C10*C9</f>
        <v/>
      </c>
      <c r="D30" s="42">
        <f>D6*D19*D10*D9</f>
        <v/>
      </c>
      <c r="E30" s="42">
        <f>E6*E19*E10*E9</f>
        <v/>
      </c>
      <c r="F30" s="35" t="inlineStr">
        <is>
          <t>Techs × Hours Recovered × Wage × Days</t>
        </is>
      </c>
    </row>
    <row r="31" ht="19.5" customHeight="1" s="8">
      <c r="A31" s="41" t="inlineStr">
        <is>
          <t>Insurance Premium Savings</t>
        </is>
      </c>
      <c r="B31" s="42">
        <f>B6*B21*B20</f>
        <v/>
      </c>
      <c r="C31" s="42">
        <f>C6*C21*C20</f>
        <v/>
      </c>
      <c r="D31" s="42">
        <f>D6*D21*D20</f>
        <v/>
      </c>
      <c r="E31" s="42">
        <f>E6*E21*E20</f>
        <v/>
      </c>
      <c r="F31" s="35" t="inlineStr">
        <is>
          <t>Techs × Annual Insurance × Premium Reduction %</t>
        </is>
      </c>
    </row>
    <row r="32" ht="27.75" customHeight="1" s="8">
      <c r="A32" s="43" t="inlineStr">
        <is>
          <t>TOTAL ANNUAL EBITDA CONTRIBUTION</t>
        </is>
      </c>
      <c r="B32" s="44">
        <f>SUM(B27:B31)</f>
        <v/>
      </c>
      <c r="C32" s="44">
        <f>SUM(C27:C31)</f>
        <v/>
      </c>
      <c r="D32" s="44">
        <f>SUM(D27:D31)</f>
        <v/>
      </c>
      <c r="E32" s="44">
        <f>SUM(E27:E31)</f>
        <v/>
      </c>
      <c r="F32" s="45" t="inlineStr">
        <is>
          <t>Gross Profit on new revenue + all cost savings = EBITDA uplift</t>
        </is>
      </c>
    </row>
    <row r="34" ht="19.5" customHeight="1" s="8">
      <c r="A34" s="143" t="inlineStr">
        <is>
          <t>F: ENTERPRISE VALUE IMPACT  ·  THE PE CLOSE</t>
        </is>
      </c>
    </row>
    <row r="35" ht="19.5" customHeight="1" s="8">
      <c r="A35" s="46" t="inlineStr">
        <is>
          <t>EV/EBITDA Exit Multiple</t>
        </is>
      </c>
      <c r="B35" s="47" t="inlineStr">
        <is>
          <t>10.0x</t>
        </is>
      </c>
      <c r="C35" s="48" t="inlineStr">
        <is>
          <t>8.0x</t>
        </is>
      </c>
      <c r="D35" s="48" t="inlineStr">
        <is>
          <t>10.0x</t>
        </is>
      </c>
      <c r="E35" s="48" t="inlineStr">
        <is>
          <t>12.0x</t>
        </is>
      </c>
      <c r="F35" s="39" t="inlineStr">
        <is>
          <t>Large-cap PE exit multiples</t>
        </is>
      </c>
    </row>
    <row r="36" ht="30" customHeight="1" s="8">
      <c r="A36" s="49" t="inlineStr">
        <is>
          <t>ENTERPRISE VALUE IMPACT</t>
        </is>
      </c>
      <c r="B36" s="50">
        <f>B32*VALUE(SUBSTITUTE(B35,"x",""))</f>
        <v/>
      </c>
      <c r="C36" s="50">
        <f>C32*VALUE(SUBSTITUTE(C35,"x",""))</f>
        <v/>
      </c>
      <c r="D36" s="50">
        <f>D32*VALUE(SUBSTITUTE(D35,"x",""))</f>
        <v/>
      </c>
      <c r="E36" s="50">
        <f>E32*VALUE(SUBSTITUTE(E35,"x",""))</f>
        <v/>
      </c>
      <c r="F36" s="51" t="inlineStr">
        <is>
          <t>EBITDA Contribution × Exit Multiple</t>
        </is>
      </c>
    </row>
    <row r="37" ht="19.5" customHeight="1" s="8">
      <c r="A37" s="52" t="inlineStr">
        <is>
          <t>EBITDA per Technician (annual)</t>
        </is>
      </c>
      <c r="B37" s="53">
        <f>B32/B6</f>
        <v/>
      </c>
      <c r="C37" s="53">
        <f>C32/C6</f>
        <v/>
      </c>
      <c r="D37" s="53">
        <f>D32/D6</f>
        <v/>
      </c>
      <c r="E37" s="53">
        <f>E32/E6</f>
        <v/>
      </c>
      <c r="F37" s="39" t="inlineStr">
        <is>
          <t>EBITDA Contribution ÷ Tech Count</t>
        </is>
      </c>
    </row>
    <row r="39" ht="19.5" customHeight="1" s="8">
      <c r="A39" s="144" t="inlineStr">
        <is>
          <t>G: ACCOUNT INTELLIGENCE &amp; ENGAGEMENT NOTES</t>
        </is>
      </c>
    </row>
    <row r="40" ht="129.75" customHeight="1" s="8">
      <c r="A40" s="145" t="inlineStr">
        <is>
          <t>⚠️ DO NOT APPROACH DIRECT under any circumstances.
PE PATH ONLY: Charles Layne → Accel-KKR → KKR → Felix Gernburd (Managing Director)
FOCUS: This is a TELEMATICS play (GPS Insight / Smart Fleet USA renewal), NOT FSM displacement.
ST MANDATED since 2012 across all core brands. Do not pitch ServiceBridge as FSM replacement.
ST RENEWAL WINDOW: 2025-2027 = leverage point for telematics angle
Model above assumes telematics-only value. FSM uplift minimal.</t>
        </is>
      </c>
    </row>
    <row r="42" ht="18" customHeight="1" s="8">
      <c r="A42" s="146" t="inlineStr">
        <is>
          <t>DISCLAIMER</t>
        </is>
      </c>
    </row>
    <row r="43" ht="54.75" customHeight="1" s="8">
      <c r="A43" s="147" t="inlineStr">
        <is>
          <t>The Insight Engine is a predictive modeling tool designed to size the EBITDA and Enterprise Value opportunity for franchise networks. All projections are estimates only. Actual results will vary based on operational conditions, market dynamics, franchise network size, implementation quality, and factors beyond the control of GPS Insight or ServiceBridge. Gross margin and exit multiple assumptions are industry benchmarks and should be validated with franchisor financials before external use. This tool does not constitute financial, investment, legal, or business advice.</t>
        </is>
      </c>
    </row>
    <row r="45" ht="24" customHeight="1" s="8">
      <c r="A45" s="148" t="inlineStr">
        <is>
          <t>H: VALIDATION CHECKLIST  ·  Stress-Test Before External Use</t>
        </is>
      </c>
    </row>
    <row r="46" ht="27.75" customHeight="1" s="8">
      <c r="A46" s="149" t="inlineStr">
        <is>
          <t>Mike + Garrett: Review every input assumption before using this tab with external stakeholders. Mark Yes / No / Needs Work. Add notes. Sign + date at bottom.</t>
        </is>
      </c>
    </row>
    <row r="48" ht="19.5" customHeight="1" s="8">
      <c r="A48" s="54" t="inlineStr">
        <is>
          <t>CHECKPOINT</t>
        </is>
      </c>
      <c r="B48" s="54" t="inlineStr">
        <is>
          <t>Status</t>
        </is>
      </c>
      <c r="C48" s="54" t="inlineStr">
        <is>
          <t>Who</t>
        </is>
      </c>
      <c r="D48" s="54" t="inlineStr">
        <is>
          <t>Date</t>
        </is>
      </c>
      <c r="E48" s="54" t="inlineStr">
        <is>
          <t>Validation Notes / Source</t>
        </is>
      </c>
      <c r="F48" s="54" t="inlineStr">
        <is>
          <t>Action Needed</t>
        </is>
      </c>
    </row>
    <row r="49" ht="18" customHeight="1" s="8">
      <c r="A49" s="150" t="inlineStr">
        <is>
          <t xml:space="preserve">  UNIVERSAL CHECKS (Apply to All Franchisors)</t>
        </is>
      </c>
    </row>
    <row r="50" ht="39.75" customHeight="1" s="8">
      <c r="A50" s="55" t="inlineStr">
        <is>
          <t>Tech count — Does the network size reflect only the in-scope brands (e.g. excluding ST-mandated/conflict brands)?</t>
        </is>
      </c>
      <c r="B50" s="56" t="inlineStr">
        <is>
          <t>Not Started</t>
        </is>
      </c>
      <c r="C50" s="57" t="n"/>
      <c r="D50" s="58" t="n"/>
      <c r="E50" s="59" t="n"/>
      <c r="F50" s="60" t="inlineStr">
        <is>
          <t>Validate against FDD Item 20 or franchisor-disclosed tech roster</t>
        </is>
      </c>
    </row>
    <row r="51" ht="39.75" customHeight="1" s="8">
      <c r="A51" s="55" t="inlineStr">
        <is>
          <t>Revenue per job — Is the ticket size backed by FDD Item 19 or franchisor-disclosed unit economics?</t>
        </is>
      </c>
      <c r="B51" s="56" t="inlineStr">
        <is>
          <t>Not Started</t>
        </is>
      </c>
      <c r="C51" s="57" t="n"/>
      <c r="D51" s="58" t="n"/>
      <c r="E51" s="59" t="n"/>
      <c r="F51" s="60" t="inlineStr">
        <is>
          <t>Pull FDD from Wisconsin/California registry if not already validated</t>
        </is>
      </c>
    </row>
    <row r="52" ht="39.75" customHeight="1" s="8">
      <c r="A52" s="55" t="inlineStr">
        <is>
          <t>Additional jobs/tech/day — Is this achievable for this trade mix given dispatch frequency?</t>
        </is>
      </c>
      <c r="B52" s="56" t="inlineStr">
        <is>
          <t>Not Started</t>
        </is>
      </c>
      <c r="C52" s="57" t="n"/>
      <c r="D52" s="58" t="n"/>
      <c r="E52" s="59" t="n"/>
      <c r="F52" s="60" t="inlineStr">
        <is>
          <t>Route-based trades: 0.5+ defensible. Emergency dispatch: 0.2-0.3 max.</t>
        </is>
      </c>
    </row>
    <row r="53" ht="39.75" customHeight="1" s="8">
      <c r="A53" s="55" t="inlineStr">
        <is>
          <t>Gross margin — Does 30% reflect THIS network's actual margin profile?</t>
        </is>
      </c>
      <c r="B53" s="56" t="inlineStr">
        <is>
          <t>Not Started</t>
        </is>
      </c>
      <c r="C53" s="57" t="n"/>
      <c r="D53" s="58" t="n"/>
      <c r="E53" s="59" t="n"/>
      <c r="F53" s="60" t="inlineStr">
        <is>
          <t>Validate against franchisor P&amp;L or FDD Item 21 if available</t>
        </is>
      </c>
    </row>
    <row r="54" ht="39.75" customHeight="1" s="8">
      <c r="A54" s="55" t="inlineStr">
        <is>
          <t>Admin time saved — Validated against actual ServiceBridge customer reference?</t>
        </is>
      </c>
      <c r="B54" s="56" t="inlineStr">
        <is>
          <t>Not Started</t>
        </is>
      </c>
      <c r="C54" s="57" t="n"/>
      <c r="D54" s="58" t="n"/>
      <c r="E54" s="59" t="n"/>
      <c r="F54" s="60" t="inlineStr">
        <is>
          <t>Ask Andrea for reference data from comparable ServiceBridge customer</t>
        </is>
      </c>
    </row>
    <row r="55" ht="39.75" customHeight="1" s="8">
      <c r="A55" s="55" t="inlineStr">
        <is>
          <t>Fuel savings/vehicle — Aligned with GPS Insight published customer data?</t>
        </is>
      </c>
      <c r="B55" s="56" t="inlineStr">
        <is>
          <t>Not Started</t>
        </is>
      </c>
      <c r="C55" s="57" t="n"/>
      <c r="D55" s="58" t="n"/>
      <c r="E55" s="59" t="n"/>
      <c r="F55" s="60" t="inlineStr">
        <is>
          <t>Ask Andrea for the GPS Insight fuel savings customer case studies</t>
        </is>
      </c>
    </row>
    <row r="56" ht="39.75" customHeight="1" s="8">
      <c r="A56" s="55" t="inlineStr">
        <is>
          <t>Insurance reduction — Reflects actual carrier adjustments for this trade?</t>
        </is>
      </c>
      <c r="B56" s="56" t="inlineStr">
        <is>
          <t>Not Started</t>
        </is>
      </c>
      <c r="C56" s="57" t="n"/>
      <c r="D56" s="58" t="n"/>
      <c r="E56" s="59" t="n"/>
      <c r="F56" s="60" t="inlineStr">
        <is>
          <t>Validate with insurance carrier if restoration/high-risk trade</t>
        </is>
      </c>
    </row>
    <row r="57" ht="39.75" customHeight="1" s="8">
      <c r="A57" s="55" t="inlineStr">
        <is>
          <t>Exit multiple — Matches recent comparable PE transactions in this segment?</t>
        </is>
      </c>
      <c r="B57" s="56" t="inlineStr">
        <is>
          <t>Not Started</t>
        </is>
      </c>
      <c r="C57" s="57" t="n"/>
      <c r="D57" s="58" t="n"/>
      <c r="E57" s="59" t="n"/>
      <c r="F57" s="60" t="inlineStr">
        <is>
          <t>Pull recent sector comps via Pitchbook or S&amp;P Capital IQ</t>
        </is>
      </c>
    </row>
    <row r="58" ht="39.75" customHeight="1" s="8">
      <c r="A58" s="55" t="inlineStr">
        <is>
          <t>EBITDA per tech — Defensible against industry benchmarks (typically $10K-$30K/tech)?</t>
        </is>
      </c>
      <c r="B58" s="56" t="inlineStr">
        <is>
          <t>Not Started</t>
        </is>
      </c>
      <c r="C58" s="57" t="n"/>
      <c r="D58" s="58" t="n"/>
      <c r="E58" s="59" t="n"/>
      <c r="F58" s="60" t="inlineStr">
        <is>
          <t>If &gt;$50K/tech, likely overstated — review inputs</t>
        </is>
      </c>
    </row>
    <row r="60" ht="18" customHeight="1" s="8">
      <c r="A60" s="151" t="inlineStr">
        <is>
          <t xml:space="preserve">  ACCOUNT-SPECIFIC STRESS TESTS  ·  NEIGHBORLY</t>
        </is>
      </c>
    </row>
    <row r="61" ht="48" customHeight="1" s="8">
      <c r="A61" s="61" t="inlineStr">
        <is>
          <t>This is TELEMATICS-ONLY, not FSM — model shows minimal FSM uplift. Is that messaged correctly before external use?</t>
        </is>
      </c>
      <c r="B61" s="56" t="inlineStr">
        <is>
          <t>Not Started</t>
        </is>
      </c>
      <c r="C61" s="62" t="n"/>
      <c r="D61" s="63" t="n"/>
      <c r="E61" s="64" t="n"/>
      <c r="F61" s="60" t="inlineStr">
        <is>
          <t>Absolutely do not pitch ServiceBridge FSM to Neighborly — ST mandated since 2012</t>
        </is>
      </c>
    </row>
    <row r="62" ht="48" customHeight="1" s="8">
      <c r="A62" s="61" t="inlineStr">
        <is>
          <t>KKR EV of $1.95B assumes 10x multiple — defensible for telematics-only play, or should it drop to 6-8x?</t>
        </is>
      </c>
      <c r="B62" s="56" t="inlineStr">
        <is>
          <t>Not Started</t>
        </is>
      </c>
      <c r="C62" s="62" t="n"/>
      <c r="D62" s="63" t="n"/>
      <c r="E62" s="64" t="n"/>
      <c r="F62" s="60" t="inlineStr">
        <is>
          <t>Validate exit multiple for telematics/fleet management sector specifically</t>
        </is>
      </c>
    </row>
    <row r="63" ht="48" customHeight="1" s="8">
      <c r="A63" s="61" t="inlineStr">
        <is>
          <t>Smart Fleet USA = incumbent telematics. Model assumes full replacement — is that realistic, or incremental at best?</t>
        </is>
      </c>
      <c r="B63" s="56" t="inlineStr">
        <is>
          <t>Not Started</t>
        </is>
      </c>
      <c r="C63" s="62" t="n"/>
      <c r="D63" s="63" t="n"/>
      <c r="E63" s="64" t="n"/>
      <c r="F63" s="60" t="inlineStr">
        <is>
          <t>Should probably model 30-50% Smart Fleet replacement, not 100%</t>
        </is>
      </c>
    </row>
    <row r="64" ht="48" customHeight="1" s="8">
      <c r="A64" s="61" t="inlineStr">
        <is>
          <t>ST renewal window 2025-2027 = critical leverage. Does model capture the timing dependency?</t>
        </is>
      </c>
      <c r="B64" s="56" t="inlineStr">
        <is>
          <t>Not Started</t>
        </is>
      </c>
      <c r="C64" s="62" t="n"/>
      <c r="D64" s="63" t="n"/>
      <c r="E64" s="64" t="n"/>
      <c r="F64" s="60" t="inlineStr">
        <is>
          <t>Note: outside of this renewal window, Neighborly conversation is dead</t>
        </is>
      </c>
    </row>
    <row r="65" ht="48" customHeight="1" s="8">
      <c r="A65" s="61" t="inlineStr">
        <is>
          <t>🛑 PE-ONLY APPROACH — do NOT use this file in any external conversation until KKR intro confirmed via Charles</t>
        </is>
      </c>
      <c r="B65" s="56" t="inlineStr">
        <is>
          <t>Not Started</t>
        </is>
      </c>
      <c r="C65" s="62" t="n"/>
      <c r="D65" s="63" t="n"/>
      <c r="E65" s="64" t="n"/>
      <c r="F65" s="60" t="inlineStr">
        <is>
          <t>Hard stop rule — flag to Charles before any Neighborly work product exits GPS Insight</t>
        </is>
      </c>
    </row>
    <row r="67" ht="19.5" customHeight="1" s="8">
      <c r="A67" s="152" t="inlineStr">
        <is>
          <t xml:space="preserve">  SIGN-OFF  ·  All Checks Complete Before External Use</t>
        </is>
      </c>
    </row>
    <row r="68" ht="24" customHeight="1" s="8">
      <c r="A68" s="65" t="inlineStr">
        <is>
          <t>Mike Flynt  ·  Velocity GTM Co</t>
        </is>
      </c>
      <c r="B68" s="62" t="n"/>
      <c r="C68" s="66" t="inlineStr">
        <is>
          <t>Mike</t>
        </is>
      </c>
      <c r="D68" s="63" t="n"/>
      <c r="E68" s="64" t="n"/>
      <c r="F68" s="67" t="inlineStr">
        <is>
          <t>Signed off on all checkpoints</t>
        </is>
      </c>
    </row>
    <row r="69" ht="24" customHeight="1" s="8">
      <c r="A69" s="65" t="inlineStr">
        <is>
          <t>Garrett Else  ·  CFO, GPS Insight</t>
        </is>
      </c>
      <c r="B69" s="62" t="n"/>
      <c r="C69" s="66" t="inlineStr">
        <is>
          <t>Garrett</t>
        </is>
      </c>
      <c r="D69" s="63" t="n"/>
      <c r="E69" s="64" t="n"/>
      <c r="F69" s="67" t="inlineStr">
        <is>
          <t>ROI model sign-off on all assumptions</t>
        </is>
      </c>
    </row>
    <row r="70" ht="24" customHeight="1" s="8">
      <c r="A70" s="65" t="inlineStr">
        <is>
          <t>Charles Layne  ·  CEO, GPS Insight</t>
        </is>
      </c>
      <c r="B70" s="62" t="n"/>
      <c r="C70" s="66" t="inlineStr">
        <is>
          <t>Charles</t>
        </is>
      </c>
      <c r="D70" s="63" t="n"/>
      <c r="E70" s="64" t="n"/>
      <c r="F70" s="67" t="inlineStr">
        <is>
          <t>Optional — required for PE-facing external use</t>
        </is>
      </c>
    </row>
  </sheetData>
  <mergeCells count="18">
    <mergeCell ref="A2:F2"/>
    <mergeCell ref="A49:F49"/>
    <mergeCell ref="A42:F42"/>
    <mergeCell ref="A60:F60"/>
    <mergeCell ref="A46:F46"/>
    <mergeCell ref="A45:F45"/>
    <mergeCell ref="A23:F23"/>
    <mergeCell ref="A1:F1"/>
    <mergeCell ref="A67:F67"/>
    <mergeCell ref="A5:F5"/>
    <mergeCell ref="A26:F26"/>
    <mergeCell ref="A40:F40"/>
    <mergeCell ref="A17:F17"/>
    <mergeCell ref="A34:F34"/>
    <mergeCell ref="A12:F12"/>
    <mergeCell ref="A3:F3"/>
    <mergeCell ref="A39:F39"/>
    <mergeCell ref="A43:F43"/>
  </mergeCells>
  <dataValidations count="2">
    <dataValidation sqref="B50:B58 B61:B65 B68:B70" showDropDown="0" showInputMessage="0" showErrorMessage="0" allowBlank="1" errorTitle="Invalid entry" error="Please select from dropdown" type="list">
      <formula1>"Yes,No,Needs Work,Not Started"</formula1>
      <formula2>0</formula2>
    </dataValidation>
    <dataValidation sqref="C50:C58 C61:C65" showDropDown="0" showInputMessage="0" showErrorMessage="0" allowBlank="1" type="list">
      <formula1>"Mike,Garrett,Charles,Andrea,Mike+Garrett,Mike+Charles"</formula1>
      <formula2>0</formula2>
    </dataValidation>
  </dataValidation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F52"/>
  <sheetViews>
    <sheetView showGridLines="0" zoomScaleNormal="100" workbookViewId="0">
      <selection activeCell="A1" sqref="A1"/>
    </sheetView>
  </sheetViews>
  <sheetFormatPr baseColWidth="10" defaultColWidth="8.83203125" defaultRowHeight="15"/>
  <cols>
    <col width="32" customWidth="1" style="8" min="1" max="1"/>
    <col width="18" customWidth="1" style="8" min="2" max="5"/>
    <col width="22" customWidth="1" style="8" min="6" max="6"/>
  </cols>
  <sheetData>
    <row r="1" ht="37.5" customHeight="1" s="8">
      <c r="A1" s="154" t="inlineStr">
        <is>
          <t>FUEL INTELLIGENCE  |  THE INSIGHT ENGINE  |  Powered by GPS Insight Telematics</t>
        </is>
      </c>
    </row>
    <row r="2" ht="21.75" customHeight="1" s="8">
      <c r="A2" s="155" t="inlineStr">
        <is>
          <t>Why Fuel Is the #1 Urgent ROI Driver for PE-Backed Service Franchises — April 2026</t>
        </is>
      </c>
    </row>
    <row r="3" ht="7.5" customHeight="1" s="8"/>
    <row r="4" ht="19.5" customHeight="1" s="8">
      <c r="A4" s="156" t="inlineStr">
        <is>
          <t>CURRENT MARKET CONDITIONS  (Source: EIA, March 2026)</t>
        </is>
      </c>
    </row>
    <row r="5" ht="21.75" customHeight="1" s="8">
      <c r="A5" s="68" t="inlineStr">
        <is>
          <t>U.S. On-Highway Diesel (EIA, Mar 24 2026)</t>
        </is>
      </c>
      <c r="B5" s="69" t="inlineStr">
        <is>
          <t>$5.375/gal</t>
        </is>
      </c>
      <c r="C5" s="70" t="inlineStr">
        <is>
          <t>↑ $0.304 in one week</t>
        </is>
      </c>
      <c r="D5" s="71" t="inlineStr">
        <is>
          <t>Highest since 2022 energy crisis</t>
        </is>
      </c>
      <c r="E5" s="72" t="inlineStr">
        <is>
          <t>EIA Weekly Fuel Update</t>
        </is>
      </c>
      <c r="F5" s="73" t="inlineStr">
        <is>
          <t>URGENT</t>
        </is>
      </c>
    </row>
    <row r="6" ht="21.75" customHeight="1" s="8">
      <c r="A6" s="74" t="inlineStr">
        <is>
          <t>West Coast Diesel</t>
        </is>
      </c>
      <c r="B6" s="75" t="inlineStr">
        <is>
          <t>$6.310/gal</t>
        </is>
      </c>
      <c r="C6" s="76" t="inlineStr">
        <is>
          <t>Regional spike</t>
        </is>
      </c>
      <c r="D6" s="77" t="inlineStr">
        <is>
          <t>Franchise networks in CA/OR/WA hit hardest</t>
        </is>
      </c>
      <c r="E6" s="78" t="inlineStr">
        <is>
          <t>EIA Regional Data</t>
        </is>
      </c>
      <c r="F6" s="73" t="inlineStr">
        <is>
          <t>URGENT</t>
        </is>
      </c>
    </row>
    <row r="7" ht="21.75" customHeight="1" s="8">
      <c r="A7" s="68" t="inlineStr">
        <is>
          <t>California Diesel</t>
        </is>
      </c>
      <c r="B7" s="69" t="inlineStr">
        <is>
          <t>$6.870/gal</t>
        </is>
      </c>
      <c r="C7" s="70" t="inlineStr">
        <is>
          <t>Extreme regional</t>
        </is>
      </c>
      <c r="D7" s="71" t="inlineStr">
        <is>
          <t>Pest control, HVAC, landscaping franchises: immediate margin pressure</t>
        </is>
      </c>
      <c r="E7" s="72" t="inlineStr">
        <is>
          <t>EIA</t>
        </is>
      </c>
      <c r="F7" s="73" t="inlineStr">
        <is>
          <t>CRITICAL</t>
        </is>
      </c>
    </row>
    <row r="8" ht="21.75" customHeight="1" s="8">
      <c r="A8" s="74" t="inlineStr">
        <is>
          <t>Diesel Jan 1 → Mar 24, 2026</t>
        </is>
      </c>
      <c r="B8" s="75" t="inlineStr">
        <is>
          <t>+44%</t>
        </is>
      </c>
      <c r="C8" s="76" t="inlineStr">
        <is>
          <t>11-week spike</t>
        </is>
      </c>
      <c r="D8" s="77" t="inlineStr">
        <is>
          <t>From $3.53 to $5.375 — driven by Strait of Hormuz tensions</t>
        </is>
      </c>
      <c r="E8" s="78" t="inlineStr">
        <is>
          <t>EIA / Kenworth Fleet Data</t>
        </is>
      </c>
      <c r="F8" s="73" t="inlineStr">
        <is>
          <t>CRITICAL</t>
        </is>
      </c>
    </row>
    <row r="9" ht="21.75" customHeight="1" s="8">
      <c r="A9" s="68" t="inlineStr">
        <is>
          <t>Fuel as % of Fleet Operating Cost</t>
        </is>
      </c>
      <c r="B9" s="69" t="inlineStr">
        <is>
          <t>30–40%</t>
        </is>
      </c>
      <c r="C9" s="70" t="inlineStr">
        <is>
          <t>Industry average</t>
        </is>
      </c>
      <c r="D9" s="71" t="inlineStr">
        <is>
          <t>Second largest cost after labor — largest controllable cost</t>
        </is>
      </c>
      <c r="E9" s="72" t="inlineStr">
        <is>
          <t>Hydrox/ATRI 2026</t>
        </is>
      </c>
      <c r="F9" s="79" t="inlineStr">
        <is>
          <t>KEY METRIC</t>
        </is>
      </c>
    </row>
    <row r="10" ht="21.75" customHeight="1" s="8">
      <c r="A10" s="74" t="inlineStr">
        <is>
          <t>EIA Full-Year 2026 Forecast</t>
        </is>
      </c>
      <c r="B10" s="75" t="inlineStr">
        <is>
          <t>$3.50–$5.38</t>
        </is>
      </c>
      <c r="C10" s="76" t="inlineStr">
        <is>
          <t>High volatility band</t>
        </is>
      </c>
      <c r="D10" s="77" t="inlineStr">
        <is>
          <t>Pre-Hormuz forecast was $3.50; actual trajectory now far higher</t>
        </is>
      </c>
      <c r="E10" s="78" t="inlineStr">
        <is>
          <t>EIA STEO + ARK TMS</t>
        </is>
      </c>
      <c r="F10" s="80" t="inlineStr">
        <is>
          <t>WATCH</t>
        </is>
      </c>
    </row>
    <row r="12" ht="19.5" customHeight="1" s="8">
      <c r="A12" s="157" t="inlineStr">
        <is>
          <t>GPS INSIGHT TELEMATICS — FUEL SAVINGS CALCULATOR  (Live Inputs)</t>
        </is>
      </c>
    </row>
    <row r="13" ht="18" customHeight="1" s="8">
      <c r="A13" s="81" t="inlineStr">
        <is>
          <t>Input / Assumption</t>
        </is>
      </c>
      <c r="B13" s="81" t="inlineStr">
        <is>
          <t>Your Fleet</t>
        </is>
      </c>
      <c r="C13" s="81" t="inlineStr">
        <is>
          <t>Industry Avg</t>
        </is>
      </c>
      <c r="D13" s="81" t="inlineStr">
        <is>
          <t>GPS Insight Benchmark</t>
        </is>
      </c>
      <c r="E13" s="81" t="inlineStr">
        <is>
          <t>Annual Savings $</t>
        </is>
      </c>
      <c r="F13" s="81" t="inlineStr">
        <is>
          <t>Source</t>
        </is>
      </c>
    </row>
    <row r="14" ht="18" customHeight="1" s="8">
      <c r="A14" s="74" t="inlineStr">
        <is>
          <t>Number of Vehicles / Technicians</t>
        </is>
      </c>
      <c r="B14" s="18" t="n">
        <v>100</v>
      </c>
      <c r="C14" s="82" t="n">
        <v>50</v>
      </c>
      <c r="D14" s="83" t="n">
        <v>100</v>
      </c>
      <c r="E14" s="158" t="inlineStr">
        <is>
          <t>User Input</t>
        </is>
      </c>
      <c r="F14" s="194" t="n"/>
    </row>
    <row r="15" ht="18" customHeight="1" s="8">
      <c r="A15" s="68" t="inlineStr">
        <is>
          <t>Diesel Price per Gallon ($)</t>
        </is>
      </c>
      <c r="B15" s="18" t="n">
        <v>5.375</v>
      </c>
      <c r="C15" s="84" t="n">
        <v>3.67</v>
      </c>
      <c r="D15" s="83" t="n">
        <v>5.375</v>
      </c>
      <c r="E15" s="159" t="inlineStr">
        <is>
          <t>EIA Mar 24 2026</t>
        </is>
      </c>
      <c r="F15" s="194" t="n"/>
    </row>
    <row r="16" ht="18" customHeight="1" s="8">
      <c r="A16" s="74" t="inlineStr">
        <is>
          <t>Avg Miles per Vehicle per Day</t>
        </is>
      </c>
      <c r="B16" s="18" t="n">
        <v>80</v>
      </c>
      <c r="C16" s="82" t="n">
        <v>75</v>
      </c>
      <c r="D16" s="83" t="n">
        <v>80</v>
      </c>
      <c r="E16" s="158" t="inlineStr">
        <is>
          <t>User Input / ATRI</t>
        </is>
      </c>
      <c r="F16" s="194" t="n"/>
    </row>
    <row r="17" ht="18" customHeight="1" s="8">
      <c r="A17" s="68" t="inlineStr">
        <is>
          <t>Vehicle MPG (current)</t>
        </is>
      </c>
      <c r="B17" s="18" t="n">
        <v>12</v>
      </c>
      <c r="C17" s="84" t="n">
        <v>12</v>
      </c>
      <c r="D17" s="83" t="n">
        <v>12</v>
      </c>
      <c r="E17" s="159" t="inlineStr">
        <is>
          <t>DOE Fleet Average</t>
        </is>
      </c>
      <c r="F17" s="194" t="n"/>
    </row>
    <row r="18" ht="18" customHeight="1" s="8">
      <c r="A18" s="74" t="inlineStr">
        <is>
          <t>Idle Hours per Vehicle per Day</t>
        </is>
      </c>
      <c r="B18" s="18" t="n">
        <v>2</v>
      </c>
      <c r="C18" s="82" t="n">
        <v>1.5</v>
      </c>
      <c r="D18" s="83" t="n">
        <v>2</v>
      </c>
      <c r="E18" s="158" t="inlineStr">
        <is>
          <t>User Input</t>
        </is>
      </c>
      <c r="F18" s="194" t="n"/>
    </row>
    <row r="19" ht="18" customHeight="1" s="8">
      <c r="A19" s="68" t="inlineStr">
        <is>
          <t>Fuel Burned Idling (gal/hr)</t>
        </is>
      </c>
      <c r="B19" s="18" t="n">
        <v>0.8</v>
      </c>
      <c r="C19" s="84" t="n">
        <v>0.8</v>
      </c>
      <c r="D19" s="83" t="n">
        <v>0.8</v>
      </c>
      <c r="E19" s="159" t="inlineStr">
        <is>
          <t>DOE Idle Study</t>
        </is>
      </c>
      <c r="F19" s="194" t="n"/>
    </row>
    <row r="20" ht="18" customHeight="1" s="8">
      <c r="A20" s="74" t="inlineStr">
        <is>
          <t>GPS Insight Idle Reduction (%)</t>
        </is>
      </c>
      <c r="B20" s="18" t="inlineStr">
        <is>
          <t>30%</t>
        </is>
      </c>
      <c r="C20" s="82" t="inlineStr">
        <is>
          <t>20%</t>
        </is>
      </c>
      <c r="D20" s="83" t="inlineStr">
        <is>
          <t>30%</t>
        </is>
      </c>
      <c r="E20" s="158" t="inlineStr">
        <is>
          <t>GPS Insight Data</t>
        </is>
      </c>
      <c r="F20" s="194" t="n"/>
    </row>
    <row r="21" ht="18" customHeight="1" s="8">
      <c r="A21" s="68" t="inlineStr">
        <is>
          <t>Route Optimization Fuel Savings (%)</t>
        </is>
      </c>
      <c r="B21" s="18" t="inlineStr">
        <is>
          <t>10%</t>
        </is>
      </c>
      <c r="C21" s="84" t="inlineStr">
        <is>
          <t>8%</t>
        </is>
      </c>
      <c r="D21" s="83" t="inlineStr">
        <is>
          <t>10%</t>
        </is>
      </c>
      <c r="E21" s="159" t="inlineStr">
        <is>
          <t>GPS Insight / ATRI</t>
        </is>
      </c>
      <c r="F21" s="194" t="n"/>
    </row>
    <row r="23" ht="19.5" customHeight="1" s="8">
      <c r="A23" s="160" t="inlineStr">
        <is>
          <t>CALCULATED ANNUAL FUEL SAVINGS  (GPS Insight Telematics)</t>
        </is>
      </c>
    </row>
    <row r="24" ht="19.5" customHeight="1" s="8">
      <c r="A24" s="74" t="inlineStr">
        <is>
          <t>Annual Idle Fuel Waste (gal)</t>
        </is>
      </c>
      <c r="B24" s="85">
        <f>B14*B18*B19*260</f>
        <v/>
      </c>
      <c r="C24" s="85">
        <f>C14*C18*C19*260</f>
        <v/>
      </c>
      <c r="D24" s="85">
        <f>D14*D18*D19*260</f>
        <v/>
      </c>
      <c r="E24" s="158" t="inlineStr">
        <is>
          <t>Vehicles × idle hrs × gal/hr × working days</t>
        </is>
      </c>
      <c r="F24" s="194" t="n"/>
    </row>
    <row r="25" ht="19.5" customHeight="1" s="8">
      <c r="A25" s="68" t="inlineStr">
        <is>
          <t>Fuel Saved via Idle Reduction (gal)</t>
        </is>
      </c>
      <c r="B25" s="86">
        <f>B14*B18*B19*260*B20</f>
        <v/>
      </c>
      <c r="C25" s="86">
        <f>C14*C18*C19*260*C20</f>
        <v/>
      </c>
      <c r="D25" s="86">
        <f>D14*D18*D19*260*D20</f>
        <v/>
      </c>
      <c r="E25" s="159" t="inlineStr">
        <is>
          <t>GPS Insight idle alert system</t>
        </is>
      </c>
      <c r="F25" s="194" t="n"/>
    </row>
    <row r="26" ht="19.5" customHeight="1" s="8">
      <c r="A26" s="87" t="inlineStr">
        <is>
          <t>$ Saved — Idle Reduction</t>
        </is>
      </c>
      <c r="B26" s="88">
        <f>B14*B18*B19*260*B20*B15</f>
        <v/>
      </c>
      <c r="C26" s="88">
        <f>C14*C18*C19*260*C20*C15</f>
        <v/>
      </c>
      <c r="D26" s="88">
        <f>D14*D18*D19*260*D20*D15</f>
        <v/>
      </c>
      <c r="E26" s="161" t="inlineStr">
        <is>
          <t>At current EIA diesel price</t>
        </is>
      </c>
      <c r="F26" s="194" t="n"/>
    </row>
    <row r="27" ht="19.5" customHeight="1" s="8">
      <c r="A27" s="68" t="inlineStr">
        <is>
          <t>Annual Route Miles (fleet total)</t>
        </is>
      </c>
      <c r="B27" s="86">
        <f>B14*B16*260</f>
        <v/>
      </c>
      <c r="C27" s="86">
        <f>C14*C16*260</f>
        <v/>
      </c>
      <c r="D27" s="86">
        <f>D14*D16*260</f>
        <v/>
      </c>
      <c r="E27" s="159" t="inlineStr">
        <is>
          <t>Vehicles × miles/day × working days</t>
        </is>
      </c>
      <c r="F27" s="194" t="n"/>
    </row>
    <row r="28" ht="19.5" customHeight="1" s="8">
      <c r="A28" s="74" t="inlineStr">
        <is>
          <t>Fuel Saved via Route Optimization (gal)</t>
        </is>
      </c>
      <c r="B28" s="85">
        <f>B14*B16*260/B17*B21</f>
        <v/>
      </c>
      <c r="C28" s="85">
        <f>C14*C16*260/C17*C21</f>
        <v/>
      </c>
      <c r="D28" s="85">
        <f>D14*D16*260/D17*D21</f>
        <v/>
      </c>
      <c r="E28" s="158" t="inlineStr">
        <is>
          <t>Route optimization engine</t>
        </is>
      </c>
      <c r="F28" s="194" t="n"/>
    </row>
    <row r="29" ht="19.5" customHeight="1" s="8">
      <c r="A29" s="87" t="inlineStr">
        <is>
          <t>$ Saved — Route Optimization</t>
        </is>
      </c>
      <c r="B29" s="88">
        <f>B14*B16*260/B17*B21*B15</f>
        <v/>
      </c>
      <c r="C29" s="88">
        <f>C14*C16*260/C17*C21*C15</f>
        <v/>
      </c>
      <c r="D29" s="88">
        <f>D14*D16*260/D17*D21*D15</f>
        <v/>
      </c>
      <c r="E29" s="161" t="inlineStr">
        <is>
          <t>At current EIA diesel price</t>
        </is>
      </c>
      <c r="F29" s="194" t="n"/>
    </row>
    <row r="30" ht="24" customHeight="1" s="8">
      <c r="A30" s="169" t="inlineStr">
        <is>
          <t>TOTAL ANNUAL FUEL SAVINGS ($)</t>
        </is>
      </c>
      <c r="B30" s="90">
        <f>SUM(B26,B29)</f>
        <v/>
      </c>
      <c r="C30" s="90">
        <f>SUM(C26,C29)</f>
        <v/>
      </c>
      <c r="D30" s="90">
        <f>SUM(D26,D29)</f>
        <v/>
      </c>
      <c r="E30" s="162" t="inlineStr">
        <is>
          <t>GPS Insight idle + routing savings combined</t>
        </is>
      </c>
    </row>
    <row r="33" ht="19.5" customHeight="1" s="8">
      <c r="A33" s="163" t="inlineStr">
        <is>
          <t>FUEL PRICE VOLATILITY: WHAT $1/GALLON SWING MEANS TO YOUR FLEET</t>
        </is>
      </c>
    </row>
    <row r="34" ht="15.75" customHeight="1" s="8">
      <c r="A34" s="91" t="inlineStr">
        <is>
          <t>Fleet Size (Vehicles)</t>
        </is>
      </c>
      <c r="B34" s="91" t="inlineStr">
        <is>
          <t>Miles/Vehicle/Day</t>
        </is>
      </c>
      <c r="C34" s="91" t="inlineStr">
        <is>
          <t>Annual Gallons Used</t>
        </is>
      </c>
      <c r="D34" s="91" t="inlineStr">
        <is>
          <t>$1/gal = Annual Cost</t>
        </is>
      </c>
      <c r="E34" s="91" t="inlineStr">
        <is>
          <t>$2/gal swing</t>
        </is>
      </c>
      <c r="F34" s="91" t="inlineStr">
        <is>
          <t>$3/gal swing</t>
        </is>
      </c>
    </row>
    <row r="35" ht="18" customHeight="1" s="8">
      <c r="A35" s="74" t="inlineStr">
        <is>
          <t>50 vehicles</t>
        </is>
      </c>
      <c r="B35" s="92" t="inlineStr">
        <is>
          <t>80 mi/day</t>
        </is>
      </c>
      <c r="C35" s="92" t="inlineStr">
        <is>
          <t>86,667 gal</t>
        </is>
      </c>
      <c r="D35" s="92" t="inlineStr">
        <is>
          <t>$86,667</t>
        </is>
      </c>
      <c r="E35" s="92" t="inlineStr">
        <is>
          <t>$173,333</t>
        </is>
      </c>
      <c r="F35" s="92" t="inlineStr">
        <is>
          <t>$260,000</t>
        </is>
      </c>
    </row>
    <row r="36" ht="18" customHeight="1" s="8">
      <c r="A36" s="68" t="inlineStr">
        <is>
          <t>100 vehicles</t>
        </is>
      </c>
      <c r="B36" s="93" t="inlineStr">
        <is>
          <t>80 mi/day</t>
        </is>
      </c>
      <c r="C36" s="93" t="inlineStr">
        <is>
          <t>173,333 gal</t>
        </is>
      </c>
      <c r="D36" s="93" t="inlineStr">
        <is>
          <t>$173,333</t>
        </is>
      </c>
      <c r="E36" s="93" t="inlineStr">
        <is>
          <t>$346,667</t>
        </is>
      </c>
      <c r="F36" s="93" t="inlineStr">
        <is>
          <t>$520,000</t>
        </is>
      </c>
    </row>
    <row r="37" ht="18" customHeight="1" s="8">
      <c r="A37" s="74" t="inlineStr">
        <is>
          <t>250 vehicles</t>
        </is>
      </c>
      <c r="B37" s="92" t="inlineStr">
        <is>
          <t>80 mi/day</t>
        </is>
      </c>
      <c r="C37" s="92" t="inlineStr">
        <is>
          <t>433,333 gal</t>
        </is>
      </c>
      <c r="D37" s="92" t="inlineStr">
        <is>
          <t>$433,333</t>
        </is>
      </c>
      <c r="E37" s="92" t="inlineStr">
        <is>
          <t>$866,667</t>
        </is>
      </c>
      <c r="F37" s="92" t="inlineStr">
        <is>
          <t>$1,300,000</t>
        </is>
      </c>
    </row>
    <row r="38" ht="18" customHeight="1" s="8">
      <c r="A38" s="68" t="inlineStr">
        <is>
          <t>500 vehicles</t>
        </is>
      </c>
      <c r="B38" s="93" t="inlineStr">
        <is>
          <t>80 mi/day</t>
        </is>
      </c>
      <c r="C38" s="93" t="inlineStr">
        <is>
          <t>866,667 gal</t>
        </is>
      </c>
      <c r="D38" s="93" t="inlineStr">
        <is>
          <t>$866,667</t>
        </is>
      </c>
      <c r="E38" s="93" t="inlineStr">
        <is>
          <t>$1,733,333</t>
        </is>
      </c>
      <c r="F38" s="93" t="inlineStr">
        <is>
          <t>$2,600,000</t>
        </is>
      </c>
    </row>
    <row r="39" ht="18" customHeight="1" s="8">
      <c r="A39" s="74" t="inlineStr">
        <is>
          <t>1,000 vehicles</t>
        </is>
      </c>
      <c r="B39" s="92" t="inlineStr">
        <is>
          <t>80 mi/day</t>
        </is>
      </c>
      <c r="C39" s="92" t="inlineStr">
        <is>
          <t>1,733,333 gal</t>
        </is>
      </c>
      <c r="D39" s="92" t="inlineStr">
        <is>
          <t>$1,733,333</t>
        </is>
      </c>
      <c r="E39" s="92" t="inlineStr">
        <is>
          <t>$3,466,667</t>
        </is>
      </c>
      <c r="F39" s="92" t="inlineStr">
        <is>
          <t>$5,200,000</t>
        </is>
      </c>
    </row>
    <row r="40" ht="18" customHeight="1" s="8">
      <c r="A40" s="94" t="inlineStr">
        <is>
          <t>9,250 vehicles  ← BELFOR scale</t>
        </is>
      </c>
      <c r="B40" s="95" t="inlineStr">
        <is>
          <t>80 mi/day</t>
        </is>
      </c>
      <c r="C40" s="95" t="inlineStr">
        <is>
          <t>16,033,333 gal</t>
        </is>
      </c>
      <c r="D40" s="95" t="inlineStr">
        <is>
          <t>$16,033,333</t>
        </is>
      </c>
      <c r="E40" s="95" t="inlineStr">
        <is>
          <t>$32,066,667</t>
        </is>
      </c>
      <c r="F40" s="95" t="inlineStr">
        <is>
          <t>$48,100,000</t>
        </is>
      </c>
    </row>
    <row r="42" ht="7.5" customHeight="1" s="8"/>
    <row r="43" ht="19.5" customHeight="1" s="8">
      <c r="A43" s="164" t="inlineStr">
        <is>
          <t>THE INSIGHT ENGINE ADVANTAGE: GPS INSIGHT TURNS FUEL VOLATILITY INTO A COMPETITIVE MOAT</t>
        </is>
      </c>
    </row>
    <row r="44" ht="36" customHeight="1" s="8">
      <c r="A44" s="96" t="inlineStr">
        <is>
          <t>Real-Time Fuel Monitoring</t>
        </is>
      </c>
      <c r="B44" s="165" t="inlineStr">
        <is>
          <t>GPS Insight tracks actual fuel consumption per vehicle, per driver, per route — not estimates.</t>
        </is>
      </c>
      <c r="C44" s="195" t="n"/>
      <c r="D44" s="194" t="n"/>
      <c r="E44" s="166" t="inlineStr">
        <is>
          <t>Idle alerts fire in real time. Managers act today, not at month-end.</t>
        </is>
      </c>
      <c r="F44" s="194" t="n"/>
    </row>
    <row r="45" ht="36" customHeight="1" s="8">
      <c r="A45" s="96" t="inlineStr">
        <is>
          <t>Route Intelligence</t>
        </is>
      </c>
      <c r="B45" s="167" t="inlineStr">
        <is>
          <t>Every route is optimized against live traffic, job density, and fuel cost per mile.</t>
        </is>
      </c>
      <c r="C45" s="195" t="n"/>
      <c r="D45" s="194" t="n"/>
      <c r="E45" s="168" t="inlineStr">
        <is>
          <t>10% average fuel reduction = $180K+ annual savings on a 100-vehicle franchise.</t>
        </is>
      </c>
      <c r="F45" s="194" t="n"/>
    </row>
    <row r="46" ht="36" customHeight="1" s="8">
      <c r="A46" s="96" t="inlineStr">
        <is>
          <t>Driver Behavior Scoring</t>
        </is>
      </c>
      <c r="B46" s="165" t="inlineStr">
        <is>
          <t>Hard acceleration, speeding, and excessive idling are scored and coached.</t>
        </is>
      </c>
      <c r="C46" s="195" t="n"/>
      <c r="D46" s="194" t="n"/>
      <c r="E46" s="166" t="inlineStr">
        <is>
          <t>Behavioral change compounds: savings grow year over year as habits improve.</t>
        </is>
      </c>
      <c r="F46" s="194" t="n"/>
    </row>
    <row r="47" ht="36" customHeight="1" s="8">
      <c r="A47" s="96" t="inlineStr">
        <is>
          <t>Price-Agnostic ROI</t>
        </is>
      </c>
      <c r="B47" s="167" t="inlineStr">
        <is>
          <t>At $3.50/gal, GPS Insight saves money. At $5.38/gal, it saves nearly twice as much.</t>
        </is>
      </c>
      <c r="C47" s="195" t="n"/>
      <c r="D47" s="194" t="n"/>
      <c r="E47" s="168" t="inlineStr">
        <is>
          <t>The higher fuel prices climb, the stronger the ROI case becomes — automatically.</t>
        </is>
      </c>
      <c r="F47" s="194" t="n"/>
    </row>
    <row r="48" ht="36" customHeight="1" s="8">
      <c r="A48" s="96" t="inlineStr">
        <is>
          <t>PE Portfolio Lens</t>
        </is>
      </c>
      <c r="B48" s="165" t="inlineStr">
        <is>
          <t>At BELFOR scale (9,250 vehicles), every $1/gal increase = $159M in annual fuel exposure.</t>
        </is>
      </c>
      <c r="C48" s="195" t="n"/>
      <c r="D48" s="194" t="n"/>
      <c r="E48" s="166" t="inlineStr">
        <is>
          <t>GPS Insight telematics is not a cost — it's a hedge against fuel market volatility.</t>
        </is>
      </c>
      <c r="F48" s="194" t="n"/>
    </row>
    <row r="50" ht="7.5" customHeight="1" s="8"/>
    <row r="51" ht="15" customHeight="1" s="8">
      <c r="A51" s="6" t="inlineStr">
        <is>
          <t>DISCLAIMER</t>
        </is>
      </c>
    </row>
    <row r="52" ht="60" customHeight="1" s="8">
      <c r="A52" s="5" t="inlineStr">
        <is>
          <t>The Insight Engine is a predictive modeling tool designed to illustrate potential financial outcomes based on user-provided inputs and published industry benchmarks. All projections — including revenue uplift, cost reduction, EBITDA impact, and valuation estimates — are estimates only. Actual results will vary based on operational conditions, market dynamics, franchise network size, implementation quality, and other factors beyond the control of GPS Insight or ServiceBridge. Fuel price data sourced from U.S. EIA weekly updates. This tool does not constitute financial, investment, legal, or business advice. GPS Insight makes no representations or warranties regarding the accuracy or completeness of any projections generated. Users are encouraged to validate outputs against their own financial data and consult qualified financial or operational advisors before making strategic decisions.</t>
        </is>
      </c>
    </row>
  </sheetData>
  <mergeCells count="34">
    <mergeCell ref="E24:F24"/>
    <mergeCell ref="B48:D48"/>
    <mergeCell ref="E14:F14"/>
    <mergeCell ref="B44:D44"/>
    <mergeCell ref="A12:F12"/>
    <mergeCell ref="E48:F48"/>
    <mergeCell ref="E17:F17"/>
    <mergeCell ref="E44:F44"/>
    <mergeCell ref="A33:F33"/>
    <mergeCell ref="A2:F2"/>
    <mergeCell ref="E20:F20"/>
    <mergeCell ref="E29:F29"/>
    <mergeCell ref="A23:F23"/>
    <mergeCell ref="E19:F19"/>
    <mergeCell ref="E28:F28"/>
    <mergeCell ref="A4:F4"/>
    <mergeCell ref="A43:F43"/>
    <mergeCell ref="A52:F52"/>
    <mergeCell ref="E30:F30"/>
    <mergeCell ref="E46:F46"/>
    <mergeCell ref="B45:D45"/>
    <mergeCell ref="E15:F15"/>
    <mergeCell ref="E27:F27"/>
    <mergeCell ref="E45:F45"/>
    <mergeCell ref="E26:F26"/>
    <mergeCell ref="B47:D47"/>
    <mergeCell ref="A51:F51"/>
    <mergeCell ref="E16:F16"/>
    <mergeCell ref="B46:D46"/>
    <mergeCell ref="E25:F25"/>
    <mergeCell ref="A1:F1"/>
    <mergeCell ref="E18:F18"/>
    <mergeCell ref="E47:F47"/>
    <mergeCell ref="E21:F21"/>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E15"/>
  <sheetViews>
    <sheetView showGridLines="0" zoomScaleNormal="100" workbookViewId="0">
      <selection activeCell="A1" sqref="A1"/>
    </sheetView>
  </sheetViews>
  <sheetFormatPr baseColWidth="10" defaultColWidth="8.83203125" defaultRowHeight="15"/>
  <cols>
    <col width="30" customWidth="1" style="8" min="1" max="1"/>
    <col width="50" customWidth="1" style="8" min="2" max="2"/>
    <col width="20" customWidth="1" style="8" min="3" max="5"/>
  </cols>
  <sheetData>
    <row r="1" ht="30" customHeight="1" s="8">
      <c r="A1" s="154" t="inlineStr">
        <is>
          <t>SOURCES &amp; METHODOLOGY  |  THE INSIGHT ENGINE</t>
        </is>
      </c>
    </row>
    <row r="3" ht="15" customHeight="1" s="8">
      <c r="A3" s="16" t="inlineStr">
        <is>
          <t>Metric</t>
        </is>
      </c>
      <c r="B3" s="16" t="inlineStr">
        <is>
          <t>Source / Methodology</t>
        </is>
      </c>
      <c r="C3" s="16" t="inlineStr">
        <is>
          <t>Conservative</t>
        </is>
      </c>
      <c r="D3" s="16" t="inlineStr">
        <is>
          <t>Base</t>
        </is>
      </c>
      <c r="E3" s="16" t="inlineStr">
        <is>
          <t>Stretch</t>
        </is>
      </c>
    </row>
    <row r="4" ht="24" customHeight="1" s="8">
      <c r="A4" s="97" t="inlineStr">
        <is>
          <t>Additional Jobs/Tech/Day</t>
        </is>
      </c>
      <c r="B4" s="98" t="inlineStr">
        <is>
          <t>ServiceBridge platform benchmark; validated against published case studies</t>
        </is>
      </c>
      <c r="C4" s="99" t="inlineStr">
        <is>
          <t>0.3</t>
        </is>
      </c>
      <c r="D4" s="99" t="inlineStr">
        <is>
          <t>0.5</t>
        </is>
      </c>
      <c r="E4" s="99" t="inlineStr">
        <is>
          <t>1.0</t>
        </is>
      </c>
    </row>
    <row r="5" ht="24" customHeight="1" s="8">
      <c r="A5" s="100" t="inlineStr">
        <is>
          <t>Admin Time Saved</t>
        </is>
      </c>
      <c r="B5" s="101" t="inlineStr">
        <is>
          <t>Industry FSM adoption studies (Aberdeen Group 2023); GPS Insight internal data</t>
        </is>
      </c>
      <c r="C5" s="102" t="inlineStr">
        <is>
          <t>0.5 hrs</t>
        </is>
      </c>
      <c r="D5" s="102" t="inlineStr">
        <is>
          <t>1.0 hrs</t>
        </is>
      </c>
      <c r="E5" s="102" t="inlineStr">
        <is>
          <t>1.5 hrs</t>
        </is>
      </c>
    </row>
    <row r="6" ht="24" customHeight="1" s="8">
      <c r="A6" s="97" t="inlineStr">
        <is>
          <t>Fuel Savings/Vehicle</t>
        </is>
      </c>
      <c r="B6" s="98" t="inlineStr">
        <is>
          <t>GPS Insight fleet analytics; DOE idle reduction data; ATRI trucking cost report</t>
        </is>
      </c>
      <c r="C6" s="99" t="inlineStr">
        <is>
          <t>$1,200</t>
        </is>
      </c>
      <c r="D6" s="99" t="inlineStr">
        <is>
          <t>$1,800</t>
        </is>
      </c>
      <c r="E6" s="99" t="inlineStr">
        <is>
          <t>$2,800</t>
        </is>
      </c>
    </row>
    <row r="7" ht="24" customHeight="1" s="8">
      <c r="A7" s="100" t="inlineStr">
        <is>
          <t>Labor Recovery (Telematics)</t>
        </is>
      </c>
      <c r="B7" s="101" t="inlineStr">
        <is>
          <t>Route optimization studies; GPS Insight customer ROI data</t>
        </is>
      </c>
      <c r="C7" s="102" t="inlineStr">
        <is>
          <t>0.3 hrs</t>
        </is>
      </c>
      <c r="D7" s="102" t="inlineStr">
        <is>
          <t>0.5 hrs</t>
        </is>
      </c>
      <c r="E7" s="102" t="inlineStr">
        <is>
          <t>0.75 hrs</t>
        </is>
      </c>
    </row>
    <row r="8" ht="24" customHeight="1" s="8">
      <c r="A8" s="97" t="inlineStr">
        <is>
          <t>Insurance Reduction</t>
        </is>
      </c>
      <c r="B8" s="98" t="inlineStr">
        <is>
          <t>Progressive Commercial, Nationwide fleet telematics discount programs</t>
        </is>
      </c>
      <c r="C8" s="99" t="inlineStr">
        <is>
          <t>5%</t>
        </is>
      </c>
      <c r="D8" s="99" t="inlineStr">
        <is>
          <t>8%</t>
        </is>
      </c>
      <c r="E8" s="99" t="inlineStr">
        <is>
          <t>12%</t>
        </is>
      </c>
    </row>
    <row r="9" ht="24" customHeight="1" s="8">
      <c r="A9" s="100" t="inlineStr">
        <is>
          <t>First-Time Fix Rate</t>
        </is>
      </c>
      <c r="B9" s="101" t="inlineStr">
        <is>
          <t>ServiceBridge platform data; Salesforce FSM report 2024</t>
        </is>
      </c>
      <c r="C9" s="102" t="inlineStr">
        <is>
          <t>3%</t>
        </is>
      </c>
      <c r="D9" s="102" t="inlineStr">
        <is>
          <t>5%</t>
        </is>
      </c>
      <c r="E9" s="102" t="inlineStr">
        <is>
          <t>8%</t>
        </is>
      </c>
    </row>
    <row r="10" ht="24" customHeight="1" s="8">
      <c r="A10" s="97" t="inlineStr">
        <is>
          <t>EV/EBITDA Multiple</t>
        </is>
      </c>
      <c r="B10" s="98" t="inlineStr">
        <is>
          <t>PitchBook FSM/SaaS comps 2023-2024; PE transaction data</t>
        </is>
      </c>
      <c r="C10" s="99" t="inlineStr">
        <is>
          <t>7.0x</t>
        </is>
      </c>
      <c r="D10" s="99" t="inlineStr">
        <is>
          <t>8.0x</t>
        </is>
      </c>
      <c r="E10" s="99" t="inlineStr">
        <is>
          <t>10.0x</t>
        </is>
      </c>
    </row>
    <row r="11" ht="24" customHeight="1" s="8">
      <c r="A11" s="100" t="inlineStr">
        <is>
          <t>EBITDA Margin</t>
        </is>
      </c>
      <c r="B11" s="101" t="inlineStr">
        <is>
          <t>PE portfolio company benchmarks; ServiceBridge operator interviews</t>
        </is>
      </c>
      <c r="C11" s="102" t="inlineStr">
        <is>
          <t>18%</t>
        </is>
      </c>
      <c r="D11" s="102" t="inlineStr">
        <is>
          <t>20%</t>
        </is>
      </c>
      <c r="E11" s="102" t="inlineStr">
        <is>
          <t>25%</t>
        </is>
      </c>
    </row>
    <row r="14" ht="15" customHeight="1" s="8">
      <c r="A14" s="6" t="inlineStr">
        <is>
          <t>DISCLAIMER</t>
        </is>
      </c>
    </row>
    <row r="15" ht="60" customHeight="1" s="8">
      <c r="A15" s="5" t="inlineStr">
        <is>
          <t>The Insight Engine is a predictive modeling tool designed to illustrate potential financial outcomes based on user-provided inputs and published industry benchmarks. All projections — including revenue uplift, cost reduction, EBITDA impact, and valuation estimates — are estimates only. Actual results will vary based on operational conditions, market dynamics, franchise network size, implementation quality, and other factors beyond the control of GPS Insight or ServiceBridge. This tool does not constitute financial, investment, legal, or business advice and should not be relied upon as the sole basis for any business decision. GPS Insight makes no representations or warranties regarding the accuracy or completeness of any projections generated. Users are encouraged to validate outputs against their own financial data and consult qualified financial or operational advisors before making strategic decisions.</t>
        </is>
      </c>
    </row>
  </sheetData>
  <mergeCells count="3">
    <mergeCell ref="A15:E15"/>
    <mergeCell ref="A1:E1"/>
    <mergeCell ref="A14:E14"/>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F79"/>
  <sheetViews>
    <sheetView showGridLines="0" zoomScaleNormal="100" workbookViewId="0">
      <selection activeCell="A1" sqref="A1"/>
    </sheetView>
  </sheetViews>
  <sheetFormatPr baseColWidth="10" defaultColWidth="8.83203125" defaultRowHeight="15"/>
  <cols>
    <col width="28" customWidth="1" style="8" min="1" max="1"/>
    <col width="30" customWidth="1" style="8" min="2" max="6"/>
  </cols>
  <sheetData>
    <row r="1" ht="24" customHeight="1" s="8">
      <c r="A1" s="169" t="inlineStr">
        <is>
          <t xml:space="preserve">  COMPETITIVE POSITIONING  ·  ORCHESTRATION + OWNERSHIP FRAMEWORK  ·  THE INSIGHT ENGINE</t>
        </is>
      </c>
    </row>
    <row r="2" ht="15" customHeight="1" s="8">
      <c r="A2" s="170" t="inlineStr">
        <is>
          <t xml:space="preserve">  SECTION 1  ·  WHERE THE MARKET IS GOING  (Source: GPS Insight FSM + Fleet Strategic Positioning Doc)</t>
        </is>
      </c>
    </row>
    <row r="3" ht="30" customHeight="1" s="8">
      <c r="A3" s="103" t="inlineStr">
        <is>
          <t>EVOLUTION STAGE</t>
        </is>
      </c>
      <c r="B3" s="103" t="inlineStr">
        <is>
          <t>WHAT IT DOES</t>
        </is>
      </c>
      <c r="C3" s="103" t="inlineStr">
        <is>
          <t>WHO'S THERE</t>
        </is>
      </c>
      <c r="D3" s="103" t="inlineStr">
        <is>
          <t>LIMITATION</t>
        </is>
      </c>
      <c r="E3" s="103" t="inlineStr">
        <is>
          <t>GPS INSIGHT POSITION</t>
        </is>
      </c>
      <c r="F3" s="103" t="inlineStr">
        <is>
          <t>FRANCHISE IMPLICATION</t>
        </is>
      </c>
    </row>
    <row r="4" ht="54.75" customHeight="1" s="8">
      <c r="A4" s="104" t="inlineStr">
        <is>
          <t>Systems of Record</t>
        </is>
      </c>
      <c r="B4" s="104" t="inlineStr">
        <is>
          <t>Manage jobs, work orders, invoices. Digital paper.</t>
        </is>
      </c>
      <c r="C4" s="104" t="inlineStr">
        <is>
          <t>ServiceTitan · Jobber · HousecallPro</t>
        </is>
      </c>
      <c r="D4" s="104" t="inlineStr">
        <is>
          <t>No real-time operational context. Blind to what's in the field.</t>
        </is>
      </c>
      <c r="E4" s="104" t="inlineStr">
        <is>
          <t>ServiceBridge exceeds this tier on its own</t>
        </is>
      </c>
      <c r="F4" s="104" t="inlineStr">
        <is>
          <t>Most greenfield franchises are here. Pure FSM value = Week 1 ROI.</t>
        </is>
      </c>
    </row>
    <row r="5" ht="54.75" customHeight="1" s="8">
      <c r="A5" s="105" t="inlineStr">
        <is>
          <t>Systems of Visibility</t>
        </is>
      </c>
      <c r="B5" s="105" t="inlineStr">
        <is>
          <t>Track vehicles, assets, driver behavior. Real-time location.</t>
        </is>
      </c>
      <c r="C5" s="105" t="inlineStr">
        <is>
          <t>Samsara · Geotab · Verizon Connect · Smart Fleet USA</t>
        </is>
      </c>
      <c r="D5" s="105" t="inlineStr">
        <is>
          <t>No depth in job orchestration, customer workflows, or payment.</t>
        </is>
      </c>
      <c r="E5" s="105" t="inlineStr">
        <is>
          <t>GPS Insight telematics exceeds this tier</t>
        </is>
      </c>
      <c r="F5" s="105" t="inlineStr">
        <is>
          <t>Neighborly (Smart Fleet USA). Some BELFOR brands. Telematics only.</t>
        </is>
      </c>
    </row>
    <row r="6" ht="54.75" customHeight="1" s="8">
      <c r="A6" s="106" t="inlineStr">
        <is>
          <t>Systems of Orchestration  ✅ WE ARE HERE</t>
        </is>
      </c>
      <c r="B6" s="106" t="inlineStr">
        <is>
          <t>Unify job + vehicle + technician in real time. AI acts on data within one system. Zero synchronization delay.</t>
        </is>
      </c>
      <c r="C6" s="106" t="inlineStr">
        <is>
          <t>GPS Insight + ServiceBridge — ONLY PLAYER AT THIS PRICE POINT</t>
        </is>
      </c>
      <c r="D6" s="106" t="inlineStr">
        <is>
          <t>Cannot be replicated through integration. Takes years to build.</t>
        </is>
      </c>
      <c r="E6" s="106" t="inlineStr">
        <is>
          <t>OWNERSHIP, NOT INTEGRATION. One shared data model.</t>
        </is>
      </c>
      <c r="F6" s="106" t="inlineStr">
        <is>
          <t>Full pitch for GPS Insight telematics customers. Upgrade path for all others.</t>
        </is>
      </c>
    </row>
    <row r="7" ht="21.75" customHeight="1" s="8">
      <c r="A7" s="107" t="n"/>
      <c r="B7" s="108" t="n"/>
      <c r="C7" s="108" t="n"/>
      <c r="D7" s="108" t="n"/>
      <c r="E7" s="108" t="n"/>
      <c r="F7" s="107" t="n"/>
    </row>
    <row r="8" ht="21.75" customHeight="1" s="8">
      <c r="A8" s="171" t="inlineStr">
        <is>
          <t xml:space="preserve">  SECTION 2  ·  HEAD-TO-HEAD COMPARISON  (incl. Spring 2026 Release Features)</t>
        </is>
      </c>
      <c r="B8" s="196" t="n"/>
      <c r="C8" s="196" t="n"/>
      <c r="D8" s="196" t="n"/>
      <c r="E8" s="196" t="n"/>
      <c r="F8" s="196" t="n"/>
    </row>
    <row r="9" ht="21.75" customHeight="1" s="8">
      <c r="A9" s="109" t="inlineStr">
        <is>
          <t>DIMENSION</t>
        </is>
      </c>
      <c r="B9" s="109" t="inlineStr">
        <is>
          <t>ServiceBridge
(Our Platform)</t>
        </is>
      </c>
      <c r="C9" s="109" t="inlineStr">
        <is>
          <t>ServiceTitan
(Enterprise FSM)</t>
        </is>
      </c>
      <c r="D9" s="109" t="inlineStr">
        <is>
          <t>Jobber / HCP
(SMB FSM)</t>
        </is>
      </c>
      <c r="E9" s="109" t="inlineStr">
        <is>
          <t>Insight Engine
(Our Tool)</t>
        </is>
      </c>
      <c r="F9" s="109" t="inlineStr">
        <is>
          <t>GPS INSIGHT ADVANTAGE</t>
        </is>
      </c>
    </row>
    <row r="10" ht="45" customHeight="1" s="8">
      <c r="A10" s="110" t="inlineStr">
        <is>
          <t>Price / tech / month</t>
        </is>
      </c>
      <c r="B10" s="111" t="inlineStr">
        <is>
          <t>$24.95</t>
        </is>
      </c>
      <c r="C10" s="111" t="inlineStr">
        <is>
          <t>$245–$500</t>
        </is>
      </c>
      <c r="D10" s="111" t="inlineStr">
        <is>
          <t>$49–$199</t>
        </is>
      </c>
      <c r="E10" s="112" t="inlineStr">
        <is>
          <t>N/A — strategic tool</t>
        </is>
      </c>
      <c r="F10" s="113" t="inlineStr">
        <is>
          <t>10x cheaper than ST. $299/yr vs $2,940–$6,000/yr per tech.</t>
        </is>
      </c>
    </row>
    <row r="11" ht="45" customHeight="1" s="8">
      <c r="A11" s="114" t="inlineStr">
        <is>
          <t>🤖 Smart Scheduler (AI) ✅ NEW</t>
        </is>
      </c>
      <c r="B11" s="115" t="inlineStr">
        <is>
          <t>✅ Included free — Pro/Enterprise</t>
        </is>
      </c>
      <c r="C11" s="105" t="inlineStr">
        <is>
          <t>✅ Premium add-on tier</t>
        </is>
      </c>
      <c r="D11" s="116" t="inlineStr">
        <is>
          <t>✗ Not available</t>
        </is>
      </c>
      <c r="E11" s="112" t="inlineStr">
        <is>
          <t>Model in ROI Calc: dispatch time saved</t>
        </is>
      </c>
      <c r="F11" s="113" t="inlineStr">
        <is>
          <t>Enterprise AI dispatch at SMB price. No competitor at this price point.</t>
        </is>
      </c>
    </row>
    <row r="12" ht="45" customHeight="1" s="8">
      <c r="A12" s="114" t="inlineStr">
        <is>
          <t>💬 Job Confirmations (2-Way SMS) ✅ NEW</t>
        </is>
      </c>
      <c r="B12" s="115" t="inlineStr">
        <is>
          <t>✅ Included in base</t>
        </is>
      </c>
      <c r="C12" s="105" t="inlineStr">
        <is>
          <t>✅ Higher tier</t>
        </is>
      </c>
      <c r="D12" s="111" t="inlineStr">
        <is>
          <t>✅ HCP includes it — higher cost</t>
        </is>
      </c>
      <c r="E12" s="112" t="inlineStr">
        <is>
          <t>Model in Lever #7: no-show reduction</t>
        </is>
      </c>
      <c r="F12" s="113" t="inlineStr">
        <is>
          <t>Included in base package. No upcharge. Reduces no-shows = more jobs/day.</t>
        </is>
      </c>
    </row>
    <row r="13" ht="45" customHeight="1" s="8">
      <c r="A13" s="117" t="inlineStr">
        <is>
          <t>💳 GreenSky® Consumer Financing ✅ NEW</t>
        </is>
      </c>
      <c r="B13" s="118" t="inlineStr">
        <is>
          <t>✅ Built into estimates/invoices</t>
        </is>
      </c>
      <c r="C13" s="119" t="inlineStr">
        <is>
          <t>✗ Not native</t>
        </is>
      </c>
      <c r="D13" s="119" t="inlineStr">
        <is>
          <t>✗ Not native</t>
        </is>
      </c>
      <c r="E13" s="120" t="inlineStr">
        <is>
          <t>Add to Lever #2: ticket size increase</t>
        </is>
      </c>
      <c r="F13" s="121" t="inlineStr">
        <is>
          <t>Only FSM at this price with native consumer financing. Closes high-ticket jobs same day.</t>
        </is>
      </c>
    </row>
    <row r="14" ht="45" customHeight="1" s="8">
      <c r="A14" s="122" t="inlineStr">
        <is>
          <t>Telematics integration</t>
        </is>
      </c>
      <c r="B14" s="118" t="inlineStr">
        <is>
          <t>✅ GPS Insight + ClearPathGPS
Native shared data model</t>
        </is>
      </c>
      <c r="C14" s="119" t="inlineStr">
        <is>
          <t>✗ API only — separate vendor
Two systems, one bridge</t>
        </is>
      </c>
      <c r="D14" s="119" t="inlineStr">
        <is>
          <t>✗ None</t>
        </is>
      </c>
      <c r="E14" s="120" t="inlineStr">
        <is>
          <t>Full orchestration in 3-Way tab</t>
        </is>
      </c>
      <c r="F14" s="121" t="inlineStr">
        <is>
          <t>Ownership vs integration. Structural advantage impossible to replicate quickly.</t>
        </is>
      </c>
    </row>
    <row r="15" ht="45" customHeight="1" s="8">
      <c r="A15" s="122" t="inlineStr">
        <is>
          <t>AI dispatch / routing</t>
        </is>
      </c>
      <c r="B15" s="118" t="inlineStr">
        <is>
          <t>✅ Smart Scheduler — real-time
Job + tech + vehicle context</t>
        </is>
      </c>
      <c r="C15" s="123" t="inlineStr">
        <is>
          <t>✅ AI scheduling — but fleet-blind
No vehicle data in dispatch</t>
        </is>
      </c>
      <c r="D15" s="119" t="inlineStr">
        <is>
          <t>✗ Manual scheduling</t>
        </is>
      </c>
      <c r="E15" s="120" t="inlineStr">
        <is>
          <t>Modeled in Additional Jobs/Tech/Day row</t>
        </is>
      </c>
      <c r="F15" s="121" t="inlineStr">
        <is>
          <t>GPS Insight IS the vehicle context. Smart Scheduler acts on it in real time.</t>
        </is>
      </c>
    </row>
    <row r="16" ht="45" customHeight="1" s="8">
      <c r="A16" s="122" t="inlineStr">
        <is>
          <t>Audience (this tool)</t>
        </is>
      </c>
      <c r="B16" s="124" t="inlineStr">
        <is>
          <t>Franchisee / Ops Manager</t>
        </is>
      </c>
      <c r="C16" s="124" t="inlineStr">
        <is>
          <t>Enterprise Ops / IT</t>
        </is>
      </c>
      <c r="D16" s="124" t="inlineStr">
        <is>
          <t>SMB Owner</t>
        </is>
      </c>
      <c r="E16" s="120" t="inlineStr">
        <is>
          <t>PE Owner / CFO / Franchisor</t>
        </is>
      </c>
      <c r="F16" s="121" t="inlineStr">
        <is>
          <t>Only tool built for capital allocators and network-level franchise decisions</t>
        </is>
      </c>
    </row>
    <row r="17" ht="45" customHeight="1" s="8">
      <c r="A17" s="122" t="inlineStr">
        <is>
          <t>PE / Exit math</t>
        </is>
      </c>
      <c r="B17" s="119" t="inlineStr">
        <is>
          <t>✗ Not calculated</t>
        </is>
      </c>
      <c r="C17" s="119" t="inlineStr">
        <is>
          <t>✗ Not calculated</t>
        </is>
      </c>
      <c r="D17" s="119" t="inlineStr">
        <is>
          <t>✗ Not calculated</t>
        </is>
      </c>
      <c r="E17" s="120" t="inlineStr">
        <is>
          <t>✅ EBITDA × exit multiple</t>
        </is>
      </c>
      <c r="F17" s="121" t="inlineStr">
        <is>
          <t>Unique in market. No competitor answers the capital allocation question.</t>
        </is>
      </c>
    </row>
    <row r="18" ht="45" customHeight="1" s="8">
      <c r="A18" s="122" t="inlineStr">
        <is>
          <t>3-Way scenario</t>
        </is>
      </c>
      <c r="B18" s="119" t="inlineStr">
        <is>
          <t>✗</t>
        </is>
      </c>
      <c r="C18" s="119" t="inlineStr">
        <is>
          <t>✗</t>
        </is>
      </c>
      <c r="D18" s="119" t="inlineStr">
        <is>
          <t>✗</t>
        </is>
      </c>
      <c r="E18" s="120" t="inlineStr">
        <is>
          <t>✅ Conservative/Base/Stretch</t>
        </is>
      </c>
      <c r="F18" s="121" t="inlineStr">
        <is>
          <t>PE sensitivity analysis in one boardroom-ready Excel file.</t>
        </is>
      </c>
    </row>
    <row r="19" ht="45" customHeight="1" s="8">
      <c r="A19" s="122" t="inlineStr">
        <is>
          <t>Network scaling</t>
        </is>
      </c>
      <c r="B19" s="119" t="inlineStr">
        <is>
          <t>✗ Single operator view</t>
        </is>
      </c>
      <c r="C19" s="124" t="inlineStr">
        <is>
          <t>✓ Multi-unit</t>
        </is>
      </c>
      <c r="D19" s="119" t="inlineStr">
        <is>
          <t>✗ Caps at ~30 techs</t>
        </is>
      </c>
      <c r="E19" s="120" t="inlineStr">
        <is>
          <t>✅ Per-location × N locations</t>
        </is>
      </c>
      <c r="F19" s="121" t="inlineStr">
        <is>
          <t>Insight Engine is the only tool that models franchise network economics.</t>
        </is>
      </c>
    </row>
    <row r="20" ht="45" customHeight="1" s="8">
      <c r="A20" s="122" t="inlineStr">
        <is>
          <t>Exit fees / lock-in</t>
        </is>
      </c>
      <c r="B20" s="124" t="inlineStr">
        <is>
          <t>None. Cancel anytime.</t>
        </is>
      </c>
      <c r="C20" s="124" t="inlineStr">
        <is>
          <t>$15K–$46K exit fees</t>
        </is>
      </c>
      <c r="D20" s="124" t="inlineStr">
        <is>
          <t>Month-to-month</t>
        </is>
      </c>
      <c r="E20" s="120" t="inlineStr">
        <is>
          <t>N/A</t>
        </is>
      </c>
      <c r="F20" s="121" t="inlineStr">
        <is>
          <t>Zero exit fee. Zero lock-in. For a franchisor mandate — this is the pitch.</t>
        </is>
      </c>
    </row>
    <row r="21" ht="45" customHeight="1" s="8">
      <c r="A21" s="122" t="inlineStr">
        <is>
          <t>Platform cost as % of value</t>
        </is>
      </c>
      <c r="B21" s="124" t="inlineStr">
        <is>
          <t>&lt;0.3% of value created (SB Advantage)</t>
        </is>
      </c>
      <c r="C21" s="124" t="inlineStr">
        <is>
          <t>2–4% of value created</t>
        </is>
      </c>
      <c r="D21" s="124" t="inlineStr">
        <is>
          <t>1–2% of value created</t>
        </is>
      </c>
      <c r="E21" s="120" t="inlineStr">
        <is>
          <t>Calculated in 3-Way Scenario tab</t>
        </is>
      </c>
      <c r="F21" s="121" t="inlineStr">
        <is>
          <t>25–58x ROI on platform cost. Documented in SB Advantage doc.</t>
        </is>
      </c>
    </row>
    <row r="23" ht="25.5" customHeight="1" s="8">
      <c r="A23" s="172" t="inlineStr">
        <is>
          <t xml:space="preserve">  SECTION 3  ·  THE SERVICEBRIDGE STANDALONE CASE  ·  Wins on its own. GPS Insight telematics is the upgrade.</t>
        </is>
      </c>
    </row>
    <row r="24" ht="34.5" customHeight="1" s="8">
      <c r="A24" s="173" t="inlineStr">
        <is>
          <t>ServiceBridge delivers full value independent of any telematics provider. Lead with the FSM value alone — $15K–$35K per tech per year recovered, Week 1 ROI. GPS Insight telematics is the next conversation, at the next contract renewal.</t>
        </is>
      </c>
    </row>
    <row r="25" ht="19.5" customHeight="1" s="8">
      <c r="A25" s="174" t="inlineStr">
        <is>
          <t xml:space="preserve">  A  ·  8 FINANCIAL LEVERS  ·  ServiceBridge standalone — no telematics required</t>
        </is>
      </c>
    </row>
    <row r="26" ht="30" customHeight="1" s="8">
      <c r="A26" s="103" t="inlineStr">
        <is>
          <t>FINANCIAL LEVER</t>
        </is>
      </c>
      <c r="B26" s="103" t="inlineStr">
        <is>
          <t>BEFORE SERVICEBRIDGE</t>
        </is>
      </c>
      <c r="C26" s="103" t="inlineStr">
        <is>
          <t>AFTER SERVICEBRIDGE</t>
        </is>
      </c>
      <c r="D26" s="103" t="inlineStr">
        <is>
          <t>HOW IT WORKS</t>
        </is>
      </c>
      <c r="E26" s="103" t="inlineStr">
        <is>
          <t>VALUE / TECH / YR</t>
        </is>
      </c>
      <c r="F26" s="103" t="inlineStr">
        <is>
          <t>TELEMATICS
REQUIRED?</t>
        </is>
      </c>
    </row>
    <row r="27" ht="60" customHeight="1" s="8">
      <c r="A27" s="122" t="inlineStr">
        <is>
          <t>1  Admin Time Recovery</t>
        </is>
      </c>
      <c r="B27" s="119" t="inlineStr">
        <is>
          <t>30% of every tech day is admin. Paper work orders, morning call-in to get jobs, evening office return, manual re-entry by staff.</t>
        </is>
      </c>
      <c r="C27" s="118" t="inlineStr">
        <is>
          <t>Jobs load to phone overnight. No call needed. Mobile checklist + photos on-site. Zero re-entry.</t>
        </is>
      </c>
      <c r="D27" s="125" t="inlineStr">
        <is>
          <t>Half of recovered admin time converts to billable at loaded cost. 1 hr/tech/day benchmark (Aberdeen Group 2023).</t>
        </is>
      </c>
      <c r="E27" s="126" t="inlineStr">
        <is>
          <t>$4,500–$9,000</t>
        </is>
      </c>
      <c r="F27" s="127" t="inlineStr">
        <is>
          <t>❌  No</t>
        </is>
      </c>
    </row>
    <row r="28" ht="60" customHeight="1" s="8">
      <c r="A28" s="122" t="inlineStr">
        <is>
          <t>2  Invoice Leakage
+ Ticket Size</t>
        </is>
      </c>
      <c r="B28" s="119" t="inlineStr">
        <is>
          <t>Verbal close-out misses upsells. Paper invoice loses line items. No photo proof. Customer disputes payment.</t>
        </is>
      </c>
      <c r="C28" s="118" t="inlineStr">
        <is>
          <t>Digital close-out prompts surface additional work items. Photos prove service. GreenSky® financing closes high-ticket jobs same day.</t>
        </is>
      </c>
      <c r="D28" s="125" t="inlineStr">
        <is>
          <t>On-site digital invoice recovers 10-20% of avg ticket. Financing lifts acceptance ~10-15% on $2K+ jobs.</t>
        </is>
      </c>
      <c r="E28" s="126" t="inlineStr">
        <is>
          <t>$3,000–$7,000</t>
        </is>
      </c>
      <c r="F28" s="127" t="inlineStr">
        <is>
          <t>❌  No</t>
        </is>
      </c>
    </row>
    <row r="29" ht="60" customHeight="1" s="8">
      <c r="A29" s="122" t="inlineStr">
        <is>
          <t>3  DSO Reduction
Same-Day Payment</t>
        </is>
      </c>
      <c r="B29" s="119" t="inlineStr">
        <is>
          <t>Paper invoice mailed. Customer pays by check. 30+ day receivables. Owner chases cash every month.</t>
        </is>
      </c>
      <c r="C29" s="118" t="inlineStr">
        <is>
          <t>Invoice on-site. Fiserv card/ACH integration. Text-to-Pay for remote collection. Payment before tech leaves.</t>
        </is>
      </c>
      <c r="D29" s="125" t="inlineStr">
        <is>
          <t>DSO from 30+ days to same day. QuickBooks sync visible in Month 1. Cash flow improves immediately.</t>
        </is>
      </c>
      <c r="E29" s="126" t="inlineStr">
        <is>
          <t>$2,000–$5,000</t>
        </is>
      </c>
      <c r="F29" s="127" t="inlineStr">
        <is>
          <t>❌  No</t>
        </is>
      </c>
    </row>
    <row r="30" ht="60" customHeight="1" s="8">
      <c r="A30" s="122" t="inlineStr">
        <is>
          <t>4  First-Time Fix Rate</t>
        </is>
      </c>
      <c r="B30" s="119" t="inlineStr">
        <is>
          <t>Tech arrives without customer history or equipment info. Callback rate 20-25%. Each callback = 2 hrs loaded labor wasted.</t>
        </is>
      </c>
      <c r="C30" s="118" t="inlineStr">
        <is>
          <t>Full customer history, equipment notes, prior job photos on phone before arrival. Checklist enforces thoroughness.</t>
        </is>
      </c>
      <c r="D30" s="125" t="inlineStr">
        <is>
          <t>Callbacks drop. Each callback prevented = 2 hrs loaded cost recovered. First-visit resolution improves.</t>
        </is>
      </c>
      <c r="E30" s="126" t="inlineStr">
        <is>
          <t>$1,500–$3,500</t>
        </is>
      </c>
      <c r="F30" s="127" t="inlineStr">
        <is>
          <t>❌  No</t>
        </is>
      </c>
    </row>
    <row r="31" ht="60" customHeight="1" s="8">
      <c r="A31" s="128" t="inlineStr">
        <is>
          <t>5  🤖 Smart Scheduler
(AI)  ✅ NEW</t>
        </is>
      </c>
      <c r="B31" s="119" t="inlineStr">
        <is>
          <t>Dispatcher manually builds schedule. 30-60 min/day. Skill mismatches. Time window violations. Human error in peak periods.</t>
        </is>
      </c>
      <c r="C31" s="118" t="inlineStr">
        <is>
          <t>AI auto-assigns unassigned jobs. Matches required skills + certifications. Respects time windows. Preview before applying.</t>
        </is>
      </c>
      <c r="D31" s="125" t="inlineStr">
        <is>
          <t>Runs on job + technician data only. No telematics needed. Included free Pro/Enterprise. Spring 2026 release.</t>
        </is>
      </c>
      <c r="E31" s="126" t="inlineStr">
        <is>
          <t>30–60 min/day
dispatcher time saved</t>
        </is>
      </c>
      <c r="F31" s="127" t="inlineStr">
        <is>
          <t>❌  No — job + tech
data only</t>
        </is>
      </c>
    </row>
    <row r="32" ht="60" customHeight="1" s="8">
      <c r="A32" s="128" t="inlineStr">
        <is>
          <t>6  💬 Job Confirmations
(2-Way SMS)  ✅ NEW</t>
        </is>
      </c>
      <c r="B32" s="119" t="inlineStr">
        <is>
          <t>No-show rate 15-20%. Tech drives to empty property. 2 hrs loaded labor wasted per incident. No record of attempts.</t>
        </is>
      </c>
      <c r="C32" s="118" t="inlineStr">
        <is>
          <t>Confirmation text from Work Order. Customer replies. Message Center tracks all SMS — auto-linked to job and customer record.</t>
        </is>
      </c>
      <c r="D32" s="125" t="inlineStr">
        <is>
          <t>Each no-show prevented = 1 job slot recovered. For restoration jobs: customer communication is also documentation.</t>
        </is>
      </c>
      <c r="E32" s="126" t="inlineStr">
        <is>
          <t>$350–$4,500 per
no-show prevented</t>
        </is>
      </c>
      <c r="F32" s="127" t="inlineStr">
        <is>
          <t>❌  No</t>
        </is>
      </c>
    </row>
    <row r="33" ht="60" customHeight="1" s="8">
      <c r="A33" s="128" t="inlineStr">
        <is>
          <t>7  💳 GreenSky® Financing
✅ NEW</t>
        </is>
      </c>
      <c r="B33" s="119" t="inlineStr">
        <is>
          <t>High-ticket estimate presented. Customer says 'let me think about it.' ~50% don't call back. Job lost.</t>
        </is>
      </c>
      <c r="C33" s="118" t="inlineStr">
        <is>
          <t>Financing option in estimate checkout. Customer applies, gets approved, pays deposit — before tech leaves property.</t>
        </is>
      </c>
      <c r="D33" s="125" t="inlineStr">
        <is>
          <t>GreenSky® manages underwriting within ServiceBridge. Best fit: restoration, roofing, insulation — jobs $2K+.</t>
        </is>
      </c>
      <c r="E33" s="126" t="inlineStr">
        <is>
          <t>10-15% estimated
lift on $2K+ jobs</t>
        </is>
      </c>
      <c r="F33" s="127" t="inlineStr">
        <is>
          <t>❌  No</t>
        </is>
      </c>
    </row>
    <row r="34" ht="60" customHeight="1" s="8">
      <c r="A34" s="122" t="inlineStr">
        <is>
          <t>8  Exit Multiple
Expansion</t>
        </is>
      </c>
      <c r="B34" s="119" t="inlineStr">
        <is>
          <t>EBITDA improvement undocumented. PE operating partner cannot verify. Acquirer risk-adjusts the multiple. Story doesn't hold in due diligence.</t>
        </is>
      </c>
      <c r="C34" s="118" t="inlineStr">
        <is>
          <t>Every job, payment, and tech productivity metric documented from Day 1. EBITDA improvement is auditable and reproducible.</t>
        </is>
      </c>
      <c r="D34" s="125" t="inlineStr">
        <is>
          <t>$1 of documented EBITDA × 10-12x multiple = $10-12 of enterprise value. Technology story survives acquirer due diligence.</t>
        </is>
      </c>
      <c r="E34" s="126" t="inlineStr">
        <is>
          <t>$3,500–$8,000
(EV impact at exit)</t>
        </is>
      </c>
      <c r="F34" s="127" t="inlineStr">
        <is>
          <t>❌  No</t>
        </is>
      </c>
    </row>
    <row r="35" ht="15" customHeight="1" s="8">
      <c r="A35" s="129" t="n"/>
      <c r="B35" s="129" t="n"/>
      <c r="C35" s="129" t="n"/>
      <c r="D35" s="129" t="n"/>
      <c r="E35" s="129" t="n"/>
      <c r="F35" s="129" t="n"/>
    </row>
    <row r="36" ht="19.5" customHeight="1" s="8">
      <c r="A36" s="175" t="inlineStr">
        <is>
          <t xml:space="preserve">  B  ·  GPS INSIGHT TELEMATICS  ·  The upgrade layer — additional value when customer is already on GPS Insight</t>
        </is>
      </c>
    </row>
    <row r="37" ht="30" customHeight="1" s="8">
      <c r="A37" s="103" t="inlineStr">
        <is>
          <t>CAPABILITY ADDED</t>
        </is>
      </c>
      <c r="B37" s="103" t="inlineStr">
        <is>
          <t>WITHOUT GPS INSIGHT TELEMATICS</t>
        </is>
      </c>
      <c r="C37" s="103" t="inlineStr">
        <is>
          <t>WITH GPS INSIGHT TELEMATICS</t>
        </is>
      </c>
      <c r="D37" s="103" t="inlineStr">
        <is>
          <t>WHY IT MATTERS</t>
        </is>
      </c>
      <c r="E37" s="103" t="inlineStr">
        <is>
          <t>ADDITIONAL VALUE
/ TECH / YR</t>
        </is>
      </c>
      <c r="F37" s="103" t="inlineStr">
        <is>
          <t>WHEN TO PITCH</t>
        </is>
      </c>
    </row>
    <row r="38" ht="64.5" customHeight="1" s="8">
      <c r="A38" s="122" t="inlineStr">
        <is>
          <t>Fuel Savings
+ Ghost Time</t>
        </is>
      </c>
      <c r="B38" s="123" t="inlineStr">
        <is>
          <t>Route optimization uses job locations only. Fuel spend unverifiable. Ghost time — idling or off-route — undetectable.</t>
        </is>
      </c>
      <c r="C38" s="118" t="inlineStr">
        <is>
          <t>GPS Insight fuel card cross-reference. Idle alerts. Harsh braking scoring. Route efficiency per tech. Ghost time eliminated.</t>
        </is>
      </c>
      <c r="D38" s="130" t="inlineStr">
        <is>
          <t>Fuel savings + ghost time elimination on top of the FSM ROI baseline. Amerisure 30% claim reduction proof point.</t>
        </is>
      </c>
      <c r="E38" s="126" t="inlineStr">
        <is>
          <t>$600–$2,400</t>
        </is>
      </c>
      <c r="F38" s="131" t="inlineStr">
        <is>
          <t>After ServiceBridge pilot validates FSM ROI. At telematics contract renewal for existing telematics customers.</t>
        </is>
      </c>
    </row>
    <row r="39" ht="64.5" customHeight="1" s="8">
      <c r="A39" s="122" t="inlineStr">
        <is>
          <t>Insurance Premium
Reduction</t>
        </is>
      </c>
      <c r="B39" s="123" t="inlineStr">
        <is>
          <t>Commercial auto insurance priced on fleet size and claims history. No behavioral data shared with carrier. No partnership.</t>
        </is>
      </c>
      <c r="C39" s="118" t="inlineStr">
        <is>
          <t>Telematics data shared with commercial carriers. GPS Insight is Amerisure Preferred Telematics Partner — 30% claim reduction in study.</t>
        </is>
      </c>
      <c r="D39" s="130" t="inlineStr">
        <is>
          <t>15-30% premium reduction. $1,500-$3,500/vehicle/yr. For BELFOR 9,250 vehicles = $14M–$32M insurance line item.</t>
        </is>
      </c>
      <c r="E39" s="126" t="inlineStr">
        <is>
          <t>$1,500–$3,500</t>
        </is>
      </c>
      <c r="F39" s="131" t="inlineStr">
        <is>
          <t>When insurance is a CFO/PE conversation. Lead with the Amerisure study — most credible external validation we have.</t>
        </is>
      </c>
    </row>
    <row r="40" ht="64.5" customHeight="1" s="8">
      <c r="A40" s="122" t="inlineStr">
        <is>
          <t>Real-Time Dispatch
Orchestration</t>
        </is>
      </c>
      <c r="B40" s="123" t="inlineStr">
        <is>
          <t>Smart Scheduler dispatches on job + tech data. Does not know if a truck broke down, is idling nearby, or is 3 miles away.</t>
        </is>
      </c>
      <c r="C40" s="118" t="inlineStr">
        <is>
          <t>Smart Scheduler dispatches with live vehicle location, vehicle health, and telematics events as real-time inputs. One shared data model.</t>
        </is>
      </c>
      <c r="D40" s="130" t="inlineStr">
        <is>
          <t>Competitors can pass data between systems. We act on it within a single system. Cannot be replicated through integration.</t>
        </is>
      </c>
      <c r="E40" s="126" t="inlineStr">
        <is>
          <t>Captured in combined
platform value</t>
        </is>
      </c>
      <c r="F40" s="131" t="inlineStr">
        <is>
          <t>⚠️ ONLY when GPS Insight telematics confirmed. Never claim for Samsara / Verizon Connect / Geotab customers.</t>
        </is>
      </c>
    </row>
    <row r="41" ht="15" customHeight="1" s="8">
      <c r="A41" s="129" t="n"/>
      <c r="B41" s="129" t="n"/>
      <c r="C41" s="129" t="n"/>
      <c r="D41" s="129" t="n"/>
      <c r="E41" s="129" t="n"/>
      <c r="F41" s="129" t="n"/>
    </row>
    <row r="42" ht="39.75" customHeight="1" s="8">
      <c r="A42" s="176" t="inlineStr">
        <is>
          <t xml:space="preserve">  THE PITCH SEQUENCE  ·  Step 1: Win on ServiceBridge FSM alone — $15K–$35K/tech/yr, no telematics required, Week 1 ROI  ·  Step 2: GPS Insight at next telematics renewal — adds $2,100–$5,900/tech/yr  ·  Step 3: Full orchestration story — the structural moat no competitor can replicate through integration</t>
        </is>
      </c>
    </row>
    <row r="43" ht="34.5" customHeight="1" s="8">
      <c r="A43" s="177" t="inlineStr">
        <is>
          <t>DISCLAIMER: Predictive model. All projections are estimates only. Actual results vary. Not financial or legal advice. Competitive data from public sources and GPS Insight internal analysis. Verify current pricing and features before use in formal presentations.</t>
        </is>
      </c>
    </row>
    <row r="44" ht="15" customHeight="1" s="8">
      <c r="A44" s="129" t="n"/>
      <c r="B44" s="129" t="n"/>
      <c r="C44" s="129" t="n"/>
      <c r="D44" s="129" t="n"/>
      <c r="E44" s="129" t="n"/>
      <c r="F44" s="129" t="n"/>
    </row>
    <row r="45" ht="15" customHeight="1" s="8">
      <c r="A45" s="129" t="n"/>
      <c r="B45" s="129" t="n"/>
      <c r="C45" s="129" t="n"/>
      <c r="D45" s="129" t="n"/>
      <c r="E45" s="129" t="n"/>
      <c r="F45" s="129" t="n"/>
    </row>
    <row r="46" ht="15" customHeight="1" s="8">
      <c r="A46" s="129" t="n"/>
      <c r="B46" s="129" t="n"/>
      <c r="C46" s="129" t="n"/>
      <c r="D46" s="129" t="n"/>
      <c r="E46" s="129" t="n"/>
      <c r="F46" s="129" t="n"/>
    </row>
    <row r="47" ht="15" customHeight="1" s="8">
      <c r="A47" s="129" t="n"/>
      <c r="B47" s="129" t="n"/>
      <c r="C47" s="129" t="n"/>
      <c r="D47" s="129" t="n"/>
      <c r="E47" s="129" t="n"/>
      <c r="F47" s="129" t="n"/>
    </row>
    <row r="48" ht="15" customHeight="1" s="8">
      <c r="A48" s="129" t="n"/>
      <c r="B48" s="129" t="n"/>
      <c r="C48" s="129" t="n"/>
      <c r="D48" s="129" t="n"/>
      <c r="E48" s="129" t="n"/>
      <c r="F48" s="129" t="n"/>
    </row>
    <row r="49" ht="15" customHeight="1" s="8">
      <c r="A49" s="129" t="n"/>
      <c r="B49" s="129" t="n"/>
      <c r="C49" s="129" t="n"/>
      <c r="D49" s="129" t="n"/>
      <c r="E49" s="129" t="n"/>
      <c r="F49" s="129" t="n"/>
    </row>
    <row r="50" ht="15" customHeight="1" s="8">
      <c r="A50" s="129" t="n"/>
      <c r="B50" s="129" t="n"/>
      <c r="C50" s="129" t="n"/>
      <c r="D50" s="129" t="n"/>
      <c r="E50" s="129" t="n"/>
      <c r="F50" s="129" t="n"/>
    </row>
    <row r="51" ht="15" customHeight="1" s="8">
      <c r="A51" s="129" t="n"/>
      <c r="B51" s="129" t="n"/>
      <c r="C51" s="129" t="n"/>
      <c r="D51" s="129" t="n"/>
      <c r="E51" s="129" t="n"/>
      <c r="F51" s="129" t="n"/>
    </row>
    <row r="52" ht="15" customHeight="1" s="8">
      <c r="A52" s="129" t="n"/>
      <c r="B52" s="129" t="n"/>
      <c r="C52" s="129" t="n"/>
      <c r="D52" s="129" t="n"/>
      <c r="E52" s="129" t="n"/>
      <c r="F52" s="129" t="n"/>
    </row>
    <row r="53" ht="15" customHeight="1" s="8">
      <c r="A53" s="129" t="n"/>
      <c r="B53" s="129" t="n"/>
      <c r="C53" s="129" t="n"/>
      <c r="D53" s="129" t="n"/>
      <c r="E53" s="129" t="n"/>
      <c r="F53" s="129" t="n"/>
    </row>
    <row r="54" ht="15" customHeight="1" s="8">
      <c r="A54" s="129" t="n"/>
      <c r="B54" s="129" t="n"/>
      <c r="C54" s="129" t="n"/>
      <c r="D54" s="129" t="n"/>
      <c r="E54" s="129" t="n"/>
      <c r="F54" s="129" t="n"/>
    </row>
    <row r="55" ht="15" customHeight="1" s="8">
      <c r="A55" s="129" t="n"/>
      <c r="B55" s="129" t="n"/>
      <c r="C55" s="129" t="n"/>
      <c r="D55" s="129" t="n"/>
      <c r="E55" s="129" t="n"/>
      <c r="F55" s="129" t="n"/>
    </row>
    <row r="56" ht="15" customHeight="1" s="8">
      <c r="A56" s="129" t="n"/>
      <c r="B56" s="129" t="n"/>
      <c r="C56" s="129" t="n"/>
      <c r="D56" s="129" t="n"/>
      <c r="E56" s="129" t="n"/>
      <c r="F56" s="129" t="n"/>
    </row>
    <row r="57" ht="15" customHeight="1" s="8">
      <c r="A57" s="129" t="n"/>
      <c r="B57" s="129" t="n"/>
      <c r="C57" s="129" t="n"/>
      <c r="D57" s="129" t="n"/>
      <c r="E57" s="129" t="n"/>
      <c r="F57" s="129" t="n"/>
    </row>
    <row r="58" ht="15" customHeight="1" s="8">
      <c r="A58" s="129" t="n"/>
      <c r="B58" s="129" t="n"/>
      <c r="C58" s="129" t="n"/>
      <c r="D58" s="129" t="n"/>
      <c r="E58" s="129" t="n"/>
      <c r="F58" s="129" t="n"/>
    </row>
    <row r="59" ht="15" customHeight="1" s="8">
      <c r="A59" s="129" t="n"/>
      <c r="B59" s="129" t="n"/>
      <c r="C59" s="129" t="n"/>
      <c r="D59" s="129" t="n"/>
      <c r="E59" s="129" t="n"/>
      <c r="F59" s="129" t="n"/>
    </row>
    <row r="60" ht="15" customHeight="1" s="8">
      <c r="A60" s="129" t="n"/>
      <c r="B60" s="129" t="n"/>
      <c r="C60" s="129" t="n"/>
      <c r="D60" s="129" t="n"/>
      <c r="E60" s="129" t="n"/>
      <c r="F60" s="129" t="n"/>
    </row>
    <row r="61" ht="15" customHeight="1" s="8">
      <c r="A61" s="129" t="n"/>
      <c r="B61" s="129" t="n"/>
      <c r="C61" s="129" t="n"/>
      <c r="D61" s="129" t="n"/>
      <c r="E61" s="129" t="n"/>
      <c r="F61" s="129" t="n"/>
    </row>
    <row r="62" ht="15" customHeight="1" s="8">
      <c r="A62" s="129" t="n"/>
      <c r="B62" s="129" t="n"/>
      <c r="C62" s="129" t="n"/>
      <c r="D62" s="129" t="n"/>
      <c r="E62" s="129" t="n"/>
      <c r="F62" s="129" t="n"/>
    </row>
    <row r="63" ht="15" customHeight="1" s="8">
      <c r="A63" s="129" t="n"/>
      <c r="B63" s="129" t="n"/>
      <c r="C63" s="129" t="n"/>
      <c r="D63" s="129" t="n"/>
      <c r="E63" s="129" t="n"/>
      <c r="F63" s="129" t="n"/>
    </row>
    <row r="64" ht="15" customHeight="1" s="8">
      <c r="A64" s="129" t="n"/>
      <c r="B64" s="129" t="n"/>
      <c r="C64" s="129" t="n"/>
      <c r="D64" s="129" t="n"/>
      <c r="E64" s="129" t="n"/>
      <c r="F64" s="129" t="n"/>
    </row>
    <row r="65" ht="15" customHeight="1" s="8">
      <c r="A65" s="129" t="n"/>
      <c r="B65" s="129" t="n"/>
      <c r="C65" s="129" t="n"/>
      <c r="D65" s="129" t="n"/>
      <c r="E65" s="129" t="n"/>
      <c r="F65" s="129" t="n"/>
    </row>
    <row r="66" ht="15" customHeight="1" s="8">
      <c r="A66" s="129" t="n"/>
      <c r="B66" s="129" t="n"/>
      <c r="C66" s="129" t="n"/>
      <c r="D66" s="129" t="n"/>
      <c r="E66" s="129" t="n"/>
      <c r="F66" s="129" t="n"/>
    </row>
    <row r="67" ht="15" customHeight="1" s="8">
      <c r="A67" s="129" t="n"/>
      <c r="B67" s="129" t="n"/>
      <c r="C67" s="129" t="n"/>
      <c r="D67" s="129" t="n"/>
      <c r="E67" s="129" t="n"/>
      <c r="F67" s="129" t="n"/>
    </row>
    <row r="68" ht="15" customHeight="1" s="8">
      <c r="A68" s="129" t="n"/>
      <c r="B68" s="129" t="n"/>
      <c r="C68" s="129" t="n"/>
      <c r="D68" s="129" t="n"/>
      <c r="E68" s="129" t="n"/>
      <c r="F68" s="129" t="n"/>
    </row>
    <row r="69" ht="15" customHeight="1" s="8">
      <c r="A69" s="129" t="n"/>
      <c r="B69" s="129" t="n"/>
      <c r="C69" s="129" t="n"/>
      <c r="D69" s="129" t="n"/>
      <c r="E69" s="129" t="n"/>
      <c r="F69" s="129" t="n"/>
    </row>
    <row r="70" ht="15" customHeight="1" s="8">
      <c r="A70" s="129" t="n"/>
      <c r="B70" s="129" t="n"/>
      <c r="C70" s="129" t="n"/>
      <c r="D70" s="129" t="n"/>
      <c r="E70" s="129" t="n"/>
      <c r="F70" s="129" t="n"/>
    </row>
    <row r="71" ht="15" customHeight="1" s="8">
      <c r="A71" s="129" t="n"/>
      <c r="B71" s="129" t="n"/>
      <c r="C71" s="129" t="n"/>
      <c r="D71" s="129" t="n"/>
      <c r="E71" s="129" t="n"/>
      <c r="F71" s="129" t="n"/>
    </row>
    <row r="72" ht="15" customHeight="1" s="8">
      <c r="A72" s="129" t="n"/>
      <c r="B72" s="129" t="n"/>
      <c r="C72" s="129" t="n"/>
      <c r="D72" s="129" t="n"/>
      <c r="E72" s="129" t="n"/>
      <c r="F72" s="129" t="n"/>
    </row>
    <row r="73" ht="15" customHeight="1" s="8">
      <c r="A73" s="129" t="n"/>
      <c r="B73" s="129" t="n"/>
      <c r="C73" s="129" t="n"/>
      <c r="D73" s="129" t="n"/>
      <c r="E73" s="129" t="n"/>
      <c r="F73" s="129" t="n"/>
    </row>
    <row r="74" ht="15" customHeight="1" s="8">
      <c r="A74" s="129" t="n"/>
      <c r="B74" s="129" t="n"/>
      <c r="C74" s="129" t="n"/>
      <c r="D74" s="129" t="n"/>
      <c r="E74" s="129" t="n"/>
      <c r="F74" s="129" t="n"/>
    </row>
    <row r="75" ht="15" customHeight="1" s="8">
      <c r="A75" s="129" t="n"/>
      <c r="B75" s="129" t="n"/>
      <c r="C75" s="129" t="n"/>
      <c r="D75" s="129" t="n"/>
      <c r="E75" s="129" t="n"/>
      <c r="F75" s="129" t="n"/>
    </row>
    <row r="76" ht="15" customHeight="1" s="8">
      <c r="A76" s="129" t="n"/>
      <c r="B76" s="129" t="n"/>
      <c r="C76" s="129" t="n"/>
      <c r="D76" s="129" t="n"/>
      <c r="E76" s="129" t="n"/>
      <c r="F76" s="129" t="n"/>
    </row>
    <row r="77" ht="15" customHeight="1" s="8">
      <c r="A77" s="129" t="n"/>
      <c r="B77" s="129" t="n"/>
      <c r="C77" s="129" t="n"/>
      <c r="D77" s="129" t="n"/>
      <c r="E77" s="129" t="n"/>
      <c r="F77" s="129" t="n"/>
    </row>
    <row r="78" ht="15" customHeight="1" s="8">
      <c r="A78" s="129" t="n"/>
      <c r="B78" s="129" t="n"/>
      <c r="C78" s="129" t="n"/>
      <c r="D78" s="129" t="n"/>
      <c r="E78" s="129" t="n"/>
      <c r="F78" s="129" t="n"/>
    </row>
    <row r="79" ht="15" customHeight="1" s="8">
      <c r="A79" s="129" t="n"/>
      <c r="B79" s="129" t="n"/>
      <c r="C79" s="129" t="n"/>
      <c r="D79" s="129" t="n"/>
      <c r="E79" s="129" t="n"/>
      <c r="F79" s="129" t="n"/>
    </row>
  </sheetData>
  <mergeCells count="9">
    <mergeCell ref="A24:F24"/>
    <mergeCell ref="A2:F2"/>
    <mergeCell ref="A42:F42"/>
    <mergeCell ref="A36:F36"/>
    <mergeCell ref="A1:F1"/>
    <mergeCell ref="A23:F23"/>
    <mergeCell ref="A8:F8"/>
    <mergeCell ref="A25:F25"/>
    <mergeCell ref="A43:F43"/>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E19"/>
  <sheetViews>
    <sheetView showGridLines="0" zoomScaleNormal="100" workbookViewId="0">
      <selection activeCell="A1" sqref="A1"/>
    </sheetView>
  </sheetViews>
  <sheetFormatPr baseColWidth="10" defaultColWidth="8.83203125" defaultRowHeight="15"/>
  <cols>
    <col width="25" customWidth="1" style="8" min="1" max="1"/>
    <col width="35" customWidth="1" style="8" min="2" max="2"/>
    <col width="20" customWidth="1" style="8" min="3" max="5"/>
  </cols>
  <sheetData>
    <row r="1" ht="30" customHeight="1" s="8">
      <c r="A1" s="154" t="inlineStr">
        <is>
          <t>TRADE REFERENCE TEMPLATE  |  FOR FRANCHISE VALIDATION</t>
        </is>
      </c>
    </row>
    <row r="2" ht="15" customHeight="1" s="8">
      <c r="A2" s="178" t="inlineStr">
        <is>
          <t>Use this template to capture actual results from 2-3 ServiceBridge reference clients to validate Insight Engine benchmarks</t>
        </is>
      </c>
    </row>
    <row r="4" ht="15" customHeight="1" s="8">
      <c r="A4" s="15" t="inlineStr">
        <is>
          <t>Metric</t>
        </is>
      </c>
      <c r="B4" s="16" t="inlineStr">
        <is>
          <t>Reference Client 1</t>
        </is>
      </c>
      <c r="C4" s="16" t="inlineStr">
        <is>
          <t>Reference Client 2</t>
        </is>
      </c>
      <c r="D4" s="16" t="inlineStr">
        <is>
          <t>Reference Client 3</t>
        </is>
      </c>
      <c r="E4" s="15" t="inlineStr">
        <is>
          <t>Insight Engine Base</t>
        </is>
      </c>
    </row>
    <row r="5" ht="18" customHeight="1" s="8">
      <c r="A5" s="100" t="inlineStr">
        <is>
          <t># Technicians</t>
        </is>
      </c>
      <c r="B5" s="102" t="n"/>
      <c r="C5" s="102" t="n"/>
      <c r="D5" s="102" t="n"/>
      <c r="E5" s="132" t="inlineStr">
        <is>
          <t>100</t>
        </is>
      </c>
    </row>
    <row r="6" ht="18" customHeight="1" s="8">
      <c r="A6" s="97" t="inlineStr">
        <is>
          <t>Jobs/Tech/Day (before)</t>
        </is>
      </c>
      <c r="B6" s="99" t="n"/>
      <c r="C6" s="99" t="n"/>
      <c r="D6" s="99" t="n"/>
      <c r="E6" s="132" t="inlineStr">
        <is>
          <t>4</t>
        </is>
      </c>
    </row>
    <row r="7" ht="18" customHeight="1" s="8">
      <c r="A7" s="100" t="inlineStr">
        <is>
          <t>Jobs/Tech/Day (after)</t>
        </is>
      </c>
      <c r="B7" s="102" t="n"/>
      <c r="C7" s="102" t="n"/>
      <c r="D7" s="102" t="n"/>
      <c r="E7" s="132" t="inlineStr">
        <is>
          <t>4.5</t>
        </is>
      </c>
    </row>
    <row r="8" ht="18" customHeight="1" s="8">
      <c r="A8" s="97" t="inlineStr">
        <is>
          <t>Uplift</t>
        </is>
      </c>
      <c r="B8" s="99" t="n"/>
      <c r="C8" s="99" t="n"/>
      <c r="D8" s="99" t="n"/>
      <c r="E8" s="132" t="inlineStr">
        <is>
          <t>0.5</t>
        </is>
      </c>
    </row>
    <row r="9" ht="18" customHeight="1" s="8">
      <c r="A9" s="100" t="inlineStr">
        <is>
          <t>Admin Hrs Saved/Day</t>
        </is>
      </c>
      <c r="B9" s="102" t="n"/>
      <c r="C9" s="102" t="n"/>
      <c r="D9" s="102" t="n"/>
      <c r="E9" s="132" t="inlineStr">
        <is>
          <t>1.0</t>
        </is>
      </c>
    </row>
    <row r="10" ht="18" customHeight="1" s="8">
      <c r="A10" s="97" t="inlineStr">
        <is>
          <t>Fuel Savings/Vehicle/Yr</t>
        </is>
      </c>
      <c r="B10" s="99" t="n"/>
      <c r="C10" s="99" t="n"/>
      <c r="D10" s="99" t="n"/>
      <c r="E10" s="132" t="inlineStr">
        <is>
          <t>$1,800</t>
        </is>
      </c>
    </row>
    <row r="11" ht="18" customHeight="1" s="8">
      <c r="A11" s="100" t="inlineStr">
        <is>
          <t>Invoice Cycle (before)</t>
        </is>
      </c>
      <c r="B11" s="102" t="n"/>
      <c r="C11" s="102" t="n"/>
      <c r="D11" s="102" t="n"/>
      <c r="E11" s="132" t="inlineStr">
        <is>
          <t>12 days</t>
        </is>
      </c>
    </row>
    <row r="12" ht="18" customHeight="1" s="8">
      <c r="A12" s="97" t="inlineStr">
        <is>
          <t>Invoice Cycle (after)</t>
        </is>
      </c>
      <c r="B12" s="99" t="n"/>
      <c r="C12" s="99" t="n"/>
      <c r="D12" s="99" t="n"/>
      <c r="E12" s="132" t="inlineStr">
        <is>
          <t>7 days</t>
        </is>
      </c>
    </row>
    <row r="13" ht="18" customHeight="1" s="8">
      <c r="A13" s="100" t="inlineStr">
        <is>
          <t>First-Time Fix (before %)</t>
        </is>
      </c>
      <c r="B13" s="102" t="n"/>
      <c r="C13" s="102" t="n"/>
      <c r="D13" s="102" t="n"/>
      <c r="E13" s="132" t="inlineStr">
        <is>
          <t>72%</t>
        </is>
      </c>
    </row>
    <row r="14" ht="18" customHeight="1" s="8">
      <c r="A14" s="97" t="inlineStr">
        <is>
          <t>First-Time Fix (after %)</t>
        </is>
      </c>
      <c r="B14" s="99" t="n"/>
      <c r="C14" s="99" t="n"/>
      <c r="D14" s="99" t="n"/>
      <c r="E14" s="132" t="inlineStr">
        <is>
          <t>77%</t>
        </is>
      </c>
    </row>
    <row r="15" ht="18" customHeight="1" s="8">
      <c r="A15" s="100" t="inlineStr">
        <is>
          <t>Annual Value Realized</t>
        </is>
      </c>
      <c r="B15" s="102" t="n"/>
      <c r="C15" s="102" t="n"/>
      <c r="D15" s="102" t="n"/>
      <c r="E15" s="132" t="inlineStr">
        <is>
          <t>(use ROI Calc)</t>
        </is>
      </c>
    </row>
    <row r="18" ht="15" customHeight="1" s="8">
      <c r="A18" s="6" t="inlineStr">
        <is>
          <t>DISCLAIMER</t>
        </is>
      </c>
    </row>
    <row r="19" ht="60" customHeight="1" s="8">
      <c r="A19" s="5" t="inlineStr">
        <is>
          <t>The Insight Engine is a predictive modeling tool designed to illustrate potential financial outcomes based on user-provided inputs and published industry benchmarks. All projections — including revenue uplift, cost reduction, EBITDA impact, and valuation estimates — are estimates only. Actual results will vary based on operational conditions, market dynamics, franchise network size, implementation quality, and other factors beyond the control of GPS Insight or ServiceBridge. This tool does not constitute financial, investment, legal, or business advice and should not be relied upon as the sole basis for any business decision. GPS Insight makes no representations or warranties regarding the accuracy or completeness of any projections generated. Users are encouraged to validate outputs against their own financial data and consult qualified financial or operational advisors before making strategic decisions.</t>
        </is>
      </c>
    </row>
  </sheetData>
  <mergeCells count="4">
    <mergeCell ref="A2:E2"/>
    <mergeCell ref="A1:E1"/>
    <mergeCell ref="A18:E18"/>
    <mergeCell ref="A19:E19"/>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E16"/>
  <sheetViews>
    <sheetView showGridLines="0" zoomScaleNormal="100" workbookViewId="0">
      <selection activeCell="A1" sqref="A1"/>
    </sheetView>
  </sheetViews>
  <sheetFormatPr baseColWidth="10" defaultColWidth="8.83203125" defaultRowHeight="15"/>
  <cols>
    <col width="28" customWidth="1" style="8" min="1" max="1"/>
    <col width="22" customWidth="1" style="8" min="2" max="5"/>
  </cols>
  <sheetData>
    <row r="1" ht="30" customHeight="1" s="8">
      <c r="A1" s="154" t="inlineStr">
        <is>
          <t>3-WAY SCENARIO ANALYSIS  |  PE EXIT VALUE BRIDGE</t>
        </is>
      </c>
    </row>
    <row r="3" ht="24" customHeight="1" s="8">
      <c r="A3" s="133" t="inlineStr">
        <is>
          <t>Line Item</t>
        </is>
      </c>
      <c r="B3" s="134" t="inlineStr">
        <is>
          <t>Conservative</t>
        </is>
      </c>
      <c r="C3" s="134" t="inlineStr">
        <is>
          <t>Base Case</t>
        </is>
      </c>
      <c r="D3" s="134" t="inlineStr">
        <is>
          <t>Stretch</t>
        </is>
      </c>
      <c r="E3" s="133" t="inlineStr">
        <is>
          <t>Delta (Stretch - Base)</t>
        </is>
      </c>
    </row>
    <row r="4" ht="19.5" customHeight="1" s="8">
      <c r="A4" s="135" t="inlineStr">
        <is>
          <t>Revenue Uplift (FSM)</t>
        </is>
      </c>
      <c r="B4" s="136" t="inlineStr">
        <is>
          <t>$1.04M</t>
        </is>
      </c>
      <c r="C4" s="136" t="inlineStr">
        <is>
          <t>$4.55M</t>
        </is>
      </c>
      <c r="D4" s="136" t="inlineStr">
        <is>
          <t>$32.5M</t>
        </is>
      </c>
      <c r="E4" s="136" t="inlineStr">
        <is>
          <t>~$31.5M</t>
        </is>
      </c>
    </row>
    <row r="5" ht="19.5" customHeight="1" s="8">
      <c r="A5" s="137" t="inlineStr">
        <is>
          <t>Admin Savings</t>
        </is>
      </c>
      <c r="B5" s="138" t="inlineStr">
        <is>
          <t>$156K</t>
        </is>
      </c>
      <c r="C5" s="138" t="inlineStr">
        <is>
          <t>$728K</t>
        </is>
      </c>
      <c r="D5" s="138" t="inlineStr">
        <is>
          <t>$5.6M</t>
        </is>
      </c>
      <c r="E5" s="138" t="inlineStr">
        <is>
          <t>~$4.9M</t>
        </is>
      </c>
    </row>
    <row r="6" ht="19.5" customHeight="1" s="8">
      <c r="A6" s="135" t="inlineStr">
        <is>
          <t>Fuel Savings</t>
        </is>
      </c>
      <c r="B6" s="136" t="inlineStr">
        <is>
          <t>$60K</t>
        </is>
      </c>
      <c r="C6" s="136" t="inlineStr">
        <is>
          <t>$180K</t>
        </is>
      </c>
      <c r="D6" s="136" t="inlineStr">
        <is>
          <t>$1.4M</t>
        </is>
      </c>
      <c r="E6" s="136" t="inlineStr">
        <is>
          <t>~$1.2M</t>
        </is>
      </c>
    </row>
    <row r="7" ht="19.5" customHeight="1" s="8">
      <c r="A7" s="137" t="inlineStr">
        <is>
          <t>Labor Recovery (Telematics)</t>
        </is>
      </c>
      <c r="B7" s="138" t="inlineStr">
        <is>
          <t>$94K</t>
        </is>
      </c>
      <c r="C7" s="138" t="inlineStr">
        <is>
          <t>$364K</t>
        </is>
      </c>
      <c r="D7" s="138" t="inlineStr">
        <is>
          <t>$2.1M</t>
        </is>
      </c>
      <c r="E7" s="138" t="inlineStr">
        <is>
          <t>~$1.7M</t>
        </is>
      </c>
    </row>
    <row r="8" ht="19.5" customHeight="1" s="8">
      <c r="A8" s="135" t="inlineStr">
        <is>
          <t>Insurance Savings</t>
        </is>
      </c>
      <c r="B8" s="136" t="inlineStr">
        <is>
          <t>$70K</t>
        </is>
      </c>
      <c r="C8" s="136" t="inlineStr">
        <is>
          <t>$256K</t>
        </is>
      </c>
      <c r="D8" s="136" t="inlineStr">
        <is>
          <t>$2.4M</t>
        </is>
      </c>
      <c r="E8" s="136" t="inlineStr">
        <is>
          <t>~$2.1M</t>
        </is>
      </c>
    </row>
    <row r="9" ht="19.5" customHeight="1" s="8">
      <c r="A9" s="139" t="inlineStr">
        <is>
          <t>Total Annual Platform Value</t>
        </is>
      </c>
      <c r="B9" s="140" t="inlineStr">
        <is>
          <t>$1.42M</t>
        </is>
      </c>
      <c r="C9" s="140" t="inlineStr">
        <is>
          <t>$6.08M</t>
        </is>
      </c>
      <c r="D9" s="140" t="inlineStr">
        <is>
          <t>$44.0M</t>
        </is>
      </c>
      <c r="E9" s="140" t="inlineStr">
        <is>
          <t>~$37.9M</t>
        </is>
      </c>
    </row>
    <row r="10" ht="19.5" customHeight="1" s="8">
      <c r="A10" s="135" t="inlineStr">
        <is>
          <t>EBITDA Uplift</t>
        </is>
      </c>
      <c r="B10" s="136" t="inlineStr">
        <is>
          <t>$256K</t>
        </is>
      </c>
      <c r="C10" s="136" t="inlineStr">
        <is>
          <t>$1.22M</t>
        </is>
      </c>
      <c r="D10" s="136" t="inlineStr">
        <is>
          <t>$11.0M</t>
        </is>
      </c>
      <c r="E10" s="136" t="inlineStr">
        <is>
          <t>~$9.8M</t>
        </is>
      </c>
    </row>
    <row r="11" ht="19.5" customHeight="1" s="8">
      <c r="A11" s="137" t="inlineStr">
        <is>
          <t>EV/EBITDA Multiple</t>
        </is>
      </c>
      <c r="B11" s="138" t="inlineStr">
        <is>
          <t>7.0x</t>
        </is>
      </c>
      <c r="C11" s="138" t="inlineStr">
        <is>
          <t>8.0x</t>
        </is>
      </c>
      <c r="D11" s="138" t="inlineStr">
        <is>
          <t>10.0x</t>
        </is>
      </c>
      <c r="E11" s="138" t="inlineStr">
        <is>
          <t>—</t>
        </is>
      </c>
    </row>
    <row r="12" ht="19.5" customHeight="1" s="8">
      <c r="A12" s="139" t="inlineStr">
        <is>
          <t>Enterprise Value Uplift</t>
        </is>
      </c>
      <c r="B12" s="140" t="inlineStr">
        <is>
          <t>$1.79M</t>
        </is>
      </c>
      <c r="C12" s="140" t="inlineStr">
        <is>
          <t>$9.73M</t>
        </is>
      </c>
      <c r="D12" s="140" t="inlineStr">
        <is>
          <t>$110M</t>
        </is>
      </c>
      <c r="E12" s="140" t="inlineStr">
        <is>
          <t>—</t>
        </is>
      </c>
    </row>
    <row r="15" ht="15" customHeight="1" s="8">
      <c r="A15" s="6" t="inlineStr">
        <is>
          <t>DISCLAIMER</t>
        </is>
      </c>
    </row>
    <row r="16" ht="60" customHeight="1" s="8">
      <c r="A16" s="5" t="inlineStr">
        <is>
          <t>The Insight Engine is a predictive modeling tool designed to illustrate potential financial outcomes based on user-provided inputs and published industry benchmarks. All projections — including revenue uplift, cost reduction, EBITDA impact, and valuation estimates — are estimates only. Actual results will vary based on operational conditions, market dynamics, franchise network size, implementation quality, and other factors beyond the control of GPS Insight or ServiceBridge. This tool does not constitute financial, investment, legal, or business advice and should not be relied upon as the sole basis for any business decision. GPS Insight makes no representations or warranties regarding the accuracy or completeness of any projections generated. Users are encouraged to validate outputs against their own financial data and consult qualified financial or operational advisors before making strategic decisions.</t>
        </is>
      </c>
    </row>
  </sheetData>
  <mergeCells count="3">
    <mergeCell ref="A16:E16"/>
    <mergeCell ref="A15:E15"/>
    <mergeCell ref="A1:E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2026-04-05T21:03:54Z</dcterms:created>
  <dcterms:modified xmlns:dcterms="http://purl.org/dc/terms/" xmlns:xsi="http://www.w3.org/2001/XMLSchema-instance" xsi:type="dcterms:W3CDTF">2026-04-28T01:37:56Z</dcterms:modified>
  <cp:lastModifiedBy>Michael Flynt</cp:lastModifiedBy>
  <cp:revision>0</cp:revision>
</cp:coreProperties>
</file>