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57000" windowHeight="17120" tabRatio="500" firstSheet="0" activeTab="12" autoFilterDateGrouping="1"/>
  </bookViews>
  <sheets>
    <sheet xmlns:r="http://schemas.openxmlformats.org/officeDocument/2006/relationships" name="Executive Scorecard" sheetId="1" state="visible" r:id="rId1"/>
    <sheet xmlns:r="http://schemas.openxmlformats.org/officeDocument/2006/relationships" name="Changelog v15.6" sheetId="2" state="visible" r:id="rId2"/>
    <sheet xmlns:r="http://schemas.openxmlformats.org/officeDocument/2006/relationships" name="PE Relationship Map" sheetId="3" state="visible" r:id="rId3"/>
    <sheet xmlns:r="http://schemas.openxmlformats.org/officeDocument/2006/relationships" name="Track 1 · Franchisors" sheetId="4" state="visible" r:id="rId4"/>
    <sheet xmlns:r="http://schemas.openxmlformats.org/officeDocument/2006/relationships" name="Track 2 · Franchisees" sheetId="5" state="visible" r:id="rId5"/>
    <sheet xmlns:r="http://schemas.openxmlformats.org/officeDocument/2006/relationships" name="Engagement Log" sheetId="6" state="visible" r:id="rId6"/>
    <sheet xmlns:r="http://schemas.openxmlformats.org/officeDocument/2006/relationships" name="Account Feedback" sheetId="7" state="visible" r:id="rId7"/>
    <sheet xmlns:r="http://schemas.openxmlformats.org/officeDocument/2006/relationships" name="Field Guide" sheetId="8" state="visible" r:id="rId8"/>
    <sheet xmlns:r="http://schemas.openxmlformats.org/officeDocument/2006/relationships" name="📅 Event Intelligence" sheetId="9" state="visible" r:id="rId9"/>
    <sheet xmlns:r="http://schemas.openxmlformats.org/officeDocument/2006/relationships" name="💡 Engagement Ideas" sheetId="10" state="visible" r:id="rId10"/>
    <sheet xmlns:r="http://schemas.openxmlformats.org/officeDocument/2006/relationships" name="📊 Scoring Model" sheetId="11" state="visible" r:id="rId11"/>
    <sheet xmlns:r="http://schemas.openxmlformats.org/officeDocument/2006/relationships" name="🔍 Competition Intel" sheetId="12" state="visible" r:id="rId12"/>
    <sheet xmlns:r="http://schemas.openxmlformats.org/officeDocument/2006/relationships" name="📣 Marketing &amp; Offers" sheetId="13" state="visible" r:id="rId13"/>
    <sheet xmlns:r="http://schemas.openxmlformats.org/officeDocument/2006/relationships" name="🇺🇸 America 250" sheetId="14" state="visible" r:id="rId14"/>
    <sheet xmlns:r="http://schemas.openxmlformats.org/officeDocument/2006/relationships" name="Signal Intel" sheetId="15" state="visible" r:id="rId15"/>
  </sheets>
  <definedNames/>
  <calcPr calcId="191029" fullCalcOnLoad="1" iterateDelta="0.0001"/>
</workbook>
</file>

<file path=xl/styles.xml><?xml version="1.0" encoding="utf-8"?>
<styleSheet xmlns="http://schemas.openxmlformats.org/spreadsheetml/2006/main">
  <numFmts count="0"/>
  <fonts count="169">
    <font>
      <name val="Calibri"/>
      <charset val="1"/>
      <family val="2"/>
      <color theme="1"/>
      <sz val="11"/>
    </font>
    <font>
      <name val="Arial"/>
      <charset val="1"/>
      <family val="2"/>
      <b val="1"/>
      <color rgb="FFFFFFFF"/>
      <sz val="13"/>
    </font>
    <font>
      <name val="Arial"/>
      <charset val="1"/>
      <family val="2"/>
      <color rgb="FF8BAAC8"/>
      <sz val="9"/>
    </font>
    <font>
      <name val="Arial"/>
      <charset val="1"/>
      <family val="2"/>
      <b val="1"/>
      <color rgb="FFFFFFFF"/>
      <sz val="9"/>
    </font>
    <font>
      <name val="Arial"/>
      <charset val="1"/>
      <family val="2"/>
      <b val="1"/>
      <color rgb="FFFFFFFF"/>
      <sz val="11"/>
    </font>
    <font>
      <name val="Arial"/>
      <charset val="1"/>
      <family val="2"/>
      <i val="1"/>
      <color rgb="FFAACCFF"/>
      <sz val="8"/>
    </font>
    <font>
      <name val="Arial"/>
      <charset val="1"/>
      <family val="2"/>
      <b val="1"/>
      <color rgb="FF1A2B3C"/>
      <sz val="10"/>
    </font>
    <font>
      <name val="Arial"/>
      <charset val="1"/>
      <family val="2"/>
      <b val="1"/>
      <color rgb="FF1A2B3C"/>
      <sz val="11"/>
    </font>
    <font>
      <name val="Arial"/>
      <charset val="1"/>
      <family val="2"/>
      <b val="1"/>
      <color rgb="FF185FA5"/>
      <sz val="12"/>
    </font>
    <font>
      <name val="Arial"/>
      <charset val="1"/>
      <family val="2"/>
      <b val="1"/>
      <color rgb="FF3B6D11"/>
      <sz val="10"/>
    </font>
    <font>
      <name val="Arial"/>
      <charset val="1"/>
      <family val="2"/>
      <b val="1"/>
      <color rgb="FF000000"/>
      <sz val="9"/>
    </font>
    <font>
      <name val="Arial"/>
      <charset val="1"/>
      <family val="2"/>
      <color rgb="FF222222"/>
      <sz val="10"/>
    </font>
    <font>
      <name val="Arial"/>
      <charset val="1"/>
      <family val="2"/>
      <color rgb="FF888780"/>
      <sz val="9"/>
    </font>
    <font>
      <name val="Arial"/>
      <charset val="1"/>
      <family val="2"/>
      <b val="1"/>
      <color rgb="FFC45F00"/>
      <sz val="9"/>
    </font>
    <font>
      <name val="Arial"/>
      <charset val="1"/>
      <family val="2"/>
      <i val="1"/>
      <color rgb="FF8BAAC8"/>
      <sz val="8"/>
    </font>
    <font>
      <name val="Arial"/>
      <charset val="1"/>
      <family val="2"/>
      <b val="1"/>
      <color rgb="FFFFFFFF"/>
      <sz val="8"/>
    </font>
    <font>
      <name val="Arial"/>
      <charset val="1"/>
      <family val="2"/>
      <b val="1"/>
      <color rgb="FF185FA5"/>
      <sz val="9"/>
    </font>
    <font>
      <name val="Arial"/>
      <charset val="1"/>
      <family val="2"/>
      <color rgb="FF000000"/>
      <sz val="10"/>
    </font>
    <font>
      <name val="Arial"/>
      <charset val="1"/>
      <family val="2"/>
      <i val="1"/>
      <color rgb="FF555555"/>
      <sz val="8"/>
    </font>
    <font>
      <name val="Arial"/>
      <charset val="1"/>
      <family val="2"/>
      <b val="1"/>
      <color rgb="FF1A2B3C"/>
      <sz val="9"/>
    </font>
    <font>
      <name val="Arial"/>
      <charset val="1"/>
      <family val="2"/>
      <b val="1"/>
      <color rgb="FF888780"/>
      <sz val="10"/>
    </font>
    <font>
      <name val="Arial"/>
      <charset val="1"/>
      <family val="2"/>
      <b val="1"/>
      <color rgb="FF1A2B3C"/>
      <sz val="12"/>
    </font>
    <font>
      <name val="Arial"/>
      <charset val="1"/>
      <family val="2"/>
      <color rgb="FF3B6D11"/>
      <sz val="10"/>
    </font>
    <font>
      <name val="Arial"/>
      <charset val="1"/>
      <family val="2"/>
      <color rgb="FF888780"/>
      <sz val="8"/>
    </font>
    <font>
      <name val="Arial"/>
      <charset val="1"/>
      <family val="2"/>
      <b val="1"/>
      <color rgb="FF3B6D11"/>
      <sz val="9"/>
    </font>
    <font>
      <name val="Arial"/>
      <charset val="1"/>
      <family val="2"/>
      <b val="1"/>
      <color rgb="FF3B6D11"/>
      <sz val="12"/>
    </font>
    <font>
      <name val="Arial"/>
      <charset val="1"/>
      <family val="2"/>
      <b val="1"/>
      <color rgb="FFC45F00"/>
      <sz val="12"/>
    </font>
    <font>
      <name val="Arial"/>
      <charset val="1"/>
      <family val="2"/>
      <color rgb="FF222222"/>
      <sz val="9"/>
    </font>
    <font>
      <name val="Arial"/>
      <charset val="1"/>
      <family val="2"/>
      <b val="1"/>
      <color rgb="FF185FA5"/>
      <sz val="8"/>
    </font>
    <font>
      <name val="Arial"/>
      <charset val="1"/>
      <family val="2"/>
      <b val="1"/>
      <color rgb="FFC45F00"/>
      <sz val="8"/>
    </font>
    <font>
      <name val="Arial"/>
      <charset val="1"/>
      <family val="2"/>
      <b val="1"/>
      <color rgb="FFA32D2D"/>
      <sz val="8"/>
    </font>
    <font>
      <name val="Arial"/>
      <charset val="1"/>
      <family val="2"/>
      <b val="1"/>
      <color rgb="FFC45F00"/>
      <sz val="10"/>
    </font>
    <font>
      <name val="Arial"/>
      <charset val="1"/>
      <family val="2"/>
      <color rgb="FF333333"/>
      <sz val="9"/>
    </font>
    <font>
      <name val="Arial"/>
      <family val="2"/>
      <b val="1"/>
      <color rgb="FF000000"/>
      <sz val="9"/>
    </font>
    <font>
      <name val="Arial"/>
      <charset val="1"/>
      <family val="2"/>
      <b val="1"/>
      <color rgb="FFFFFFFF"/>
      <sz val="10"/>
    </font>
    <font>
      <name val="Arial"/>
      <charset val="1"/>
      <family val="2"/>
      <color rgb="FF1A2B3C"/>
      <sz val="9"/>
    </font>
    <font>
      <name val="Arial"/>
      <family val="2"/>
      <b val="1"/>
      <color rgb="FFFFFFFF"/>
      <sz val="9"/>
    </font>
    <font>
      <name val="Arial"/>
      <charset val="1"/>
      <family val="2"/>
      <color rgb="FFCCCCCC"/>
      <sz val="8"/>
    </font>
    <font>
      <name val="Arial"/>
      <family val="2"/>
      <color rgb="FF185FA5"/>
      <sz val="8"/>
    </font>
    <font>
      <name val="Arial"/>
      <charset val="1"/>
      <family val="2"/>
      <i val="1"/>
      <color rgb="FF185FA5"/>
      <sz val="8"/>
    </font>
    <font>
      <name val="Arial"/>
      <charset val="1"/>
      <family val="2"/>
      <b val="1"/>
      <color rgb="FF888780"/>
      <sz val="8"/>
    </font>
    <font>
      <name val="Arial"/>
      <charset val="1"/>
      <family val="2"/>
      <color rgb="FF333333"/>
      <sz val="8"/>
    </font>
    <font>
      <name val="Arial"/>
      <charset val="1"/>
      <family val="2"/>
      <i val="1"/>
      <color rgb="FF333333"/>
      <sz val="8"/>
    </font>
    <font>
      <name val="Arial"/>
      <family val="2"/>
      <color rgb="FF7F6000"/>
      <sz val="8"/>
    </font>
    <font>
      <name val="Arial"/>
      <family val="2"/>
      <b val="1"/>
      <color rgb="FF1A3C1A"/>
      <sz val="8"/>
    </font>
    <font>
      <name val="Arial"/>
      <family val="2"/>
      <color rgb="FF8B0000"/>
      <sz val="8"/>
    </font>
    <font>
      <name val="Arial"/>
      <charset val="1"/>
      <family val="2"/>
      <i val="1"/>
      <color rgb="FFFFAAAA"/>
      <sz val="8"/>
    </font>
    <font>
      <name val="Arial"/>
      <charset val="1"/>
      <family val="2"/>
      <i val="1"/>
      <color rgb="FFCCCCCC"/>
      <sz val="8"/>
    </font>
    <font>
      <name val="Arial"/>
      <family val="2"/>
      <b val="1"/>
      <color rgb="FF000000"/>
      <sz val="10"/>
    </font>
    <font>
      <name val="Arial"/>
      <family val="2"/>
      <b val="1"/>
      <color rgb="FFFFFFFF"/>
      <sz val="8"/>
    </font>
    <font>
      <name val="Arial"/>
      <charset val="1"/>
      <family val="2"/>
      <b val="1"/>
      <color rgb="FFFFFFFF"/>
      <sz val="12"/>
    </font>
    <font>
      <name val="Arial"/>
      <charset val="1"/>
      <family val="2"/>
      <color rgb="FF000000"/>
      <sz val="9"/>
    </font>
    <font>
      <name val="Arial"/>
      <charset val="1"/>
      <family val="2"/>
      <color rgb="FF222222"/>
      <sz val="8"/>
    </font>
    <font>
      <name val="Arial"/>
      <family val="2"/>
      <color rgb="FF000000"/>
      <sz val="9"/>
    </font>
    <font>
      <name val="Arial"/>
      <family val="2"/>
      <color rgb="FF000000"/>
      <sz val="8"/>
    </font>
    <font>
      <name val="Arial"/>
      <family val="2"/>
      <b val="1"/>
      <color rgb="FFFFFFFF"/>
      <sz val="11"/>
    </font>
    <font>
      <name val="Arial"/>
      <family val="2"/>
      <color rgb="FF7F3F00"/>
      <sz val="8"/>
    </font>
    <font>
      <name val="Arial"/>
      <family val="2"/>
      <color rgb="FF065F46"/>
      <sz val="8"/>
    </font>
    <font>
      <name val="Arial"/>
      <family val="2"/>
      <color rgb="FF92400E"/>
      <sz val="8"/>
    </font>
    <font>
      <name val="Arial"/>
      <family val="2"/>
      <color rgb="FF991B1B"/>
      <sz val="8"/>
    </font>
    <font>
      <name val="Arial"/>
      <family val="2"/>
      <b val="1"/>
      <color rgb="FF000000"/>
      <sz val="11"/>
    </font>
    <font>
      <name val="Arial"/>
      <family val="2"/>
      <color rgb="FF555555"/>
      <sz val="8"/>
    </font>
    <font>
      <name val="Arial"/>
      <family val="2"/>
      <i val="1"/>
      <color rgb="FF555555"/>
      <sz val="8"/>
    </font>
    <font>
      <name val="Arial"/>
      <family val="2"/>
      <i val="1"/>
      <color rgb="FF7F3F00"/>
      <sz val="8"/>
    </font>
    <font>
      <name val="Arial"/>
      <family val="2"/>
      <b val="1"/>
      <color rgb="FF1A2B3C"/>
      <sz val="8"/>
    </font>
    <font>
      <name val="Arial"/>
      <family val="2"/>
      <i val="1"/>
      <color rgb="FF333333"/>
      <sz val="8"/>
    </font>
    <font>
      <name val="Arial"/>
      <family val="2"/>
      <b val="1"/>
      <color rgb="FF185FA5"/>
      <sz val="8"/>
    </font>
    <font>
      <name val="Arial"/>
      <family val="2"/>
      <b val="1"/>
      <color rgb="FF8B0000"/>
      <sz val="8"/>
    </font>
    <font>
      <name val="Calibri"/>
      <family val="2"/>
      <color rgb="FF000000"/>
      <sz val="11"/>
    </font>
    <font>
      <name val="Arial"/>
      <family val="2"/>
      <sz val="9"/>
    </font>
    <font>
      <name val="Arial"/>
      <charset val="1"/>
      <family val="2"/>
      <b val="1"/>
      <color rgb="FF1A5276"/>
      <sz val="9"/>
    </font>
    <font>
      <name val="Arial"/>
      <family val="2"/>
      <i val="1"/>
      <color rgb="FF888888"/>
      <sz val="8"/>
    </font>
    <font>
      <name val="Arial"/>
      <family val="2"/>
      <i val="1"/>
      <color rgb="FF8B0000"/>
      <sz val="8"/>
    </font>
    <font>
      <name val="Arial"/>
      <family val="2"/>
      <b val="1"/>
      <color rgb="FFC45F00"/>
      <sz val="8"/>
    </font>
    <font>
      <name val="Arial"/>
      <family val="2"/>
      <b val="1"/>
      <color rgb="FF7F6000"/>
      <sz val="10"/>
    </font>
    <font>
      <name val="Arial"/>
      <family val="2"/>
      <b val="1"/>
      <color rgb="FFFFFFFF"/>
      <sz val="10"/>
    </font>
    <font>
      <name val="Arial"/>
      <charset val="1"/>
      <family val="2"/>
      <b val="1"/>
      <color rgb="FF888780"/>
      <sz val="9"/>
    </font>
    <font>
      <name val="Arial"/>
      <family val="2"/>
      <b val="1"/>
      <color rgb="FF991B1B"/>
      <sz val="8"/>
    </font>
    <font>
      <name val="Arial"/>
      <charset val="1"/>
      <family val="2"/>
      <b val="1"/>
      <color rgb="FF3B6D11"/>
      <sz val="8"/>
    </font>
    <font>
      <name val="Arial"/>
      <family val="2"/>
      <b val="1"/>
      <color rgb="FF92400E"/>
      <sz val="8"/>
    </font>
    <font>
      <name val="Arial"/>
      <family val="2"/>
      <color rgb="FF1A3C1A"/>
      <sz val="8"/>
    </font>
    <font>
      <name val="Arial"/>
      <charset val="1"/>
      <family val="2"/>
      <b val="1"/>
      <color rgb="FF2E4057"/>
      <sz val="9"/>
    </font>
    <font>
      <name val="Arial"/>
      <family val="2"/>
      <b val="1"/>
      <color rgb="FF7F6000"/>
      <sz val="8"/>
    </font>
    <font>
      <name val="Arial"/>
      <charset val="1"/>
      <family val="2"/>
      <b val="1"/>
      <color rgb="FF17202A"/>
      <sz val="9"/>
    </font>
    <font>
      <name val="Arial"/>
      <charset val="1"/>
      <family val="2"/>
      <b val="1"/>
      <color rgb="FF145A32"/>
      <sz val="9"/>
    </font>
    <font>
      <name val="Arial"/>
      <charset val="1"/>
      <family val="2"/>
      <b val="1"/>
      <color rgb="FF4A235A"/>
      <sz val="9"/>
    </font>
    <font>
      <name val="Arial"/>
      <family val="2"/>
      <b val="1"/>
      <color rgb="FF148F77"/>
      <sz val="8"/>
    </font>
    <font>
      <name val="Arial"/>
      <charset val="1"/>
      <family val="2"/>
      <b val="1"/>
      <color rgb="FF784212"/>
      <sz val="9"/>
    </font>
    <font>
      <name val="Arial"/>
      <charset val="1"/>
      <family val="2"/>
      <b val="1"/>
      <color rgb="FF7D6608"/>
      <sz val="9"/>
    </font>
    <font>
      <name val="Arial"/>
      <charset val="1"/>
      <family val="2"/>
      <b val="1"/>
      <color rgb="FF1B2631"/>
      <sz val="9"/>
    </font>
    <font>
      <name val="Arial"/>
      <charset val="1"/>
      <family val="2"/>
      <i val="1"/>
      <color rgb="FF185FA5"/>
      <sz val="9"/>
    </font>
    <font>
      <name val="Arial"/>
      <charset val="1"/>
      <family val="2"/>
      <b val="1"/>
      <color rgb="FF1A3A1A"/>
      <sz val="9"/>
    </font>
    <font>
      <name val="Arial"/>
      <charset val="1"/>
      <family val="2"/>
      <color rgb="FFA32D2D"/>
      <sz val="9"/>
    </font>
    <font>
      <name val="Arial"/>
      <family val="2"/>
      <color rgb="FFFFFFFF"/>
      <sz val="9"/>
    </font>
    <font>
      <name val="Arial"/>
      <family val="2"/>
      <b val="1"/>
      <color rgb="FF185FA5"/>
      <sz val="9"/>
    </font>
    <font>
      <name val="Arial"/>
      <family val="2"/>
      <b val="1"/>
      <sz val="9"/>
    </font>
    <font>
      <name val="Arial"/>
      <charset val="1"/>
      <family val="2"/>
      <color rgb="FF1A2B3C"/>
      <sz val="10"/>
    </font>
    <font>
      <name val="Arial"/>
      <charset val="1"/>
      <family val="2"/>
      <b val="1"/>
      <color rgb="FF111111"/>
      <sz val="9"/>
    </font>
    <font>
      <name val="Arial"/>
      <charset val="1"/>
      <family val="2"/>
      <color rgb="FF444444"/>
      <sz val="9"/>
    </font>
    <font>
      <name val="Arial"/>
      <family val="2"/>
      <color rgb="FF0070C0"/>
      <sz val="9"/>
    </font>
    <font>
      <name val="Arial"/>
      <family val="2"/>
      <i val="1"/>
      <sz val="9"/>
    </font>
    <font>
      <name val="Arial"/>
      <family val="2"/>
      <i val="1"/>
      <color rgb="FFFFFFFF"/>
      <sz val="9"/>
    </font>
    <font>
      <name val="Arial"/>
      <family val="2"/>
      <b val="1"/>
      <i val="1"/>
      <color rgb="FF7F3F00"/>
      <sz val="9"/>
    </font>
    <font>
      <name val="Arial"/>
      <family val="2"/>
      <color rgb="FF185FA5"/>
      <sz val="9"/>
    </font>
    <font>
      <name val="Arial"/>
      <family val="2"/>
      <sz val="8"/>
    </font>
    <font>
      <name val="Arial"/>
      <family val="2"/>
      <b val="1"/>
      <sz val="8"/>
    </font>
    <font>
      <name val="Arial"/>
      <family val="2"/>
      <i val="1"/>
      <sz val="8"/>
    </font>
    <font>
      <name val="Arial"/>
      <family val="2"/>
      <b val="1"/>
      <color rgb="FF7F3F00"/>
      <sz val="8"/>
    </font>
    <font>
      <name val="Arial"/>
      <family val="2"/>
      <b val="1"/>
      <color rgb="FFFFFFFF"/>
      <sz val="12"/>
    </font>
    <font>
      <name val="Arial"/>
      <family val="2"/>
      <b val="1"/>
      <color rgb="FF7F6000"/>
      <sz val="11"/>
    </font>
    <font>
      <name val="Arial"/>
      <family val="2"/>
      <b val="1"/>
      <color rgb="FF000000"/>
      <sz val="12"/>
    </font>
    <font>
      <name val="Arial"/>
      <family val="2"/>
      <b val="1"/>
      <color rgb="FFFFFFFF"/>
      <sz val="13"/>
    </font>
    <font>
      <name val="Arial"/>
      <family val="2"/>
      <b val="1"/>
      <color rgb="FF1A2B3C"/>
      <sz val="9"/>
    </font>
    <font>
      <name val="Arial"/>
      <family val="2"/>
      <color rgb="FF333333"/>
      <sz val="9"/>
    </font>
    <font>
      <name val="Arial"/>
      <family val="2"/>
      <color rgb="FF1A2B3C"/>
      <sz val="8"/>
    </font>
    <font>
      <name val="Arial"/>
      <family val="2"/>
      <i val="1"/>
      <color rgb="FF7F0000"/>
      <sz val="8"/>
    </font>
    <font>
      <name val="Arial"/>
      <family val="2"/>
      <b val="1"/>
      <color rgb="FF991B1B"/>
      <sz val="9"/>
    </font>
    <font>
      <name val="Arial"/>
      <family val="2"/>
      <b val="1"/>
      <color rgb="FF92400E"/>
      <sz val="9"/>
    </font>
    <font>
      <name val="Arial"/>
      <family val="2"/>
      <b val="1"/>
      <color rgb="FF065F46"/>
      <sz val="9"/>
    </font>
    <font>
      <name val="Arial"/>
      <family val="2"/>
      <color rgb="FF222222"/>
      <sz val="9"/>
    </font>
    <font>
      <name val="Arial"/>
      <family val="2"/>
      <color rgb="FF222222"/>
      <sz val="8"/>
    </font>
    <font>
      <name val="Arial"/>
      <family val="2"/>
      <b val="1"/>
      <color rgb="FF222222"/>
      <sz val="9"/>
    </font>
    <font>
      <name val="Arial"/>
      <family val="2"/>
      <color rgb="FF991B1B"/>
      <sz val="9"/>
    </font>
    <font>
      <name val="Arial"/>
      <family val="2"/>
      <color rgb="FF92400E"/>
      <sz val="9"/>
    </font>
    <font>
      <name val="Arial"/>
      <family val="2"/>
      <b val="1"/>
      <color rgb="FFFFFFFF"/>
      <sz val="10"/>
    </font>
    <font>
      <name val="Arial"/>
      <family val="2"/>
      <b val="1"/>
      <color rgb="FF1A2B3C"/>
      <sz val="14"/>
    </font>
    <font>
      <name val="Arial"/>
      <family val="2"/>
      <i val="1"/>
      <color rgb="FF6B7A8B"/>
      <sz val="9"/>
    </font>
    <font>
      <name val="Arial"/>
      <family val="2"/>
      <b val="1"/>
      <color rgb="FFFFFFFF"/>
      <sz val="10"/>
    </font>
    <font>
      <name val="Arial"/>
      <family val="2"/>
      <color rgb="FF3A4A5C"/>
      <sz val="9"/>
    </font>
    <font>
      <name val="Arial"/>
      <family val="2"/>
      <b val="1"/>
      <color rgb="FF1A2B3C"/>
      <sz val="12"/>
    </font>
    <font>
      <name val="Arial"/>
      <family val="2"/>
      <color rgb="FF3A4A5C"/>
      <sz val="10"/>
    </font>
    <font>
      <name val="Arial"/>
      <family val="2"/>
      <b val="1"/>
      <color rgb="FF1A2B3C"/>
      <sz val="11"/>
    </font>
    <font>
      <name val="Arial"/>
      <b val="1"/>
      <color rgb="FFFFFFFF"/>
      <sz val="8"/>
    </font>
    <font>
      <b val="1"/>
      <sz val="11"/>
    </font>
    <font>
      <b val="1"/>
    </font>
    <font>
      <name val="Calibri"/>
      <b val="1"/>
      <color rgb="00FFFFFF"/>
      <sz val="14"/>
    </font>
    <font>
      <name val="Calibri"/>
      <i val="1"/>
      <color rgb="00666666"/>
      <sz val="9"/>
    </font>
    <font>
      <name val="Calibri"/>
      <b val="1"/>
      <color rgb="00FFFFFF"/>
      <sz val="10"/>
    </font>
    <font>
      <name val="Calibri"/>
      <b val="1"/>
      <color rgb="00FFFFFF"/>
      <sz val="11"/>
    </font>
    <font>
      <name val="Calibri"/>
      <b val="1"/>
      <sz val="10"/>
    </font>
    <font>
      <name val="Calibri"/>
      <sz val="10"/>
    </font>
    <font>
      <name val="Calibri"/>
      <color rgb="00185FA5"/>
      <sz val="10"/>
    </font>
    <font>
      <name val="Calibri"/>
      <i val="1"/>
      <color rgb="00555555"/>
      <sz val="9"/>
    </font>
    <font>
      <name val="Calibri"/>
      <color rgb="00999999"/>
      <sz val="10"/>
    </font>
    <font>
      <name val="Calibri"/>
      <sz val="9"/>
    </font>
    <font>
      <name val="Calibri"/>
      <color rgb="00185FA5"/>
      <sz val="9"/>
    </font>
    <font>
      <name val="Calibri"/>
      <i val="1"/>
      <color rgb="00888888"/>
      <sz val="9"/>
    </font>
    <font>
      <name val="Calibri"/>
      <i val="1"/>
      <color rgb="00555555"/>
      <sz val="8"/>
    </font>
    <font>
      <name val="Calibri"/>
      <color rgb="00999999"/>
      <sz val="9"/>
    </font>
    <font>
      <name val="Calibri"/>
      <b val="1"/>
      <color rgb="00185FA5"/>
      <sz val="9"/>
    </font>
    <font>
      <name val="Calibri"/>
      <color rgb="00185FA5"/>
      <sz val="8"/>
    </font>
    <font>
      <name val="Calibri"/>
      <i val="1"/>
      <color rgb="00185FA5"/>
      <sz val="8"/>
    </font>
    <font>
      <name val="Calibri"/>
      <color rgb="00888888"/>
      <sz val="9"/>
    </font>
    <font>
      <name val="Calibri"/>
      <b val="1"/>
      <i val="1"/>
      <color rgb="001A2B3C"/>
      <sz val="9"/>
    </font>
    <font>
      <name val="Calibri"/>
      <b val="1"/>
      <color rgb="00FFFFFF"/>
      <sz val="12"/>
    </font>
    <font>
      <name val="Calibri"/>
      <b val="1"/>
      <color rgb="007F6000"/>
      <sz val="9"/>
    </font>
    <font>
      <name val="Calibri"/>
      <b val="1"/>
      <color rgb="002C5530"/>
      <sz val="9"/>
    </font>
    <font>
      <name val="Calibri"/>
      <b val="1"/>
      <color rgb="00990000"/>
      <sz val="9"/>
    </font>
    <font>
      <name val="Calibri"/>
      <i val="1"/>
      <color rgb="00C00000"/>
      <sz val="8"/>
    </font>
    <font>
      <name val="Calibri"/>
      <b val="1"/>
      <color rgb="00185FA5"/>
      <sz val="14"/>
    </font>
    <font>
      <name val="Calibri"/>
      <b val="1"/>
      <color rgb="00185FA5"/>
      <sz val="11"/>
    </font>
    <font>
      <name val="Calibri"/>
      <i val="1"/>
      <sz val="10"/>
    </font>
    <font>
      <name val="Calibri"/>
      <b val="1"/>
      <sz val="11"/>
    </font>
    <font>
      <name val="Calibri"/>
      <b val="1"/>
      <sz val="9"/>
    </font>
    <font>
      <name val="Calibri"/>
      <b val="1"/>
      <i val="1"/>
      <sz val="9"/>
    </font>
    <font>
      <name val="Calibri"/>
      <i val="1"/>
      <sz val="9"/>
    </font>
    <font>
      <name val="Calibri"/>
      <b val="1"/>
      <color rgb="00185FA5"/>
      <sz val="10"/>
    </font>
    <font>
      <name val="Calibri"/>
      <b val="1"/>
      <color rgb="00FFFFFF"/>
      <sz val="9"/>
    </font>
    <font>
      <name val="Calibri"/>
      <b val="1"/>
      <i val="1"/>
      <sz val="10"/>
    </font>
  </fonts>
  <fills count="91">
    <fill>
      <patternFill/>
    </fill>
    <fill>
      <patternFill patternType="gray125"/>
    </fill>
    <fill>
      <patternFill patternType="mediumGray">
        <fgColor rgb="FF1A2A36"/>
        <bgColor rgb="FF1A2A3C"/>
      </patternFill>
    </fill>
    <fill>
      <patternFill patternType="mediumGray">
        <fgColor rgb="FF151C24"/>
        <bgColor rgb="FF17202A"/>
      </patternFill>
    </fill>
    <fill>
      <patternFill patternType="solid">
        <fgColor rgb="FFF4F6F9"/>
        <bgColor rgb="FFF5F5F5"/>
      </patternFill>
    </fill>
    <fill>
      <patternFill patternType="solid">
        <fgColor rgb="FFFFFFFF"/>
        <bgColor rgb="FFFDF5F5"/>
      </patternFill>
    </fill>
    <fill>
      <patternFill patternType="solid">
        <fgColor rgb="FF1F5C9E"/>
        <bgColor rgb="FF195EA4"/>
      </patternFill>
    </fill>
    <fill>
      <patternFill patternType="solid">
        <fgColor rgb="FF484A4B"/>
        <bgColor rgb="FF333333"/>
      </patternFill>
    </fill>
    <fill>
      <patternFill patternType="solid">
        <fgColor rgb="FF195EA4"/>
        <bgColor rgb="FF1F5C9E"/>
      </patternFill>
    </fill>
    <fill>
      <patternFill patternType="solid">
        <fgColor rgb="FFFFF8E1"/>
        <bgColor rgb="FFFEF9E7"/>
      </patternFill>
    </fill>
    <fill>
      <patternFill patternType="solid">
        <fgColor rgb="FF9C2112"/>
        <bgColor rgb="FF920705"/>
      </patternFill>
    </fill>
    <fill>
      <patternFill patternType="solid">
        <fgColor rgb="FFEAF3DE"/>
        <bgColor rgb="FFE2EFDA"/>
      </patternFill>
    </fill>
    <fill>
      <patternFill patternType="solid">
        <fgColor rgb="FFF5F5F5"/>
        <bgColor rgb="FFF4F6F9"/>
      </patternFill>
    </fill>
    <fill>
      <patternFill patternType="solid">
        <fgColor rgb="FFC45F00"/>
        <bgColor rgb="FFC05621"/>
      </patternFill>
    </fill>
    <fill>
      <patternFill patternType="solid">
        <fgColor rgb="FFE8F0FA"/>
        <bgColor rgb="FFEAF0F6"/>
      </patternFill>
    </fill>
    <fill>
      <patternFill patternType="darkGray">
        <fgColor rgb="FFFDF5F5"/>
        <bgColor rgb="FFF5F5F5"/>
      </patternFill>
    </fill>
    <fill>
      <patternFill patternType="solid">
        <fgColor rgb="FFFFF0CC"/>
        <bgColor rgb="FFFFF3CD"/>
      </patternFill>
    </fill>
    <fill>
      <patternFill patternType="solid">
        <fgColor rgb="FFD6EAF8"/>
        <bgColor rgb="FFE8EAF6"/>
      </patternFill>
    </fill>
    <fill>
      <patternFill patternType="solid">
        <fgColor rgb="FFE2EFDA"/>
        <bgColor rgb="FFEAF3DE"/>
      </patternFill>
    </fill>
    <fill>
      <patternFill patternType="solid">
        <fgColor rgb="FFFCE4D6"/>
        <bgColor rgb="FFFEE4D4"/>
      </patternFill>
    </fill>
    <fill>
      <patternFill patternType="darkGray">
        <fgColor rgb="FF898D96"/>
        <bgColor rgb="FF7F6200"/>
      </patternFill>
    </fill>
    <fill>
      <patternFill patternType="solid">
        <fgColor rgb="FFFFC000"/>
        <bgColor rgb="FFF39C12"/>
      </patternFill>
    </fill>
    <fill>
      <patternFill patternType="solid">
        <fgColor rgb="FFFFF3CD"/>
        <bgColor rgb="FFFFF0CC"/>
      </patternFill>
    </fill>
    <fill>
      <patternFill patternType="solid">
        <fgColor rgb="FF0B8C7C"/>
        <bgColor rgb="FF0D61A9"/>
      </patternFill>
    </fill>
    <fill>
      <patternFill patternType="solid">
        <fgColor rgb="FFF39C12"/>
        <bgColor rgb="FFFFC000"/>
      </patternFill>
    </fill>
    <fill>
      <patternFill patternType="solid">
        <fgColor rgb="FFE74C3C"/>
        <bgColor rgb="FFC05621"/>
      </patternFill>
    </fill>
    <fill>
      <patternFill patternType="darkGray">
        <fgColor rgb="FF0B8C7C"/>
        <bgColor rgb="FF0D61A9"/>
      </patternFill>
    </fill>
    <fill>
      <patternFill patternType="solid">
        <fgColor rgb="FF115184"/>
        <bgColor rgb="FF1F5C9E"/>
      </patternFill>
    </fill>
    <fill>
      <patternFill patternType="solid">
        <fgColor rgb="FFEAF0F6"/>
        <bgColor rgb="FFE8F0FA"/>
      </patternFill>
    </fill>
    <fill>
      <patternFill patternType="darkGray">
        <fgColor rgb="FF3D2551"/>
        <bgColor rgb="FF343035"/>
      </patternFill>
    </fill>
    <fill>
      <patternFill patternType="solid">
        <fgColor rgb="FFD4EDDA"/>
        <bgColor rgb="FFE2EFDA"/>
      </patternFill>
    </fill>
    <fill>
      <patternFill patternType="solid">
        <fgColor rgb="FF17202A"/>
        <bgColor rgb="FF151C24"/>
      </patternFill>
    </fill>
    <fill>
      <patternFill patternType="solid">
        <fgColor rgb="FFF2F3F4"/>
        <bgColor rgb="FFF5F5F5"/>
      </patternFill>
    </fill>
    <fill>
      <patternFill patternType="solid">
        <fgColor rgb="FF075D3A"/>
        <bgColor rgb="FF115184"/>
      </patternFill>
    </fill>
    <fill>
      <patternFill patternType="solid">
        <fgColor rgb="FFEAFAF3"/>
        <bgColor rgb="FFEBF5FB"/>
      </patternFill>
    </fill>
    <fill>
      <patternFill patternType="solid">
        <fgColor rgb="FF343035"/>
        <bgColor rgb="FF333333"/>
      </patternFill>
    </fill>
    <fill>
      <patternFill patternType="solid">
        <fgColor rgb="FFF5EEF8"/>
        <bgColor rgb="FFF2F3F4"/>
      </patternFill>
    </fill>
    <fill>
      <patternFill patternType="solid">
        <fgColor rgb="FF7D3F00"/>
        <bgColor rgb="FF92400E"/>
      </patternFill>
    </fill>
    <fill>
      <patternFill patternType="solid">
        <fgColor rgb="FFFEF9E7"/>
        <bgColor rgb="FFFFF8E1"/>
      </patternFill>
    </fill>
    <fill>
      <patternFill patternType="solid">
        <fgColor rgb="FF7F6200"/>
        <bgColor rgb="FF7D3F00"/>
      </patternFill>
    </fill>
    <fill>
      <patternFill patternType="solid">
        <fgColor rgb="FFFEFBD8"/>
        <bgColor rgb="FFFFF8E1"/>
      </patternFill>
    </fill>
    <fill>
      <patternFill patternType="solid">
        <fgColor rgb="FF1B2631"/>
        <bgColor rgb="FF1A2A36"/>
      </patternFill>
    </fill>
    <fill>
      <patternFill patternType="solid">
        <fgColor rgb="FFEBF5FB"/>
        <bgColor rgb="FFE8F4FD"/>
      </patternFill>
    </fill>
    <fill>
      <patternFill patternType="solid">
        <fgColor rgb="FFFDF5F5"/>
        <bgColor rgb="FFF5F5F5"/>
      </patternFill>
    </fill>
    <fill>
      <patternFill patternType="solid">
        <fgColor rgb="FFE8F4FD"/>
        <bgColor rgb="FFEBF5FB"/>
      </patternFill>
    </fill>
    <fill>
      <patternFill patternType="darkGray">
        <fgColor rgb="FFFEE4D4"/>
        <bgColor rgb="FFFCE4D6"/>
      </patternFill>
    </fill>
    <fill>
      <patternFill patternType="solid">
        <fgColor rgb="FF3B6D11"/>
        <bgColor rgb="FF484A4B"/>
      </patternFill>
    </fill>
    <fill>
      <patternFill patternType="solid">
        <fgColor rgb="FFFEE4D4"/>
        <bgColor rgb="FFFCE4D6"/>
      </patternFill>
    </fill>
    <fill>
      <patternFill patternType="solid">
        <fgColor rgb="FF1A2A3C"/>
        <bgColor rgb="FF1A2B3C"/>
      </patternFill>
    </fill>
    <fill>
      <patternFill patternType="darkGray">
        <fgColor rgb="FF0D61A9"/>
        <bgColor rgb="FF195EA4"/>
      </patternFill>
    </fill>
    <fill>
      <patternFill patternType="darkGray">
        <fgColor rgb="FF27266E"/>
        <bgColor rgb="FF3D2551"/>
      </patternFill>
    </fill>
    <fill>
      <patternFill patternType="solid">
        <fgColor rgb="FFC05621"/>
        <bgColor rgb="FFC45F00"/>
      </patternFill>
    </fill>
    <fill>
      <patternFill patternType="solid">
        <fgColor rgb="FFE8EAF6"/>
        <bgColor rgb="FFEDE9FE"/>
      </patternFill>
    </fill>
    <fill>
      <patternFill patternType="solid">
        <fgColor rgb="FFEDE9FE"/>
        <bgColor rgb="FFE8EAF6"/>
      </patternFill>
    </fill>
    <fill>
      <patternFill patternType="darkGray">
        <fgColor rgb="FF115184"/>
        <bgColor rgb="FF1F5C9E"/>
      </patternFill>
    </fill>
    <fill>
      <patternFill patternType="darkGray">
        <fgColor rgb="FF9C2112"/>
        <bgColor rgb="FF920705"/>
      </patternFill>
    </fill>
    <fill>
      <patternFill patternType="solid">
        <fgColor rgb="FF27266E"/>
        <bgColor rgb="FF3D2551"/>
      </patternFill>
    </fill>
    <fill>
      <patternFill patternType="solid">
        <fgColor rgb="FF1A2B3C"/>
        <bgColor rgb="FF1A2A3C"/>
      </patternFill>
    </fill>
    <fill>
      <patternFill patternType="solid">
        <fgColor rgb="FF3D2551"/>
        <bgColor rgb="FF343035"/>
      </patternFill>
    </fill>
    <fill>
      <patternFill patternType="solid">
        <fgColor rgb="FF4A235A"/>
      </patternFill>
    </fill>
    <fill>
      <patternFill patternType="solid">
        <fgColor rgb="FF1A2B3C"/>
      </patternFill>
    </fill>
    <fill>
      <patternFill patternType="solid">
        <fgColor rgb="FFF5F6F8"/>
      </patternFill>
    </fill>
    <fill>
      <patternFill patternType="solid">
        <fgColor rgb="001A2B3C"/>
        <bgColor rgb="001A2B3C"/>
      </patternFill>
    </fill>
    <fill>
      <patternFill patternType="solid">
        <fgColor rgb="00185FA5"/>
        <bgColor rgb="00185FA5"/>
      </patternFill>
    </fill>
    <fill>
      <patternFill patternType="solid">
        <fgColor rgb="00A32D2D"/>
        <bgColor rgb="00A32D2D"/>
      </patternFill>
    </fill>
    <fill>
      <patternFill patternType="solid">
        <fgColor rgb="00D4E5F7"/>
        <bgColor rgb="00D4E5F7"/>
      </patternFill>
    </fill>
    <fill>
      <patternFill patternType="solid">
        <fgColor rgb="00E8F0F9"/>
        <bgColor rgb="00E8F0F9"/>
      </patternFill>
    </fill>
    <fill>
      <patternFill patternType="solid">
        <fgColor rgb="00F5F8FB"/>
        <bgColor rgb="00F5F8FB"/>
      </patternFill>
    </fill>
    <fill>
      <patternFill patternType="solid">
        <fgColor rgb="00FFF2CC"/>
        <bgColor rgb="00FFF2CC"/>
      </patternFill>
    </fill>
    <fill>
      <patternFill patternType="solid">
        <fgColor rgb="00D5E5C8"/>
        <bgColor rgb="00D5E5C8"/>
      </patternFill>
    </fill>
    <fill>
      <patternFill patternType="solid">
        <fgColor rgb="00F4CCCC"/>
        <bgColor rgb="00F4CCCC"/>
      </patternFill>
    </fill>
    <fill>
      <patternFill patternType="solid">
        <fgColor rgb="001A2B3C"/>
      </patternFill>
    </fill>
    <fill>
      <patternFill patternType="solid">
        <fgColor rgb="00185FA5"/>
      </patternFill>
    </fill>
    <fill>
      <patternFill patternType="solid">
        <fgColor rgb="00FFF4CC"/>
      </patternFill>
    </fill>
    <fill>
      <patternFill patternType="solid">
        <fgColor rgb="00A32D2D"/>
      </patternFill>
    </fill>
    <fill>
      <patternFill patternType="solid">
        <fgColor rgb="00FFE4E1"/>
      </patternFill>
    </fill>
    <fill>
      <patternFill patternType="solid">
        <fgColor rgb="002E7D32"/>
      </patternFill>
    </fill>
    <fill>
      <patternFill patternType="solid">
        <fgColor rgb="00E8F5E9"/>
      </patternFill>
    </fill>
    <fill>
      <patternFill patternType="solid">
        <fgColor rgb="00FFD700"/>
      </patternFill>
    </fill>
    <fill>
      <patternFill patternType="solid">
        <fgColor rgb="00C0C0C0"/>
      </patternFill>
    </fill>
    <fill>
      <patternFill patternType="solid">
        <fgColor rgb="00CD7F32"/>
      </patternFill>
    </fill>
    <fill>
      <patternFill patternType="solid">
        <fgColor rgb="00FFEFB0"/>
      </patternFill>
    </fill>
    <fill>
      <patternFill patternType="solid">
        <fgColor rgb="00B71C1C"/>
      </patternFill>
    </fill>
    <fill>
      <patternFill patternType="solid">
        <fgColor rgb="00E8175D"/>
      </patternFill>
    </fill>
    <fill>
      <patternFill patternType="solid">
        <fgColor rgb="00FFF3E0"/>
      </patternFill>
    </fill>
    <fill>
      <patternFill patternType="solid">
        <fgColor rgb="00E3F2FD"/>
      </patternFill>
    </fill>
    <fill>
      <patternFill patternType="solid">
        <fgColor rgb="00F1F8E9"/>
      </patternFill>
    </fill>
    <fill>
      <patternFill patternType="solid">
        <fgColor rgb="00EF6C00"/>
      </patternFill>
    </fill>
    <fill>
      <patternFill patternType="solid">
        <fgColor rgb="00757575"/>
      </patternFill>
    </fill>
    <fill>
      <patternFill patternType="solid">
        <fgColor rgb="005B6C7E"/>
      </patternFill>
    </fill>
    <fill>
      <patternFill patternType="solid">
        <fgColor rgb="005E35B1"/>
      </patternFill>
    </fill>
  </fills>
  <borders count="9">
    <border>
      <left/>
      <right/>
      <top/>
      <bottom/>
      <diagonal/>
    </border>
    <border>
      <left style="thin">
        <color rgb="FFD4D3E0"/>
      </left>
      <right style="thin">
        <color rgb="FFD4D3E0"/>
      </right>
      <top style="thin">
        <color rgb="FFD4D3E0"/>
      </top>
      <bottom style="thin">
        <color rgb="FFD4D3E0"/>
      </bottom>
      <diagonal/>
    </border>
    <border>
      <left style="thin">
        <color rgb="FFD4D3E0"/>
      </left>
      <right/>
      <top style="thin">
        <color rgb="FFD4D3E0"/>
      </top>
      <bottom style="thin">
        <color rgb="FFD4D3E0"/>
      </bottom>
      <diagonal/>
    </border>
    <border>
      <left/>
      <right/>
      <top style="thin">
        <color rgb="FFD4D3E0"/>
      </top>
      <bottom style="thin">
        <color rgb="FFD4D3E0"/>
      </bottom>
      <diagonal/>
    </border>
    <border>
      <left/>
      <right style="thin">
        <color rgb="FFD4D3E0"/>
      </right>
      <top style="thin">
        <color rgb="FFD4D3E0"/>
      </top>
      <bottom style="thin">
        <color rgb="FFD4D3E0"/>
      </bottom>
      <diagonal/>
    </border>
    <border>
      <left style="thin">
        <color rgb="FFD0D5DD"/>
      </left>
      <right style="thin">
        <color rgb="FFD0D5DD"/>
      </right>
      <top style="thin">
        <color rgb="FFD0D5DD"/>
      </top>
      <bottom style="thin">
        <color rgb="FFD0D5DD"/>
      </bottom>
      <diagonal/>
    </border>
    <border>
      <left/>
      <right/>
      <top style="thin">
        <color rgb="FFD4D3E0"/>
      </top>
      <bottom/>
      <diagonal/>
    </border>
    <border>
      <left/>
      <right style="thin">
        <color rgb="FFD4D3E0"/>
      </right>
      <top style="thin">
        <color rgb="FFD4D3E0"/>
      </top>
      <bottom/>
      <diagonal/>
    </border>
    <border>
      <bottom style="thin">
        <color rgb="00CCCCCC"/>
      </bottom>
    </border>
  </borders>
  <cellStyleXfs count="1">
    <xf numFmtId="0" fontId="0" fillId="0" borderId="0"/>
  </cellStyleXfs>
  <cellXfs count="644">
    <xf numFmtId="0" fontId="0" fillId="0" borderId="0" pivotButton="0" quotePrefix="0" xfId="0"/>
    <xf numFmtId="0" fontId="3" fillId="2" borderId="1" applyAlignment="1" pivotButton="0" quotePrefix="0" xfId="0">
      <alignment horizontal="center" vertical="center" wrapText="1"/>
    </xf>
    <xf numFmtId="0" fontId="3" fillId="2" borderId="0" applyAlignment="1" pivotButton="0" quotePrefix="0" xfId="0">
      <alignment horizontal="left" vertical="center" wrapText="1"/>
    </xf>
    <xf numFmtId="0" fontId="6" fillId="4" borderId="1" applyAlignment="1" pivotButton="0" quotePrefix="0" xfId="0">
      <alignment horizontal="left" vertical="center" wrapText="1"/>
    </xf>
    <xf numFmtId="0" fontId="0" fillId="4" borderId="1" pivotButton="0" quotePrefix="0" xfId="0"/>
    <xf numFmtId="3" fontId="7" fillId="4" borderId="1" applyAlignment="1" pivotButton="0" quotePrefix="0" xfId="0">
      <alignment horizontal="center" vertical="center" wrapText="1"/>
    </xf>
    <xf numFmtId="3" fontId="8" fillId="4" borderId="1" applyAlignment="1" pivotButton="0" quotePrefix="0" xfId="0">
      <alignment horizontal="center" vertical="center" wrapText="1"/>
    </xf>
    <xf numFmtId="9" fontId="9"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5" borderId="1" applyAlignment="1" pivotButton="0" quotePrefix="0" xfId="0">
      <alignment horizontal="left" vertical="center" wrapText="1"/>
    </xf>
    <xf numFmtId="0" fontId="0" fillId="5" borderId="1" pivotButton="0" quotePrefix="0" xfId="0"/>
    <xf numFmtId="3" fontId="7" fillId="5" borderId="1" applyAlignment="1" pivotButton="0" quotePrefix="0" xfId="0">
      <alignment horizontal="center" vertical="center" wrapText="1"/>
    </xf>
    <xf numFmtId="3" fontId="8" fillId="5" borderId="1" applyAlignment="1" pivotButton="0" quotePrefix="0" xfId="0">
      <alignment horizontal="center" vertical="center" wrapText="1"/>
    </xf>
    <xf numFmtId="9" fontId="9"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4" borderId="1" applyAlignment="1" pivotButton="0" quotePrefix="0" xfId="0">
      <alignment horizontal="left" vertical="center" wrapText="1"/>
    </xf>
    <xf numFmtId="0" fontId="6" fillId="5" borderId="1" applyAlignment="1" pivotButton="0" quotePrefix="0" xfId="0">
      <alignment horizontal="left" vertical="center" wrapText="1"/>
    </xf>
    <xf numFmtId="49" fontId="7"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13" fillId="9" borderId="1" applyAlignment="1" pivotButton="0" quotePrefix="0" xfId="0">
      <alignment horizontal="center" vertical="center" wrapText="1"/>
    </xf>
    <xf numFmtId="49" fontId="7" fillId="4" borderId="1" applyAlignment="1" pivotButton="0" quotePrefix="0" xfId="0">
      <alignment horizontal="center" vertical="center" wrapText="1"/>
    </xf>
    <xf numFmtId="9" fontId="8"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6" fillId="11" borderId="1" applyAlignment="1" pivotButton="0" quotePrefix="0" xfId="0">
      <alignment horizontal="left" vertical="center" wrapText="1"/>
    </xf>
    <xf numFmtId="0" fontId="0" fillId="11" borderId="1" pivotButton="0" quotePrefix="0" xfId="0"/>
    <xf numFmtId="0" fontId="15" fillId="2"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11" borderId="1" applyAlignment="1" pivotButton="0" quotePrefix="0" xfId="0">
      <alignment horizontal="center" vertical="center" wrapText="1"/>
    </xf>
    <xf numFmtId="0" fontId="18" fillId="11" borderId="1" applyAlignment="1" pivotButton="0" quotePrefix="0" xfId="0">
      <alignment horizontal="left" vertical="center" wrapText="1"/>
    </xf>
    <xf numFmtId="0" fontId="15" fillId="6" borderId="1" applyAlignment="1" pivotButton="0" quotePrefix="0" xfId="0">
      <alignment horizontal="center" vertical="center" wrapText="1"/>
    </xf>
    <xf numFmtId="0" fontId="16" fillId="4" borderId="1" applyAlignment="1" pivotButton="0" quotePrefix="0" xfId="0">
      <alignment horizontal="center" vertical="center" wrapText="1"/>
    </xf>
    <xf numFmtId="0" fontId="17" fillId="4" borderId="1" applyAlignment="1" pivotButton="0" quotePrefix="0" xfId="0">
      <alignment horizontal="center" vertical="center" wrapText="1"/>
    </xf>
    <xf numFmtId="0" fontId="18" fillId="4" borderId="1" applyAlignment="1" pivotButton="0" quotePrefix="0" xfId="0">
      <alignment horizontal="left" vertical="center" wrapText="1"/>
    </xf>
    <xf numFmtId="0" fontId="6" fillId="12" borderId="1" applyAlignment="1" pivotButton="0" quotePrefix="0" xfId="0">
      <alignment horizontal="left" vertical="center" wrapText="1"/>
    </xf>
    <xf numFmtId="0" fontId="0" fillId="12" borderId="1" pivotButton="0" quotePrefix="0" xfId="0"/>
    <xf numFmtId="0" fontId="15" fillId="7" borderId="1" applyAlignment="1" pivotButton="0" quotePrefix="0" xfId="0">
      <alignment horizontal="center" vertical="center" wrapText="1"/>
    </xf>
    <xf numFmtId="0" fontId="16" fillId="12" borderId="1" applyAlignment="1" pivotButton="0" quotePrefix="0" xfId="0">
      <alignment horizontal="center" vertical="center" wrapText="1"/>
    </xf>
    <xf numFmtId="0" fontId="17" fillId="12" borderId="1" applyAlignment="1" pivotButton="0" quotePrefix="0" xfId="0">
      <alignment horizontal="center" vertical="center" wrapText="1"/>
    </xf>
    <xf numFmtId="0" fontId="18" fillId="12" borderId="1" applyAlignment="1" pivotButton="0" quotePrefix="0" xfId="0">
      <alignment horizontal="left" vertical="center" wrapText="1"/>
    </xf>
    <xf numFmtId="0" fontId="3" fillId="6" borderId="1" applyAlignment="1" pivotButton="0" quotePrefix="0" xfId="0">
      <alignment horizontal="center" vertical="center" wrapText="1"/>
    </xf>
    <xf numFmtId="0" fontId="19" fillId="11" borderId="1" applyAlignment="1" pivotButton="0" quotePrefix="0" xfId="0">
      <alignment horizontal="left" vertical="center" wrapText="1"/>
    </xf>
    <xf numFmtId="3" fontId="20" fillId="5" borderId="1" applyAlignment="1" pivotButton="0" quotePrefix="0" xfId="0">
      <alignment horizontal="center" vertical="center" wrapText="1"/>
    </xf>
    <xf numFmtId="3" fontId="21" fillId="5" borderId="1" applyAlignment="1" pivotButton="0" quotePrefix="0" xfId="0">
      <alignment horizontal="center" vertical="center" wrapText="1"/>
    </xf>
    <xf numFmtId="9" fontId="22" fillId="5" borderId="1" applyAlignment="1" pivotButton="0" quotePrefix="0" xfId="0">
      <alignment horizontal="center" vertical="center" wrapText="1"/>
    </xf>
    <xf numFmtId="0" fontId="23" fillId="5" borderId="1" applyAlignment="1" pivotButton="0" quotePrefix="0" xfId="0">
      <alignment horizontal="center" vertical="center" wrapText="1"/>
    </xf>
    <xf numFmtId="0" fontId="24" fillId="11" borderId="1" applyAlignment="1" pivotButton="0" quotePrefix="0" xfId="0">
      <alignment horizontal="left" vertical="center" wrapText="1"/>
    </xf>
    <xf numFmtId="3" fontId="20" fillId="4" borderId="1" applyAlignment="1" pivotButton="0" quotePrefix="0" xfId="0">
      <alignment horizontal="center" vertical="center" wrapText="1"/>
    </xf>
    <xf numFmtId="3" fontId="25" fillId="4" borderId="1" applyAlignment="1" pivotButton="0" quotePrefix="0" xfId="0">
      <alignment horizontal="center" vertical="center" wrapText="1"/>
    </xf>
    <xf numFmtId="9" fontId="22" fillId="4" borderId="1" applyAlignment="1" pivotButton="0" quotePrefix="0" xfId="0">
      <alignment horizontal="center" vertical="center" wrapText="1"/>
    </xf>
    <xf numFmtId="0" fontId="23" fillId="4" borderId="1" applyAlignment="1" pivotButton="0" quotePrefix="0" xfId="0">
      <alignment horizontal="center" vertical="center" wrapText="1"/>
    </xf>
    <xf numFmtId="0" fontId="13" fillId="11" borderId="1" applyAlignment="1" pivotButton="0" quotePrefix="0" xfId="0">
      <alignment horizontal="left" vertical="center" wrapText="1"/>
    </xf>
    <xf numFmtId="3" fontId="26" fillId="5" borderId="1" applyAlignment="1" pivotButton="0" quotePrefix="0" xfId="0">
      <alignment horizontal="center" vertical="center" wrapText="1"/>
    </xf>
    <xf numFmtId="0" fontId="16" fillId="11" borderId="1" applyAlignment="1" pivotButton="0" quotePrefix="0" xfId="0">
      <alignment horizontal="left" vertical="center" wrapText="1"/>
    </xf>
    <xf numFmtId="0" fontId="27" fillId="5" borderId="1" applyAlignment="1" pivotButton="0" quotePrefix="0" xfId="0">
      <alignment horizontal="left" vertical="center" wrapText="1"/>
    </xf>
    <xf numFmtId="3" fontId="6" fillId="5" borderId="1" applyAlignment="1" pivotButton="0" quotePrefix="0" xfId="0">
      <alignment horizontal="center" vertical="center" wrapText="1"/>
    </xf>
    <xf numFmtId="0" fontId="27" fillId="4" borderId="1" applyAlignment="1" pivotButton="0" quotePrefix="0" xfId="0">
      <alignment horizontal="left" vertical="center" wrapText="1"/>
    </xf>
    <xf numFmtId="3" fontId="6" fillId="4" borderId="1" applyAlignment="1" pivotButton="0" quotePrefix="0" xfId="0">
      <alignment horizontal="center" vertical="center" wrapText="1"/>
    </xf>
    <xf numFmtId="0" fontId="19" fillId="11" borderId="1" applyAlignment="1" pivotButton="0" quotePrefix="0" xfId="0">
      <alignment horizontal="left" vertical="top" wrapText="1"/>
    </xf>
    <xf numFmtId="0" fontId="19" fillId="4" borderId="1" applyAlignment="1" pivotButton="0" quotePrefix="0" xfId="0">
      <alignment horizontal="left" vertical="top" wrapText="1"/>
    </xf>
    <xf numFmtId="0" fontId="15" fillId="13" borderId="1" applyAlignment="1" pivotButton="0" quotePrefix="0" xfId="0">
      <alignment horizontal="center" vertical="center" wrapText="1"/>
    </xf>
    <xf numFmtId="0" fontId="28" fillId="14" borderId="1" applyAlignment="1" pivotButton="0" quotePrefix="0" xfId="0">
      <alignment horizontal="center" vertical="center" wrapText="1"/>
    </xf>
    <xf numFmtId="0" fontId="29" fillId="9" borderId="1" applyAlignment="1" pivotButton="0" quotePrefix="0" xfId="0">
      <alignment horizontal="center" vertical="center" wrapText="1"/>
    </xf>
    <xf numFmtId="0" fontId="30" fillId="15" borderId="1" applyAlignment="1" pivotButton="0" quotePrefix="0" xfId="0">
      <alignment horizontal="left" vertical="top" wrapText="1"/>
    </xf>
    <xf numFmtId="0" fontId="15" fillId="10" borderId="1" applyAlignment="1" pivotButton="0" quotePrefix="0" xfId="0">
      <alignment horizontal="center" vertical="center" wrapText="1"/>
    </xf>
    <xf numFmtId="0" fontId="15" fillId="8" borderId="1" applyAlignment="1" pivotButton="0" quotePrefix="0" xfId="0">
      <alignment horizontal="center" vertical="center" wrapText="1"/>
    </xf>
    <xf numFmtId="0" fontId="31" fillId="9" borderId="2" applyAlignment="1" pivotButton="0" quotePrefix="0" xfId="0">
      <alignment horizontal="left" vertical="center" wrapText="1"/>
    </xf>
    <xf numFmtId="0" fontId="0" fillId="0" borderId="3" pivotButton="0" quotePrefix="0" xfId="0"/>
    <xf numFmtId="0" fontId="32" fillId="4" borderId="2" applyAlignment="1" pivotButton="0" quotePrefix="0" xfId="0">
      <alignment horizontal="left" vertical="center" wrapText="1"/>
    </xf>
    <xf numFmtId="0" fontId="32" fillId="5" borderId="2" applyAlignment="1" pivotButton="0" quotePrefix="0" xfId="0">
      <alignment horizontal="left" vertical="center" wrapText="1"/>
    </xf>
    <xf numFmtId="0" fontId="23" fillId="3" borderId="0" applyAlignment="1" pivotButton="0" quotePrefix="0" xfId="0">
      <alignment horizontal="left" vertical="center" wrapText="1"/>
    </xf>
    <xf numFmtId="0" fontId="36" fillId="8" borderId="1" applyAlignment="1" pivotButton="0" quotePrefix="0" xfId="0">
      <alignment horizontal="center" vertical="center" wrapText="1"/>
    </xf>
    <xf numFmtId="0" fontId="36" fillId="2" borderId="0" applyAlignment="1" pivotButton="0" quotePrefix="0" xfId="0">
      <alignment horizontal="center" vertical="center" wrapText="1"/>
    </xf>
    <xf numFmtId="0" fontId="34" fillId="2" borderId="1" applyAlignment="1" pivotButton="0" quotePrefix="0" xfId="0">
      <alignment horizontal="left" vertical="top" wrapText="1"/>
    </xf>
    <xf numFmtId="0" fontId="37" fillId="2" borderId="1" applyAlignment="1" pivotButton="0" quotePrefix="0" xfId="0">
      <alignment horizontal="center" vertical="center" wrapText="1"/>
    </xf>
    <xf numFmtId="0" fontId="16" fillId="14" borderId="1" applyAlignment="1" pivotButton="0" quotePrefix="0" xfId="0">
      <alignment horizontal="left" vertical="top" wrapText="1"/>
    </xf>
    <xf numFmtId="0" fontId="38" fillId="17" borderId="1" applyAlignment="1" pivotButton="0" quotePrefix="0" xfId="0">
      <alignment horizontal="left" vertical="top" wrapText="1"/>
    </xf>
    <xf numFmtId="0" fontId="39" fillId="14" borderId="1" applyAlignment="1" pivotButton="0" quotePrefix="0" xfId="0">
      <alignment horizontal="left" vertical="top" wrapText="1"/>
    </xf>
    <xf numFmtId="0" fontId="3" fillId="10" borderId="1" applyAlignment="1" pivotButton="0" quotePrefix="0" xfId="0">
      <alignment horizontal="center" vertical="center" wrapText="1"/>
    </xf>
    <xf numFmtId="0" fontId="40" fillId="12" borderId="1" applyAlignment="1" pivotButton="0" quotePrefix="0" xfId="0">
      <alignment horizontal="center" vertical="center" wrapText="1"/>
    </xf>
    <xf numFmtId="0" fontId="41" fillId="11" borderId="1" applyAlignment="1" pivotButton="0" quotePrefix="0" xfId="0">
      <alignment horizontal="left" vertical="top" wrapText="1"/>
    </xf>
    <xf numFmtId="0" fontId="19" fillId="11" borderId="1" applyAlignment="1" pivotButton="0" quotePrefix="0" xfId="0">
      <alignment horizontal="center" vertical="center" wrapText="1"/>
    </xf>
    <xf numFmtId="0" fontId="42" fillId="11" borderId="1" applyAlignment="1" pivotButton="0" quotePrefix="0" xfId="0">
      <alignment horizontal="left" vertical="top" wrapText="1"/>
    </xf>
    <xf numFmtId="0" fontId="43" fillId="16" borderId="0" applyAlignment="1" pivotButton="0" quotePrefix="0" xfId="0">
      <alignment horizontal="left" vertical="top" wrapText="1"/>
    </xf>
    <xf numFmtId="0" fontId="44" fillId="18" borderId="1" applyAlignment="1" pivotButton="0" quotePrefix="0" xfId="0">
      <alignment horizontal="left" vertical="top" wrapText="1"/>
    </xf>
    <xf numFmtId="0" fontId="41" fillId="4" borderId="1" applyAlignment="1" pivotButton="0" quotePrefix="0" xfId="0">
      <alignment horizontal="left" vertical="top" wrapText="1"/>
    </xf>
    <xf numFmtId="0" fontId="19" fillId="4" borderId="1" applyAlignment="1" pivotButton="0" quotePrefix="0" xfId="0">
      <alignment horizontal="center" vertical="center" wrapText="1"/>
    </xf>
    <xf numFmtId="0" fontId="42" fillId="4" borderId="1" applyAlignment="1" pivotButton="0" quotePrefix="0" xfId="0">
      <alignment horizontal="left" vertical="top" wrapText="1"/>
    </xf>
    <xf numFmtId="0" fontId="45" fillId="19" borderId="0" applyAlignment="1" pivotButton="0" quotePrefix="0" xfId="0">
      <alignment horizontal="left" vertical="top" wrapText="1"/>
    </xf>
    <xf numFmtId="0" fontId="34" fillId="10" borderId="1" applyAlignment="1" pivotButton="0" quotePrefix="0" xfId="0">
      <alignment horizontal="left" vertical="top" wrapText="1"/>
    </xf>
    <xf numFmtId="0" fontId="37"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34" fillId="6" borderId="1" applyAlignment="1" pivotButton="0" quotePrefix="0" xfId="0">
      <alignment horizontal="left" vertical="top" wrapText="1"/>
    </xf>
    <xf numFmtId="0" fontId="37" fillId="6"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20" borderId="1" applyAlignment="1" pivotButton="0" quotePrefix="0" xfId="0">
      <alignment horizontal="center" vertical="center" wrapText="1"/>
    </xf>
    <xf numFmtId="0" fontId="34" fillId="7" borderId="1" applyAlignment="1" pivotButton="0" quotePrefix="0" xfId="0">
      <alignment horizontal="left" vertical="top" wrapText="1"/>
    </xf>
    <xf numFmtId="0" fontId="37" fillId="7" borderId="1" applyAlignment="1" pivotButton="0" quotePrefix="0" xfId="0">
      <alignment horizontal="center" vertical="center" wrapText="1"/>
    </xf>
    <xf numFmtId="0" fontId="36" fillId="8" borderId="0" applyAlignment="1" pivotButton="0" quotePrefix="0" xfId="0">
      <alignment horizontal="center" vertical="center" wrapText="1"/>
    </xf>
    <xf numFmtId="0" fontId="33" fillId="21" borderId="0" applyAlignment="1" pivotButton="0" quotePrefix="0" xfId="0">
      <alignment horizontal="center" vertical="center" wrapText="1"/>
    </xf>
    <xf numFmtId="0" fontId="48" fillId="21" borderId="0" applyAlignment="1" pivotButton="0" quotePrefix="0" xfId="0">
      <alignment horizontal="center" vertical="center" wrapText="1"/>
    </xf>
    <xf numFmtId="0" fontId="49" fillId="2" borderId="0" applyAlignment="1" pivotButton="0" quotePrefix="0" xfId="0">
      <alignment horizontal="center" vertical="center" wrapText="1"/>
    </xf>
    <xf numFmtId="0" fontId="50" fillId="2" borderId="1" applyAlignment="1" pivotButton="0" quotePrefix="0" xfId="0">
      <alignment horizontal="center" vertical="center" wrapText="1"/>
    </xf>
    <xf numFmtId="0" fontId="6" fillId="11" borderId="1" applyAlignment="1" pivotButton="0" quotePrefix="0" xfId="0">
      <alignment horizontal="left" vertical="top" wrapText="1"/>
    </xf>
    <xf numFmtId="0" fontId="51" fillId="11" borderId="1" applyAlignment="1" pivotButton="0" quotePrefix="0" xfId="0">
      <alignment horizontal="left" vertical="top" wrapText="1"/>
    </xf>
    <xf numFmtId="3" fontId="6" fillId="11" borderId="1" applyAlignment="1" pivotButton="0" quotePrefix="0" xfId="0">
      <alignment horizontal="center" vertical="center" wrapText="1"/>
    </xf>
    <xf numFmtId="0" fontId="9" fillId="11" borderId="1" applyAlignment="1" pivotButton="0" quotePrefix="0" xfId="0">
      <alignment horizontal="center" vertical="center" wrapText="1"/>
    </xf>
    <xf numFmtId="0" fontId="52" fillId="11" borderId="1" applyAlignment="1" pivotButton="0" quotePrefix="0" xfId="0">
      <alignment horizontal="left" vertical="top" wrapText="1"/>
    </xf>
    <xf numFmtId="0" fontId="18" fillId="11" borderId="1" applyAlignment="1" pivotButton="0" quotePrefix="0" xfId="0">
      <alignment horizontal="left" vertical="top" wrapText="1"/>
    </xf>
    <xf numFmtId="0" fontId="53" fillId="17" borderId="0" applyAlignment="1" pivotButton="0" quotePrefix="0" xfId="0">
      <alignment vertical="center" wrapText="1"/>
    </xf>
    <xf numFmtId="0" fontId="53" fillId="22" borderId="0" applyAlignment="1" pivotButton="0" quotePrefix="0" xfId="0">
      <alignment horizontal="center" vertical="center" wrapText="1"/>
    </xf>
    <xf numFmtId="0" fontId="53" fillId="18" borderId="0" applyAlignment="1" pivotButton="0" quotePrefix="0" xfId="0">
      <alignment vertical="center" wrapText="1"/>
    </xf>
    <xf numFmtId="0" fontId="54" fillId="18" borderId="0" applyAlignment="1" pivotButton="0" quotePrefix="0" xfId="0">
      <alignment vertical="top" wrapText="1"/>
    </xf>
    <xf numFmtId="0" fontId="54" fillId="16" borderId="0" applyAlignment="1" pivotButton="0" quotePrefix="0" xfId="0">
      <alignment vertical="top" wrapText="1"/>
    </xf>
    <xf numFmtId="0" fontId="55" fillId="23" borderId="0" applyAlignment="1" pivotButton="0" quotePrefix="0" xfId="0">
      <alignment horizontal="center" vertical="center" wrapText="1"/>
    </xf>
    <xf numFmtId="0" fontId="56" fillId="16" borderId="0" applyAlignment="1" pivotButton="0" quotePrefix="0" xfId="0">
      <alignment vertical="top" wrapText="1"/>
    </xf>
    <xf numFmtId="0" fontId="57" fillId="18" borderId="0" applyAlignment="1" pivotButton="0" quotePrefix="0" xfId="0">
      <alignment vertical="top" wrapText="1"/>
    </xf>
    <xf numFmtId="0" fontId="58" fillId="16" borderId="0" applyAlignment="1" pivotButton="0" quotePrefix="0" xfId="0">
      <alignment vertical="top" wrapText="1"/>
    </xf>
    <xf numFmtId="0" fontId="53" fillId="22" borderId="0" applyAlignment="1" pivotButton="0" quotePrefix="0" xfId="0">
      <alignment vertical="center" wrapText="1"/>
    </xf>
    <xf numFmtId="0" fontId="54" fillId="22" borderId="0" applyAlignment="1" pivotButton="0" quotePrefix="0" xfId="0">
      <alignment vertical="top" wrapText="1"/>
    </xf>
    <xf numFmtId="0" fontId="59" fillId="19" borderId="0" applyAlignment="1" pivotButton="0" quotePrefix="0" xfId="0">
      <alignment vertical="top" wrapText="1"/>
    </xf>
    <xf numFmtId="0" fontId="53" fillId="18" borderId="0" applyAlignment="1" pivotButton="0" quotePrefix="0" xfId="0">
      <alignment horizontal="center" vertical="center" wrapText="1"/>
    </xf>
    <xf numFmtId="0" fontId="60" fillId="24" borderId="0" applyAlignment="1" pivotButton="0" quotePrefix="0" xfId="0">
      <alignment horizontal="center" vertical="center" wrapText="1"/>
    </xf>
    <xf numFmtId="0" fontId="50" fillId="6" borderId="1" applyAlignment="1" pivotButton="0" quotePrefix="0" xfId="0">
      <alignment horizontal="center" vertical="center" wrapText="1"/>
    </xf>
    <xf numFmtId="0" fontId="6" fillId="4" borderId="1" applyAlignment="1" pivotButton="0" quotePrefix="0" xfId="0">
      <alignment horizontal="left" vertical="top" wrapText="1"/>
    </xf>
    <xf numFmtId="0" fontId="51" fillId="4" borderId="1" applyAlignment="1" pivotButton="0" quotePrefix="0" xfId="0">
      <alignment horizontal="left" vertical="top" wrapText="1"/>
    </xf>
    <xf numFmtId="0" fontId="9" fillId="4" borderId="1" applyAlignment="1" pivotButton="0" quotePrefix="0" xfId="0">
      <alignment horizontal="center" vertical="center" wrapText="1"/>
    </xf>
    <xf numFmtId="0" fontId="52" fillId="4" borderId="1" applyAlignment="1" pivotButton="0" quotePrefix="0" xfId="0">
      <alignment horizontal="left" vertical="top" wrapText="1"/>
    </xf>
    <xf numFmtId="0" fontId="18" fillId="4" borderId="1" applyAlignment="1" pivotButton="0" quotePrefix="0" xfId="0">
      <alignment horizontal="left" vertical="top" wrapText="1"/>
    </xf>
    <xf numFmtId="0" fontId="61" fillId="12" borderId="0" applyAlignment="1" pivotButton="0" quotePrefix="0" xfId="0">
      <alignment vertical="top" wrapText="1"/>
    </xf>
    <xf numFmtId="0" fontId="53" fillId="11" borderId="0" applyAlignment="1" pivotButton="0" quotePrefix="0" xfId="0">
      <alignment vertical="center" wrapText="1"/>
    </xf>
    <xf numFmtId="0" fontId="54" fillId="17" borderId="0" applyAlignment="1" pivotButton="0" quotePrefix="0" xfId="0">
      <alignment vertical="top" wrapText="1"/>
    </xf>
    <xf numFmtId="0" fontId="62" fillId="12" borderId="0" applyAlignment="1" pivotButton="0" quotePrefix="0" xfId="0">
      <alignment vertical="top" wrapText="1"/>
    </xf>
    <xf numFmtId="0" fontId="63" fillId="16" borderId="0" applyAlignment="1" pivotButton="0" quotePrefix="0" xfId="0">
      <alignment vertical="top" wrapText="1"/>
    </xf>
    <xf numFmtId="0" fontId="50" fillId="7" borderId="1" applyAlignment="1" pivotButton="0" quotePrefix="0" xfId="0">
      <alignment horizontal="center" vertical="center" wrapText="1"/>
    </xf>
    <xf numFmtId="0" fontId="6" fillId="12" borderId="1" applyAlignment="1" pivotButton="0" quotePrefix="0" xfId="0">
      <alignment horizontal="left" vertical="top" wrapText="1"/>
    </xf>
    <xf numFmtId="0" fontId="51" fillId="12" borderId="1" applyAlignment="1" pivotButton="0" quotePrefix="0" xfId="0">
      <alignment horizontal="left" vertical="top" wrapText="1"/>
    </xf>
    <xf numFmtId="0" fontId="3" fillId="7" borderId="1" applyAlignment="1" pivotButton="0" quotePrefix="0" xfId="0">
      <alignment horizontal="center" vertical="center" wrapText="1"/>
    </xf>
    <xf numFmtId="3" fontId="6" fillId="12" borderId="1" applyAlignment="1" pivotButton="0" quotePrefix="0" xfId="0">
      <alignment horizontal="center" vertical="center" wrapText="1"/>
    </xf>
    <xf numFmtId="0" fontId="9" fillId="12" borderId="1" applyAlignment="1" pivotButton="0" quotePrefix="0" xfId="0">
      <alignment horizontal="center" vertical="center" wrapText="1"/>
    </xf>
    <xf numFmtId="0" fontId="64" fillId="18" borderId="1" applyAlignment="1" pivotButton="0" quotePrefix="0" xfId="0">
      <alignment vertical="top" wrapText="1"/>
    </xf>
    <xf numFmtId="0" fontId="65" fillId="12" borderId="1" applyAlignment="1" pivotButton="0" quotePrefix="0" xfId="0">
      <alignment vertical="top" wrapText="1"/>
    </xf>
    <xf numFmtId="0" fontId="52" fillId="12" borderId="1" applyAlignment="1" pivotButton="0" quotePrefix="0" xfId="0">
      <alignment horizontal="left" vertical="top" wrapText="1"/>
    </xf>
    <xf numFmtId="0" fontId="66" fillId="17" borderId="1" applyAlignment="1" pivotButton="0" quotePrefix="0" xfId="0">
      <alignment vertical="top" wrapText="1"/>
    </xf>
    <xf numFmtId="0" fontId="18" fillId="12" borderId="1" applyAlignment="1" pivotButton="0" quotePrefix="0" xfId="0">
      <alignment horizontal="left" vertical="top" wrapText="1"/>
    </xf>
    <xf numFmtId="0" fontId="54" fillId="19" borderId="0" applyAlignment="1" pivotButton="0" quotePrefix="0" xfId="0">
      <alignment vertical="top" wrapText="1"/>
    </xf>
    <xf numFmtId="0" fontId="55" fillId="25" borderId="0" applyAlignment="1" pivotButton="0" quotePrefix="0" xfId="0">
      <alignment horizontal="center" vertical="center" wrapText="1"/>
    </xf>
    <xf numFmtId="0" fontId="67" fillId="19" borderId="0" applyAlignment="1" pivotButton="0" quotePrefix="0" xfId="0">
      <alignment vertical="top" wrapText="1"/>
    </xf>
    <xf numFmtId="0" fontId="34" fillId="2" borderId="1" applyAlignment="1" pivotButton="0" quotePrefix="0" xfId="0">
      <alignment horizontal="center" vertical="center" wrapText="1"/>
    </xf>
    <xf numFmtId="0" fontId="53" fillId="5" borderId="0" pivotButton="0" quotePrefix="0" xfId="0"/>
    <xf numFmtId="0" fontId="68" fillId="0" borderId="0" pivotButton="0" quotePrefix="0" xfId="0"/>
    <xf numFmtId="0" fontId="69" fillId="5" borderId="0" pivotButton="0" quotePrefix="0" xfId="0"/>
    <xf numFmtId="0" fontId="68" fillId="5" borderId="0" pivotButton="0" quotePrefix="0" xfId="0"/>
    <xf numFmtId="0" fontId="36" fillId="2" borderId="1" applyAlignment="1" pivotButton="0" quotePrefix="0" xfId="0">
      <alignment horizontal="center" vertical="center" wrapText="1"/>
    </xf>
    <xf numFmtId="0" fontId="36" fillId="26" borderId="1" applyAlignment="1" pivotButton="0" quotePrefix="0" xfId="0">
      <alignment horizontal="center" vertical="center" wrapText="1"/>
    </xf>
    <xf numFmtId="0" fontId="33" fillId="21" borderId="1" applyAlignment="1" pivotButton="0" quotePrefix="0" xfId="0">
      <alignment horizontal="center" vertical="center" wrapText="1"/>
    </xf>
    <xf numFmtId="0" fontId="49" fillId="8" borderId="1" applyAlignment="1" pivotButton="0" quotePrefix="0" xfId="0">
      <alignment horizontal="center" vertical="center" wrapText="1"/>
    </xf>
    <xf numFmtId="0" fontId="49" fillId="8" borderId="0" applyAlignment="1" pivotButton="0" quotePrefix="0" xfId="0">
      <alignment horizontal="center" vertical="center" wrapText="1"/>
    </xf>
    <xf numFmtId="0" fontId="69" fillId="5" borderId="0" applyAlignment="1" pivotButton="0" quotePrefix="0" xfId="0">
      <alignment horizontal="center" vertical="center" wrapText="1"/>
    </xf>
    <xf numFmtId="0" fontId="36" fillId="5" borderId="0" applyAlignment="1" pivotButton="0" quotePrefix="0" xfId="0">
      <alignment horizontal="center" vertical="center" wrapText="1"/>
    </xf>
    <xf numFmtId="0" fontId="34" fillId="27" borderId="1" applyAlignment="1" pivotButton="0" quotePrefix="0" xfId="0">
      <alignment horizontal="center" vertical="center" wrapText="1"/>
    </xf>
    <xf numFmtId="0" fontId="70" fillId="17" borderId="1" applyAlignment="1" pivotButton="0" quotePrefix="0" xfId="0">
      <alignment horizontal="left" vertical="top" wrapText="1"/>
    </xf>
    <xf numFmtId="0" fontId="15" fillId="27" borderId="1" applyAlignment="1" pivotButton="0" quotePrefix="0" xfId="0">
      <alignment horizontal="center" vertical="center" wrapText="1"/>
    </xf>
    <xf numFmtId="0" fontId="51" fillId="17" borderId="1" applyAlignment="1" pivotButton="0" quotePrefix="0" xfId="0">
      <alignment horizontal="left" vertical="top" wrapText="1"/>
    </xf>
    <xf numFmtId="0" fontId="10" fillId="17" borderId="1" applyAlignment="1" pivotButton="0" quotePrefix="0" xfId="0">
      <alignment horizontal="center" vertical="center" wrapText="1"/>
    </xf>
    <xf numFmtId="0" fontId="29" fillId="17" borderId="1" applyAlignment="1" pivotButton="0" quotePrefix="0" xfId="0">
      <alignment horizontal="center" vertical="center" wrapText="1"/>
    </xf>
    <xf numFmtId="0" fontId="16" fillId="17" borderId="1" applyAlignment="1" pivotButton="0" quotePrefix="0" xfId="0">
      <alignment horizontal="center" vertical="center" wrapText="1"/>
    </xf>
    <xf numFmtId="0" fontId="53" fillId="19" borderId="0" applyAlignment="1" pivotButton="0" quotePrefix="0" xfId="0">
      <alignment vertical="center" wrapText="1"/>
    </xf>
    <xf numFmtId="0" fontId="53" fillId="19" borderId="0" applyAlignment="1" pivotButton="0" quotePrefix="0" xfId="0">
      <alignment horizontal="center" vertical="center" wrapText="1"/>
    </xf>
    <xf numFmtId="0" fontId="49" fillId="2" borderId="1" applyAlignment="1" pivotButton="0" quotePrefix="0" xfId="0">
      <alignment vertical="top" wrapText="1"/>
    </xf>
    <xf numFmtId="0" fontId="71" fillId="5" borderId="1" applyAlignment="1" pivotButton="0" quotePrefix="0" xfId="0">
      <alignment vertical="top" wrapText="1"/>
    </xf>
    <xf numFmtId="0" fontId="72" fillId="19" borderId="1" applyAlignment="1" pivotButton="0" quotePrefix="0" xfId="0">
      <alignment vertical="top" wrapText="1"/>
    </xf>
    <xf numFmtId="0" fontId="73" fillId="9" borderId="1" applyAlignment="1" pivotButton="0" quotePrefix="0" xfId="0">
      <alignment horizontal="center" vertical="center" wrapText="1"/>
    </xf>
    <xf numFmtId="0" fontId="53" fillId="17" borderId="1" applyAlignment="1" pivotButton="0" quotePrefix="0" xfId="0">
      <alignment horizontal="left" vertical="top" wrapText="1"/>
    </xf>
    <xf numFmtId="0" fontId="53" fillId="17" borderId="0" applyAlignment="1" pivotButton="0" quotePrefix="0" xfId="0">
      <alignment horizontal="left" vertical="top" wrapText="1"/>
    </xf>
    <xf numFmtId="0" fontId="62" fillId="17" borderId="0" applyAlignment="1" pivotButton="0" quotePrefix="0" xfId="0">
      <alignment horizontal="left" vertical="top" wrapText="1"/>
    </xf>
    <xf numFmtId="0" fontId="69" fillId="5" borderId="0" applyAlignment="1" pivotButton="0" quotePrefix="0" xfId="0">
      <alignment vertical="top" wrapText="1"/>
    </xf>
    <xf numFmtId="0" fontId="55" fillId="25" borderId="0" applyAlignment="1" pivotButton="0" quotePrefix="0" xfId="0">
      <alignment horizontal="center" vertical="center"/>
    </xf>
    <xf numFmtId="0" fontId="74" fillId="16" borderId="0" applyAlignment="1" pivotButton="0" quotePrefix="0" xfId="0">
      <alignment horizontal="center" vertical="center"/>
    </xf>
    <xf numFmtId="0" fontId="75" fillId="25" borderId="0" applyAlignment="1" pivotButton="0" quotePrefix="0" xfId="0">
      <alignment horizontal="center" vertical="center" wrapText="1"/>
    </xf>
    <xf numFmtId="0" fontId="76" fillId="17" borderId="1" applyAlignment="1" pivotButton="0" quotePrefix="0" xfId="0">
      <alignment horizontal="center" vertical="center" wrapText="1"/>
    </xf>
    <xf numFmtId="0" fontId="77" fillId="19" borderId="1" applyAlignment="1" pivotButton="0" quotePrefix="0" xfId="0">
      <alignment vertical="top" wrapText="1"/>
    </xf>
    <xf numFmtId="0" fontId="78" fillId="17" borderId="1" applyAlignment="1" pivotButton="0" quotePrefix="0" xfId="0">
      <alignment horizontal="center" vertical="center" wrapText="1"/>
    </xf>
    <xf numFmtId="0" fontId="79" fillId="16" borderId="1" applyAlignment="1" pivotButton="0" quotePrefix="0" xfId="0">
      <alignment vertical="top" wrapText="1"/>
    </xf>
    <xf numFmtId="0" fontId="60" fillId="24" borderId="0" applyAlignment="1" pivotButton="0" quotePrefix="0" xfId="0">
      <alignment horizontal="center" vertical="center"/>
    </xf>
    <xf numFmtId="0" fontId="48" fillId="24" borderId="0" applyAlignment="1" pivotButton="0" quotePrefix="0" xfId="0">
      <alignment horizontal="center" vertical="center" wrapText="1"/>
    </xf>
    <xf numFmtId="0" fontId="19" fillId="28" borderId="1" applyAlignment="1" pivotButton="0" quotePrefix="0" xfId="0">
      <alignment horizontal="left" vertical="top" wrapText="1"/>
    </xf>
    <xf numFmtId="0" fontId="51" fillId="28" borderId="1" applyAlignment="1" pivotButton="0" quotePrefix="0" xfId="0">
      <alignment horizontal="left" vertical="top" wrapText="1"/>
    </xf>
    <xf numFmtId="0" fontId="10" fillId="28" borderId="1" applyAlignment="1" pivotButton="0" quotePrefix="0" xfId="0">
      <alignment horizontal="center" vertical="center" wrapText="1"/>
    </xf>
    <xf numFmtId="0" fontId="78" fillId="28" borderId="1" applyAlignment="1" pivotButton="0" quotePrefix="0" xfId="0">
      <alignment horizontal="center" vertical="center" wrapText="1"/>
    </xf>
    <xf numFmtId="0" fontId="53" fillId="28" borderId="1" applyAlignment="1" pivotButton="0" quotePrefix="0" xfId="0">
      <alignment horizontal="left" vertical="top" wrapText="1"/>
    </xf>
    <xf numFmtId="0" fontId="53" fillId="28" borderId="0" applyAlignment="1" pivotButton="0" quotePrefix="0" xfId="0">
      <alignment horizontal="left" vertical="top" wrapText="1"/>
    </xf>
    <xf numFmtId="0" fontId="62" fillId="28" borderId="0" applyAlignment="1" pivotButton="0" quotePrefix="0" xfId="0">
      <alignment horizontal="left" vertical="top" wrapText="1"/>
    </xf>
    <xf numFmtId="0" fontId="43" fillId="16" borderId="0" applyAlignment="1" pivotButton="0" quotePrefix="0" xfId="0">
      <alignment vertical="top" wrapText="1"/>
    </xf>
    <xf numFmtId="0" fontId="38" fillId="17" borderId="0" applyAlignment="1" pivotButton="0" quotePrefix="0" xfId="0">
      <alignment vertical="top" wrapText="1"/>
    </xf>
    <xf numFmtId="0" fontId="16" fillId="28" borderId="1" applyAlignment="1" pivotButton="0" quotePrefix="0" xfId="0">
      <alignment horizontal="center" vertical="center" wrapText="1"/>
    </xf>
    <xf numFmtId="0" fontId="80" fillId="18" borderId="0" applyAlignment="1" pivotButton="0" quotePrefix="0" xfId="0">
      <alignment vertical="top" wrapText="1"/>
    </xf>
    <xf numFmtId="0" fontId="29" fillId="28" borderId="1" applyAlignment="1" pivotButton="0" quotePrefix="0" xfId="0">
      <alignment horizontal="center" vertical="center" wrapText="1"/>
    </xf>
    <xf numFmtId="0" fontId="34" fillId="29" borderId="1" applyAlignment="1" pivotButton="0" quotePrefix="0" xfId="0">
      <alignment horizontal="center" vertical="center" wrapText="1"/>
    </xf>
    <xf numFmtId="0" fontId="81" fillId="11" borderId="1" applyAlignment="1" pivotButton="0" quotePrefix="0" xfId="0">
      <alignment horizontal="left" vertical="top" wrapText="1"/>
    </xf>
    <xf numFmtId="0" fontId="15" fillId="29" borderId="1" applyAlignment="1" pivotButton="0" quotePrefix="0" xfId="0">
      <alignment horizontal="center" vertical="center" wrapText="1"/>
    </xf>
    <xf numFmtId="0" fontId="10" fillId="11" borderId="1" applyAlignment="1" pivotButton="0" quotePrefix="0" xfId="0">
      <alignment horizontal="center" vertical="center" wrapText="1"/>
    </xf>
    <xf numFmtId="0" fontId="78" fillId="11" borderId="1" applyAlignment="1" pivotButton="0" quotePrefix="0" xfId="0">
      <alignment horizontal="center" vertical="center" wrapText="1"/>
    </xf>
    <xf numFmtId="0" fontId="24" fillId="30" borderId="1" applyAlignment="1" pivotButton="0" quotePrefix="0" xfId="0">
      <alignment horizontal="center" vertical="center" wrapText="1"/>
    </xf>
    <xf numFmtId="0" fontId="57" fillId="18" borderId="1" applyAlignment="1" pivotButton="0" quotePrefix="0" xfId="0">
      <alignment vertical="top" wrapText="1"/>
    </xf>
    <xf numFmtId="0" fontId="44" fillId="18" borderId="1" applyAlignment="1" pivotButton="0" quotePrefix="0" xfId="0">
      <alignment vertical="top" wrapText="1"/>
    </xf>
    <xf numFmtId="0" fontId="82" fillId="16" borderId="1" applyAlignment="1" pivotButton="0" quotePrefix="0" xfId="0">
      <alignment vertical="top" wrapText="1"/>
    </xf>
    <xf numFmtId="0" fontId="53" fillId="11" borderId="1" applyAlignment="1" pivotButton="0" quotePrefix="0" xfId="0">
      <alignment horizontal="left" vertical="top" wrapText="1"/>
    </xf>
    <xf numFmtId="0" fontId="53" fillId="11" borderId="0" applyAlignment="1" pivotButton="0" quotePrefix="0" xfId="0">
      <alignment horizontal="left" vertical="top" wrapText="1"/>
    </xf>
    <xf numFmtId="0" fontId="62" fillId="11" borderId="0" applyAlignment="1" pivotButton="0" quotePrefix="0" xfId="0">
      <alignment horizontal="left" vertical="top" wrapText="1"/>
    </xf>
    <xf numFmtId="0" fontId="55" fillId="23" borderId="0" applyAlignment="1" pivotButton="0" quotePrefix="0" xfId="0">
      <alignment horizontal="center" vertical="center"/>
    </xf>
    <xf numFmtId="0" fontId="75" fillId="23" borderId="0" applyAlignment="1" pivotButton="0" quotePrefix="0" xfId="0">
      <alignment horizontal="center" vertical="center" wrapText="1"/>
    </xf>
    <xf numFmtId="0" fontId="53" fillId="17" borderId="0" applyAlignment="1" pivotButton="0" quotePrefix="0" xfId="0">
      <alignment horizontal="center" vertical="center" wrapText="1"/>
    </xf>
    <xf numFmtId="0" fontId="38" fillId="17" borderId="1" applyAlignment="1" pivotButton="0" quotePrefix="0" xfId="0">
      <alignment vertical="top" wrapText="1"/>
    </xf>
    <xf numFmtId="0" fontId="80" fillId="18" borderId="1" applyAlignment="1" pivotButton="0" quotePrefix="0" xfId="0">
      <alignment vertical="top" wrapText="1"/>
    </xf>
    <xf numFmtId="0" fontId="34" fillId="31" borderId="1" applyAlignment="1" pivotButton="0" quotePrefix="0" xfId="0">
      <alignment horizontal="center" vertical="center" wrapText="1"/>
    </xf>
    <xf numFmtId="0" fontId="83" fillId="32" borderId="1" applyAlignment="1" pivotButton="0" quotePrefix="0" xfId="0">
      <alignment horizontal="left" vertical="top" wrapText="1"/>
    </xf>
    <xf numFmtId="0" fontId="15" fillId="31" borderId="1" applyAlignment="1" pivotButton="0" quotePrefix="0" xfId="0">
      <alignment horizontal="center" vertical="center" wrapText="1"/>
    </xf>
    <xf numFmtId="0" fontId="51" fillId="32" borderId="1" applyAlignment="1" pivotButton="0" quotePrefix="0" xfId="0">
      <alignment horizontal="left" vertical="top" wrapText="1"/>
    </xf>
    <xf numFmtId="0" fontId="10" fillId="32" borderId="1" applyAlignment="1" pivotButton="0" quotePrefix="0" xfId="0">
      <alignment horizontal="center" vertical="center" wrapText="1"/>
    </xf>
    <xf numFmtId="0" fontId="78" fillId="32" borderId="1" applyAlignment="1" pivotButton="0" quotePrefix="0" xfId="0">
      <alignment horizontal="center" vertical="center" wrapText="1"/>
    </xf>
    <xf numFmtId="0" fontId="53" fillId="32" borderId="1" applyAlignment="1" pivotButton="0" quotePrefix="0" xfId="0">
      <alignment horizontal="left" vertical="top" wrapText="1"/>
    </xf>
    <xf numFmtId="0" fontId="53" fillId="32" borderId="0" applyAlignment="1" pivotButton="0" quotePrefix="0" xfId="0">
      <alignment horizontal="left" vertical="top" wrapText="1"/>
    </xf>
    <xf numFmtId="0" fontId="62" fillId="32" borderId="0" applyAlignment="1" pivotButton="0" quotePrefix="0" xfId="0">
      <alignment horizontal="left" vertical="top" wrapText="1"/>
    </xf>
    <xf numFmtId="0" fontId="38" fillId="14" borderId="0" applyAlignment="1" pivotButton="0" quotePrefix="0" xfId="0">
      <alignment vertical="top" wrapText="1"/>
    </xf>
    <xf numFmtId="0" fontId="16" fillId="32" borderId="1" applyAlignment="1" pivotButton="0" quotePrefix="0" xfId="0">
      <alignment horizontal="center" vertical="center" wrapText="1"/>
    </xf>
    <xf numFmtId="0" fontId="34" fillId="33" borderId="1" applyAlignment="1" pivotButton="0" quotePrefix="0" xfId="0">
      <alignment horizontal="center" vertical="center" wrapText="1"/>
    </xf>
    <xf numFmtId="0" fontId="84" fillId="34" borderId="1" applyAlignment="1" pivotButton="0" quotePrefix="0" xfId="0">
      <alignment horizontal="left" vertical="top" wrapText="1"/>
    </xf>
    <xf numFmtId="0" fontId="15" fillId="33" borderId="1" applyAlignment="1" pivotButton="0" quotePrefix="0" xfId="0">
      <alignment horizontal="center" vertical="center" wrapText="1"/>
    </xf>
    <xf numFmtId="0" fontId="51" fillId="34" borderId="1" applyAlignment="1" pivotButton="0" quotePrefix="0" xfId="0">
      <alignment horizontal="left" vertical="top" wrapText="1"/>
    </xf>
    <xf numFmtId="0" fontId="10" fillId="34" borderId="1" applyAlignment="1" pivotButton="0" quotePrefix="0" xfId="0">
      <alignment horizontal="center" vertical="center" wrapText="1"/>
    </xf>
    <xf numFmtId="0" fontId="78" fillId="34" borderId="1" applyAlignment="1" pivotButton="0" quotePrefix="0" xfId="0">
      <alignment horizontal="center" vertical="center" wrapText="1"/>
    </xf>
    <xf numFmtId="0" fontId="53" fillId="34" borderId="1" applyAlignment="1" pivotButton="0" quotePrefix="0" xfId="0">
      <alignment horizontal="left" vertical="top" wrapText="1"/>
    </xf>
    <xf numFmtId="0" fontId="53" fillId="34" borderId="0" applyAlignment="1" pivotButton="0" quotePrefix="0" xfId="0">
      <alignment horizontal="left" vertical="top" wrapText="1"/>
    </xf>
    <xf numFmtId="0" fontId="62" fillId="34" borderId="0" applyAlignment="1" pivotButton="0" quotePrefix="0" xfId="0">
      <alignment horizontal="left" vertical="top" wrapText="1"/>
    </xf>
    <xf numFmtId="0" fontId="16" fillId="34" borderId="1" applyAlignment="1" pivotButton="0" quotePrefix="0" xfId="0">
      <alignment horizontal="center" vertical="center" wrapText="1"/>
    </xf>
    <xf numFmtId="0" fontId="34" fillId="35" borderId="1" applyAlignment="1" pivotButton="0" quotePrefix="0" xfId="0">
      <alignment horizontal="center" vertical="center" wrapText="1"/>
    </xf>
    <xf numFmtId="0" fontId="85" fillId="36" borderId="1" applyAlignment="1" pivotButton="0" quotePrefix="0" xfId="0">
      <alignment horizontal="left" vertical="top" wrapText="1"/>
    </xf>
    <xf numFmtId="0" fontId="15" fillId="35" borderId="1" applyAlignment="1" pivotButton="0" quotePrefix="0" xfId="0">
      <alignment horizontal="center" vertical="center" wrapText="1"/>
    </xf>
    <xf numFmtId="0" fontId="51" fillId="36" borderId="1" applyAlignment="1" pivotButton="0" quotePrefix="0" xfId="0">
      <alignment horizontal="left" vertical="top" wrapText="1"/>
    </xf>
    <xf numFmtId="0" fontId="10" fillId="36" borderId="1" applyAlignment="1" pivotButton="0" quotePrefix="0" xfId="0">
      <alignment horizontal="center" vertical="center" wrapText="1"/>
    </xf>
    <xf numFmtId="0" fontId="78" fillId="36" borderId="1" applyAlignment="1" pivotButton="0" quotePrefix="0" xfId="0">
      <alignment horizontal="center" vertical="center" wrapText="1"/>
    </xf>
    <xf numFmtId="0" fontId="53" fillId="36" borderId="1" applyAlignment="1" pivotButton="0" quotePrefix="0" xfId="0">
      <alignment horizontal="left" vertical="top" wrapText="1"/>
    </xf>
    <xf numFmtId="0" fontId="53" fillId="36" borderId="0" applyAlignment="1" pivotButton="0" quotePrefix="0" xfId="0">
      <alignment horizontal="left" vertical="top" wrapText="1"/>
    </xf>
    <xf numFmtId="0" fontId="62" fillId="36" borderId="0" applyAlignment="1" pivotButton="0" quotePrefix="0" xfId="0">
      <alignment horizontal="left" vertical="top" wrapText="1"/>
    </xf>
    <xf numFmtId="0" fontId="86" fillId="0" borderId="1" applyAlignment="1" pivotButton="0" quotePrefix="0" xfId="0">
      <alignment vertical="top" wrapText="1"/>
    </xf>
    <xf numFmtId="0" fontId="16" fillId="36" borderId="1" applyAlignment="1" pivotButton="0" quotePrefix="0" xfId="0">
      <alignment horizontal="center" vertical="center" wrapText="1"/>
    </xf>
    <xf numFmtId="0" fontId="76" fillId="36" borderId="1" applyAlignment="1" pivotButton="0" quotePrefix="0" xfId="0">
      <alignment horizontal="center" vertical="center" wrapText="1"/>
    </xf>
    <xf numFmtId="0" fontId="34" fillId="37" borderId="1" applyAlignment="1" pivotButton="0" quotePrefix="0" xfId="0">
      <alignment horizontal="center" vertical="center" wrapText="1"/>
    </xf>
    <xf numFmtId="0" fontId="87" fillId="38" borderId="1" applyAlignment="1" pivotButton="0" quotePrefix="0" xfId="0">
      <alignment horizontal="left" vertical="top" wrapText="1"/>
    </xf>
    <xf numFmtId="0" fontId="15" fillId="37" borderId="1" applyAlignment="1" pivotButton="0" quotePrefix="0" xfId="0">
      <alignment horizontal="center" vertical="center" wrapText="1"/>
    </xf>
    <xf numFmtId="0" fontId="51" fillId="38" borderId="1" applyAlignment="1" pivotButton="0" quotePrefix="0" xfId="0">
      <alignment horizontal="left" vertical="top" wrapText="1"/>
    </xf>
    <xf numFmtId="0" fontId="10" fillId="38" borderId="1" applyAlignment="1" pivotButton="0" quotePrefix="0" xfId="0">
      <alignment horizontal="center" vertical="center" wrapText="1"/>
    </xf>
    <xf numFmtId="0" fontId="78" fillId="38" borderId="1" applyAlignment="1" pivotButton="0" quotePrefix="0" xfId="0">
      <alignment horizontal="center" vertical="center" wrapText="1"/>
    </xf>
    <xf numFmtId="0" fontId="53" fillId="38" borderId="1" applyAlignment="1" pivotButton="0" quotePrefix="0" xfId="0">
      <alignment horizontal="left" vertical="top" wrapText="1"/>
    </xf>
    <xf numFmtId="0" fontId="53" fillId="38" borderId="0" applyAlignment="1" pivotButton="0" quotePrefix="0" xfId="0">
      <alignment horizontal="left" vertical="top" wrapText="1"/>
    </xf>
    <xf numFmtId="0" fontId="62" fillId="38" borderId="0" applyAlignment="1" pivotButton="0" quotePrefix="0" xfId="0">
      <alignment horizontal="left" vertical="top" wrapText="1"/>
    </xf>
    <xf numFmtId="0" fontId="34" fillId="39" borderId="1" applyAlignment="1" pivotButton="0" quotePrefix="0" xfId="0">
      <alignment horizontal="center" vertical="center" wrapText="1"/>
    </xf>
    <xf numFmtId="0" fontId="88" fillId="40" borderId="1" applyAlignment="1" pivotButton="0" quotePrefix="0" xfId="0">
      <alignment horizontal="left" vertical="top" wrapText="1"/>
    </xf>
    <xf numFmtId="0" fontId="15" fillId="39" borderId="1" applyAlignment="1" pivotButton="0" quotePrefix="0" xfId="0">
      <alignment horizontal="center" vertical="center" wrapText="1"/>
    </xf>
    <xf numFmtId="0" fontId="51" fillId="40" borderId="1" applyAlignment="1" pivotButton="0" quotePrefix="0" xfId="0">
      <alignment horizontal="left" vertical="top" wrapText="1"/>
    </xf>
    <xf numFmtId="0" fontId="10" fillId="40" borderId="1" applyAlignment="1" pivotButton="0" quotePrefix="0" xfId="0">
      <alignment horizontal="center" vertical="center" wrapText="1"/>
    </xf>
    <xf numFmtId="0" fontId="78" fillId="40" borderId="1" applyAlignment="1" pivotButton="0" quotePrefix="0" xfId="0">
      <alignment horizontal="center" vertical="center" wrapText="1"/>
    </xf>
    <xf numFmtId="0" fontId="53" fillId="40" borderId="1" applyAlignment="1" pivotButton="0" quotePrefix="0" xfId="0">
      <alignment horizontal="left" vertical="top" wrapText="1"/>
    </xf>
    <xf numFmtId="0" fontId="53" fillId="40" borderId="0" applyAlignment="1" pivotButton="0" quotePrefix="0" xfId="0">
      <alignment horizontal="left" vertical="top" wrapText="1"/>
    </xf>
    <xf numFmtId="0" fontId="62" fillId="40" borderId="0" applyAlignment="1" pivotButton="0" quotePrefix="0" xfId="0">
      <alignment horizontal="left" vertical="top" wrapText="1"/>
    </xf>
    <xf numFmtId="0" fontId="16" fillId="40" borderId="1" applyAlignment="1" pivotButton="0" quotePrefix="0" xfId="0">
      <alignment horizontal="center" vertical="center" wrapText="1"/>
    </xf>
    <xf numFmtId="0" fontId="76" fillId="40" borderId="1" applyAlignment="1" pivotButton="0" quotePrefix="0" xfId="0">
      <alignment horizontal="center" vertical="center" wrapText="1"/>
    </xf>
    <xf numFmtId="0" fontId="34" fillId="41" borderId="1" applyAlignment="1" pivotButton="0" quotePrefix="0" xfId="0">
      <alignment horizontal="center" vertical="center" wrapText="1"/>
    </xf>
    <xf numFmtId="0" fontId="89" fillId="42" borderId="1" applyAlignment="1" pivotButton="0" quotePrefix="0" xfId="0">
      <alignment horizontal="left" vertical="top" wrapText="1"/>
    </xf>
    <xf numFmtId="0" fontId="15" fillId="41" borderId="1" applyAlignment="1" pivotButton="0" quotePrefix="0" xfId="0">
      <alignment horizontal="center" vertical="center" wrapText="1"/>
    </xf>
    <xf numFmtId="0" fontId="51" fillId="42" borderId="1" applyAlignment="1" pivotButton="0" quotePrefix="0" xfId="0">
      <alignment horizontal="left" vertical="top" wrapText="1"/>
    </xf>
    <xf numFmtId="0" fontId="10" fillId="42" borderId="1" applyAlignment="1" pivotButton="0" quotePrefix="0" xfId="0">
      <alignment horizontal="center" vertical="center" wrapText="1"/>
    </xf>
    <xf numFmtId="0" fontId="78" fillId="42" borderId="1" applyAlignment="1" pivotButton="0" quotePrefix="0" xfId="0">
      <alignment horizontal="center" vertical="center" wrapText="1"/>
    </xf>
    <xf numFmtId="0" fontId="53" fillId="42" borderId="1" applyAlignment="1" pivotButton="0" quotePrefix="0" xfId="0">
      <alignment horizontal="left" vertical="top" wrapText="1"/>
    </xf>
    <xf numFmtId="0" fontId="53" fillId="42" borderId="0" applyAlignment="1" pivotButton="0" quotePrefix="0" xfId="0">
      <alignment horizontal="left" vertical="top" wrapText="1"/>
    </xf>
    <xf numFmtId="0" fontId="62" fillId="42" borderId="0" applyAlignment="1" pivotButton="0" quotePrefix="0" xfId="0">
      <alignment horizontal="left" vertical="top" wrapText="1"/>
    </xf>
    <xf numFmtId="0" fontId="16" fillId="42" borderId="1" applyAlignment="1" pivotButton="0" quotePrefix="0" xfId="0">
      <alignment horizontal="center" vertical="center" wrapText="1"/>
    </xf>
    <xf numFmtId="0" fontId="51" fillId="11" borderId="1" applyAlignment="1" pivotButton="0" quotePrefix="0" xfId="0">
      <alignment horizontal="center" vertical="center" wrapText="1"/>
    </xf>
    <xf numFmtId="0" fontId="91" fillId="9" borderId="1" applyAlignment="1" pivotButton="0" quotePrefix="0" xfId="0">
      <alignment horizontal="left" vertical="top" wrapText="1"/>
    </xf>
    <xf numFmtId="0" fontId="92" fillId="43" borderId="1" applyAlignment="1" pivotButton="0" quotePrefix="0" xfId="0">
      <alignment horizontal="left" vertical="top" wrapText="1"/>
    </xf>
    <xf numFmtId="0" fontId="91" fillId="30" borderId="1" applyAlignment="1" pivotButton="0" quotePrefix="0" xfId="0">
      <alignment horizontal="left" vertical="top" wrapText="1"/>
    </xf>
    <xf numFmtId="0" fontId="34" fillId="8" borderId="1" applyAlignment="1" pivotButton="0" quotePrefix="0" xfId="0">
      <alignment horizontal="center" vertical="center" wrapText="1"/>
    </xf>
    <xf numFmtId="0" fontId="19" fillId="44" borderId="1" applyAlignment="1" pivotButton="0" quotePrefix="0" xfId="0">
      <alignment horizontal="center" vertical="center" wrapText="1"/>
    </xf>
    <xf numFmtId="0" fontId="19" fillId="44" borderId="1" applyAlignment="1" pivotButton="0" quotePrefix="0" xfId="0">
      <alignment horizontal="left" vertical="top" wrapText="1"/>
    </xf>
    <xf numFmtId="0" fontId="51" fillId="44" borderId="1" applyAlignment="1" pivotButton="0" quotePrefix="0" xfId="0">
      <alignment horizontal="left" vertical="top" wrapText="1"/>
    </xf>
    <xf numFmtId="0" fontId="51" fillId="44" borderId="1" applyAlignment="1" pivotButton="0" quotePrefix="0" xfId="0">
      <alignment horizontal="center" vertical="center" wrapText="1"/>
    </xf>
    <xf numFmtId="0" fontId="42" fillId="44" borderId="1" applyAlignment="1" pivotButton="0" quotePrefix="0" xfId="0">
      <alignment horizontal="left" vertical="top" wrapText="1"/>
    </xf>
    <xf numFmtId="0" fontId="53" fillId="11" borderId="1" applyAlignment="1" pivotButton="0" quotePrefix="0" xfId="0">
      <alignment horizontal="left" vertical="center" wrapText="1"/>
    </xf>
    <xf numFmtId="0" fontId="93" fillId="27" borderId="1" applyAlignment="1" pivotButton="0" quotePrefix="0" xfId="0">
      <alignment horizontal="left" vertical="center" wrapText="1"/>
    </xf>
    <xf numFmtId="0" fontId="36" fillId="27" borderId="1" applyAlignment="1" pivotButton="0" quotePrefix="0" xfId="0">
      <alignment horizontal="left" vertical="center" wrapText="1"/>
    </xf>
    <xf numFmtId="0" fontId="53" fillId="14" borderId="1" applyAlignment="1" pivotButton="0" quotePrefix="0" xfId="0">
      <alignment horizontal="left" vertical="center" wrapText="1"/>
    </xf>
    <xf numFmtId="0" fontId="94" fillId="14" borderId="1" applyAlignment="1" pivotButton="0" quotePrefix="0" xfId="0">
      <alignment horizontal="left" vertical="center" wrapText="1"/>
    </xf>
    <xf numFmtId="0" fontId="53" fillId="16" borderId="1" applyAlignment="1" pivotButton="0" quotePrefix="0" xfId="0">
      <alignment horizontal="left" vertical="center" wrapText="1"/>
    </xf>
    <xf numFmtId="0" fontId="53" fillId="17" borderId="1" applyAlignment="1" pivotButton="0" quotePrefix="0" xfId="0">
      <alignment horizontal="left" vertical="center" wrapText="1"/>
    </xf>
    <xf numFmtId="0" fontId="53" fillId="22" borderId="1" applyAlignment="1" pivotButton="0" quotePrefix="0" xfId="0">
      <alignment horizontal="left" vertical="center" wrapText="1"/>
    </xf>
    <xf numFmtId="0" fontId="53" fillId="14" borderId="1" applyAlignment="1" pivotButton="0" quotePrefix="0" xfId="0">
      <alignment vertical="top" wrapText="1"/>
    </xf>
    <xf numFmtId="0" fontId="36" fillId="2" borderId="1" applyAlignment="1" pivotButton="0" quotePrefix="0" xfId="0">
      <alignment vertical="top" wrapText="1"/>
    </xf>
    <xf numFmtId="0" fontId="53" fillId="16" borderId="1" applyAlignment="1" pivotButton="0" quotePrefix="0" xfId="0">
      <alignment vertical="top" wrapText="1"/>
    </xf>
    <xf numFmtId="0" fontId="53" fillId="19" borderId="1" applyAlignment="1" pivotButton="0" quotePrefix="0" xfId="0">
      <alignment vertical="top" wrapText="1"/>
    </xf>
    <xf numFmtId="0" fontId="66" fillId="14" borderId="1" applyAlignment="1" pivotButton="0" quotePrefix="0" xfId="0">
      <alignment vertical="top" wrapText="1"/>
    </xf>
    <xf numFmtId="0" fontId="53" fillId="18" borderId="1" applyAlignment="1" pivotButton="0" quotePrefix="0" xfId="0">
      <alignment vertical="top" wrapText="1"/>
    </xf>
    <xf numFmtId="0" fontId="33" fillId="14" borderId="1" applyAlignment="1" pivotButton="0" quotePrefix="0" xfId="0">
      <alignmen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69" fillId="14" borderId="0" applyAlignment="1" pivotButton="0" quotePrefix="0" xfId="0">
      <alignment vertical="top" wrapText="1"/>
    </xf>
    <xf numFmtId="0" fontId="93" fillId="2" borderId="0" applyAlignment="1" pivotButton="0" quotePrefix="0" xfId="0">
      <alignment vertical="top" wrapText="1"/>
    </xf>
    <xf numFmtId="0" fontId="36" fillId="2" borderId="0" applyAlignment="1" pivotButton="0" quotePrefix="0" xfId="0">
      <alignment vertical="top" wrapText="1"/>
    </xf>
    <xf numFmtId="0" fontId="66" fillId="14" borderId="0" applyAlignment="1" pivotButton="0" quotePrefix="0" xfId="0">
      <alignment vertical="top" wrapText="1"/>
    </xf>
    <xf numFmtId="0" fontId="95" fillId="22" borderId="0" applyAlignment="1" pivotButton="0" quotePrefix="0" xfId="0">
      <alignment vertical="top" wrapText="1"/>
    </xf>
    <xf numFmtId="0" fontId="53" fillId="5" borderId="1" applyAlignment="1" pivotButton="0" quotePrefix="0" xfId="0">
      <alignment horizontal="left" vertical="center" wrapText="1"/>
    </xf>
    <xf numFmtId="0" fontId="33" fillId="22" borderId="1" applyAlignment="1" pivotButton="0" quotePrefix="0" xfId="0">
      <alignment horizontal="left" vertical="center" wrapText="1"/>
    </xf>
    <xf numFmtId="0" fontId="53" fillId="18" borderId="1" applyAlignment="1" pivotButton="0" quotePrefix="0" xfId="0">
      <alignment horizontal="left" vertical="center" wrapText="1"/>
    </xf>
    <xf numFmtId="0" fontId="33" fillId="17" borderId="1" applyAlignment="1" pivotButton="0" quotePrefix="0" xfId="0">
      <alignment horizontal="left" vertical="center" wrapText="1"/>
    </xf>
    <xf numFmtId="0" fontId="33" fillId="18" borderId="1" applyAlignment="1" pivotButton="0" quotePrefix="0" xfId="0">
      <alignment horizontal="left" vertical="center" wrapText="1"/>
    </xf>
    <xf numFmtId="0" fontId="33" fillId="45" borderId="1" applyAlignment="1" pivotButton="0" quotePrefix="0" xfId="0">
      <alignment horizontal="left" vertical="center" wrapText="1"/>
    </xf>
    <xf numFmtId="0" fontId="95" fillId="14" borderId="0" applyAlignment="1" pivotButton="0" quotePrefix="0" xfId="0">
      <alignment vertical="center" wrapText="1"/>
    </xf>
    <xf numFmtId="0" fontId="69" fillId="14" borderId="0" applyAlignment="1" pivotButton="0" quotePrefix="0" xfId="0">
      <alignment vertical="center" wrapText="1"/>
    </xf>
    <xf numFmtId="0" fontId="69" fillId="16" borderId="0" applyAlignment="1" pivotButton="0" quotePrefix="0" xfId="0">
      <alignment vertical="center" wrapText="1"/>
    </xf>
    <xf numFmtId="0" fontId="69" fillId="19" borderId="0" applyAlignment="1" pivotButton="0" quotePrefix="0" xfId="0">
      <alignment vertical="center" wrapText="1"/>
    </xf>
    <xf numFmtId="0" fontId="95" fillId="22" borderId="0" applyAlignment="1" pivotButton="0" quotePrefix="0" xfId="0">
      <alignment vertical="center" wrapText="1"/>
    </xf>
    <xf numFmtId="0" fontId="69" fillId="18" borderId="0" applyAlignment="1" pivotButton="0" quotePrefix="0" xfId="0">
      <alignment vertical="center" wrapText="1"/>
    </xf>
    <xf numFmtId="0" fontId="0" fillId="5" borderId="0" pivotButton="0" quotePrefix="0" xfId="0"/>
    <xf numFmtId="0" fontId="97" fillId="5" borderId="1" applyAlignment="1" pivotButton="0" quotePrefix="0" xfId="0">
      <alignment horizontal="left" vertical="center" wrapText="1"/>
    </xf>
    <xf numFmtId="0" fontId="98" fillId="5" borderId="1" applyAlignment="1" pivotButton="0" quotePrefix="0" xfId="0">
      <alignment horizontal="left" vertical="center" wrapText="1"/>
    </xf>
    <xf numFmtId="0" fontId="97" fillId="4" borderId="1" applyAlignment="1" pivotButton="0" quotePrefix="0" xfId="0">
      <alignment horizontal="left" vertical="center" wrapText="1"/>
    </xf>
    <xf numFmtId="0" fontId="98" fillId="4" borderId="1" applyAlignment="1" pivotButton="0" quotePrefix="0" xfId="0">
      <alignment horizontal="left" vertical="center" wrapText="1"/>
    </xf>
    <xf numFmtId="0" fontId="0" fillId="14" borderId="1" pivotButton="0" quotePrefix="0" xfId="0"/>
    <xf numFmtId="0" fontId="0" fillId="2" borderId="1" pivotButton="0" quotePrefix="0" xfId="0"/>
    <xf numFmtId="0" fontId="0" fillId="6" borderId="1" pivotButton="0" quotePrefix="0" xfId="0"/>
    <xf numFmtId="0" fontId="0" fillId="7" borderId="1" pivotButton="0" quotePrefix="0" xfId="0"/>
    <xf numFmtId="0" fontId="0" fillId="30" borderId="1" pivotButton="0" quotePrefix="0" xfId="0"/>
    <xf numFmtId="0" fontId="0" fillId="9" borderId="1" pivotButton="0" quotePrefix="0" xfId="0"/>
    <xf numFmtId="0" fontId="0" fillId="47" borderId="1" pivotButton="0" quotePrefix="0" xfId="0"/>
    <xf numFmtId="0" fontId="0" fillId="22" borderId="1" pivotButton="0" quotePrefix="0" xfId="0"/>
    <xf numFmtId="0" fontId="32" fillId="11" borderId="1" applyAlignment="1" pivotButton="0" quotePrefix="0" xfId="0">
      <alignment horizontal="left" vertical="center" wrapText="1"/>
    </xf>
    <xf numFmtId="0" fontId="19" fillId="5" borderId="1" applyAlignment="1" pivotButton="0" quotePrefix="0" xfId="0">
      <alignment horizontal="left" vertical="center" wrapText="1"/>
    </xf>
    <xf numFmtId="0" fontId="32" fillId="5" borderId="1" applyAlignment="1" pivotButton="0" quotePrefix="0" xfId="0">
      <alignment horizontal="left" vertical="center" wrapText="1"/>
    </xf>
    <xf numFmtId="0" fontId="95" fillId="0" borderId="0" pivotButton="0" quotePrefix="0" xfId="0"/>
    <xf numFmtId="0" fontId="99" fillId="0" borderId="0" pivotButton="0" quotePrefix="0" xfId="0"/>
    <xf numFmtId="0" fontId="95" fillId="16" borderId="0" pivotButton="0" quotePrefix="0" xfId="0"/>
    <xf numFmtId="0" fontId="53" fillId="5" borderId="0" applyAlignment="1" pivotButton="0" quotePrefix="0" xfId="0">
      <alignment vertical="center" wrapText="1"/>
    </xf>
    <xf numFmtId="0" fontId="36" fillId="2" borderId="0" applyAlignment="1" pivotButton="0" quotePrefix="0" xfId="0">
      <alignment vertical="center" wrapText="1"/>
    </xf>
    <xf numFmtId="0" fontId="95" fillId="45" borderId="0" applyAlignment="1" pivotButton="0" quotePrefix="0" xfId="0">
      <alignment vertical="top" wrapText="1"/>
    </xf>
    <xf numFmtId="0" fontId="69" fillId="12" borderId="0" applyAlignment="1" pivotButton="0" quotePrefix="0" xfId="0">
      <alignment vertical="top" wrapText="1"/>
    </xf>
    <xf numFmtId="0" fontId="102" fillId="16" borderId="0" applyAlignment="1" pivotButton="0" quotePrefix="0" xfId="0">
      <alignment vertical="top" wrapText="1"/>
    </xf>
    <xf numFmtId="0" fontId="103" fillId="14" borderId="0" applyAlignment="1" pivotButton="0" quotePrefix="0" xfId="0">
      <alignment vertical="top" wrapText="1"/>
    </xf>
    <xf numFmtId="0" fontId="69" fillId="19" borderId="0" applyAlignment="1" pivotButton="0" quotePrefix="0" xfId="0">
      <alignment vertical="top" wrapText="1"/>
    </xf>
    <xf numFmtId="0" fontId="69" fillId="17" borderId="0" applyAlignment="1" pivotButton="0" quotePrefix="0" xfId="0">
      <alignment vertical="top" wrapText="1"/>
    </xf>
    <xf numFmtId="0" fontId="36" fillId="27" borderId="0" applyAlignment="1" pivotButton="0" quotePrefix="0" xfId="0">
      <alignment vertical="top" wrapText="1"/>
    </xf>
    <xf numFmtId="0" fontId="95" fillId="18" borderId="0" applyAlignment="1" pivotButton="0" quotePrefix="0" xfId="0">
      <alignment vertical="top" wrapText="1"/>
    </xf>
    <xf numFmtId="0" fontId="95" fillId="19" borderId="0" applyAlignment="1" pivotButton="0" quotePrefix="0" xfId="0">
      <alignment vertical="top" wrapText="1"/>
    </xf>
    <xf numFmtId="0" fontId="49" fillId="2" borderId="0" applyAlignment="1" pivotButton="0" quotePrefix="0" xfId="0">
      <alignment vertical="top" wrapText="1"/>
    </xf>
    <xf numFmtId="0" fontId="104" fillId="12" borderId="0" applyAlignment="1" pivotButton="0" quotePrefix="0" xfId="0">
      <alignment vertical="top" wrapText="1"/>
    </xf>
    <xf numFmtId="0" fontId="104" fillId="17" borderId="0" applyAlignment="1" pivotButton="0" quotePrefix="0" xfId="0">
      <alignment vertical="top" wrapText="1"/>
    </xf>
    <xf numFmtId="0" fontId="105" fillId="18" borderId="0" applyAlignment="1" pivotButton="0" quotePrefix="0" xfId="0">
      <alignment vertical="top" wrapText="1"/>
    </xf>
    <xf numFmtId="0" fontId="106" fillId="16" borderId="0" applyAlignment="1" pivotButton="0" quotePrefix="0" xfId="0">
      <alignment vertical="top" wrapText="1"/>
    </xf>
    <xf numFmtId="0" fontId="107" fillId="16" borderId="0" applyAlignment="1" pivotButton="0" quotePrefix="0" xfId="0">
      <alignment vertical="top" wrapText="1"/>
    </xf>
    <xf numFmtId="0" fontId="105" fillId="22" borderId="0" applyAlignment="1" pivotButton="0" quotePrefix="0" xfId="0">
      <alignment vertical="top" wrapText="1"/>
    </xf>
    <xf numFmtId="0" fontId="95" fillId="16" borderId="0" applyAlignment="1" pivotButton="0" quotePrefix="0" xfId="0">
      <alignment vertical="top" wrapText="1"/>
    </xf>
    <xf numFmtId="0" fontId="104" fillId="19" borderId="0" applyAlignment="1" pivotButton="0" quotePrefix="0" xfId="0">
      <alignment vertical="top" wrapText="1"/>
    </xf>
    <xf numFmtId="0" fontId="106" fillId="17" borderId="0" applyAlignment="1" pivotButton="0" quotePrefix="0" xfId="0">
      <alignment vertical="top" wrapText="1"/>
    </xf>
    <xf numFmtId="0" fontId="95" fillId="17" borderId="0" applyAlignment="1" pivotButton="0" quotePrefix="0" xfId="0">
      <alignment vertical="top" wrapText="1"/>
    </xf>
    <xf numFmtId="0" fontId="69" fillId="16" borderId="0" applyAlignment="1" pivotButton="0" quotePrefix="0" xfId="0">
      <alignment vertical="top" wrapText="1"/>
    </xf>
    <xf numFmtId="0" fontId="55" fillId="2" borderId="0" applyAlignment="1" pivotButton="0" quotePrefix="0" xfId="0">
      <alignment horizontal="center" vertical="top" wrapText="1"/>
    </xf>
    <xf numFmtId="0" fontId="95" fillId="12" borderId="0" applyAlignment="1" pivotButton="0" quotePrefix="0" xfId="0">
      <alignment horizontal="left" vertical="top" wrapText="1"/>
    </xf>
    <xf numFmtId="0" fontId="109" fillId="16" borderId="0" applyAlignment="1" pivotButton="0" quotePrefix="0" xfId="0">
      <alignment horizontal="center" vertical="top" wrapText="1"/>
    </xf>
    <xf numFmtId="0" fontId="100" fillId="12" borderId="0" applyAlignment="1" pivotButton="0" quotePrefix="0" xfId="0">
      <alignment horizontal="left" vertical="top" wrapText="1"/>
    </xf>
    <xf numFmtId="0" fontId="69" fillId="18" borderId="0" applyAlignment="1" pivotButton="0" quotePrefix="0" xfId="0">
      <alignment horizontal="left" vertical="top" wrapText="1"/>
    </xf>
    <xf numFmtId="0" fontId="69" fillId="22" borderId="0" applyAlignment="1" pivotButton="0" quotePrefix="0" xfId="0">
      <alignment horizontal="left" vertical="top" wrapText="1"/>
    </xf>
    <xf numFmtId="0" fontId="69" fillId="19" borderId="0" applyAlignment="1" pivotButton="0" quotePrefix="0" xfId="0">
      <alignment horizontal="left" vertical="top" wrapText="1"/>
    </xf>
    <xf numFmtId="0" fontId="95" fillId="18" borderId="0" applyAlignment="1" pivotButton="0" quotePrefix="0" xfId="0">
      <alignment horizontal="center" vertical="top" wrapText="1"/>
    </xf>
    <xf numFmtId="0" fontId="95" fillId="22" borderId="0" applyAlignment="1" pivotButton="0" quotePrefix="0" xfId="0">
      <alignment horizontal="center" vertical="top" wrapText="1"/>
    </xf>
    <xf numFmtId="0" fontId="95" fillId="17" borderId="0" applyAlignment="1" pivotButton="0" quotePrefix="0" xfId="0">
      <alignment horizontal="center" vertical="top" wrapText="1"/>
    </xf>
    <xf numFmtId="0" fontId="69" fillId="17" borderId="0" applyAlignment="1" pivotButton="0" quotePrefix="0" xfId="0">
      <alignment horizontal="left" vertical="top" wrapText="1"/>
    </xf>
    <xf numFmtId="0" fontId="95" fillId="12" borderId="0" applyAlignment="1" pivotButton="0" quotePrefix="0" xfId="0">
      <alignment horizontal="center" vertical="top" wrapText="1"/>
    </xf>
    <xf numFmtId="0" fontId="69" fillId="12" borderId="0" applyAlignment="1" pivotButton="0" quotePrefix="0" xfId="0">
      <alignment horizontal="left" vertical="top" wrapText="1"/>
    </xf>
    <xf numFmtId="0" fontId="33" fillId="12" borderId="0" applyAlignment="1" pivotButton="0" quotePrefix="0" xfId="0">
      <alignment horizontal="left" vertical="center" wrapText="1"/>
    </xf>
    <xf numFmtId="0" fontId="108" fillId="23" borderId="0" applyAlignment="1" pivotButton="0" quotePrefix="0" xfId="0">
      <alignment horizontal="center" vertical="center" wrapText="1"/>
    </xf>
    <xf numFmtId="0" fontId="53" fillId="12" borderId="0" applyAlignment="1" pivotButton="0" quotePrefix="0" xfId="0">
      <alignment horizontal="center" vertical="center" wrapText="1"/>
    </xf>
    <xf numFmtId="0" fontId="33" fillId="16" borderId="0" applyAlignment="1" pivotButton="0" quotePrefix="0" xfId="0">
      <alignment horizontal="center" vertical="center" wrapText="1"/>
    </xf>
    <xf numFmtId="0" fontId="53" fillId="12" borderId="0" applyAlignment="1" pivotButton="0" quotePrefix="0" xfId="0">
      <alignment horizontal="left" vertical="center" wrapText="1"/>
    </xf>
    <xf numFmtId="0" fontId="110" fillId="24" borderId="0" applyAlignment="1" pivotButton="0" quotePrefix="0" xfId="0">
      <alignment horizontal="center" vertical="center" wrapText="1"/>
    </xf>
    <xf numFmtId="0" fontId="108" fillId="25" borderId="0" applyAlignment="1" pivotButton="0" quotePrefix="0" xfId="0">
      <alignment horizontal="center" vertical="center" wrapText="1"/>
    </xf>
    <xf numFmtId="0" fontId="49" fillId="29" borderId="0" applyAlignment="1" pivotButton="0" quotePrefix="0" xfId="0">
      <alignment horizontal="center" vertical="top" wrapText="1"/>
    </xf>
    <xf numFmtId="0" fontId="112" fillId="19" borderId="0" applyAlignment="1" pivotButton="0" quotePrefix="0" xfId="0">
      <alignment horizontal="left" vertical="top" wrapText="1"/>
    </xf>
    <xf numFmtId="0" fontId="113" fillId="19" borderId="0" applyAlignment="1" pivotButton="0" quotePrefix="0" xfId="0">
      <alignment horizontal="left" vertical="top" wrapText="1"/>
    </xf>
    <xf numFmtId="0" fontId="114" fillId="19" borderId="0" applyAlignment="1" pivotButton="0" quotePrefix="0" xfId="0">
      <alignment horizontal="left" vertical="top" wrapText="1"/>
    </xf>
    <xf numFmtId="0" fontId="115" fillId="19" borderId="0" applyAlignment="1" pivotButton="0" quotePrefix="0" xfId="0">
      <alignment horizontal="left" vertical="top" wrapText="1"/>
    </xf>
    <xf numFmtId="0" fontId="116" fillId="19" borderId="0" applyAlignment="1" pivotButton="0" quotePrefix="0" xfId="0">
      <alignment horizontal="left" vertical="top" wrapText="1"/>
    </xf>
    <xf numFmtId="0" fontId="112" fillId="16" borderId="0" applyAlignment="1" pivotButton="0" quotePrefix="0" xfId="0">
      <alignment horizontal="left" vertical="top" wrapText="1"/>
    </xf>
    <xf numFmtId="0" fontId="113" fillId="16" borderId="0" applyAlignment="1" pivotButton="0" quotePrefix="0" xfId="0">
      <alignment horizontal="left" vertical="top" wrapText="1"/>
    </xf>
    <xf numFmtId="0" fontId="114" fillId="16" borderId="0" applyAlignment="1" pivotButton="0" quotePrefix="0" xfId="0">
      <alignment horizontal="left" vertical="top" wrapText="1"/>
    </xf>
    <xf numFmtId="0" fontId="115" fillId="16" borderId="0" applyAlignment="1" pivotButton="0" quotePrefix="0" xfId="0">
      <alignment horizontal="left" vertical="top" wrapText="1"/>
    </xf>
    <xf numFmtId="0" fontId="117" fillId="16" borderId="0" applyAlignment="1" pivotButton="0" quotePrefix="0" xfId="0">
      <alignment horizontal="left" vertical="top" wrapText="1"/>
    </xf>
    <xf numFmtId="0" fontId="112" fillId="18" borderId="0" applyAlignment="1" pivotButton="0" quotePrefix="0" xfId="0">
      <alignment horizontal="left" vertical="top" wrapText="1"/>
    </xf>
    <xf numFmtId="0" fontId="113" fillId="18" borderId="0" applyAlignment="1" pivotButton="0" quotePrefix="0" xfId="0">
      <alignment horizontal="left" vertical="top" wrapText="1"/>
    </xf>
    <xf numFmtId="0" fontId="114" fillId="18" borderId="0" applyAlignment="1" pivotButton="0" quotePrefix="0" xfId="0">
      <alignment horizontal="left" vertical="top" wrapText="1"/>
    </xf>
    <xf numFmtId="0" fontId="115" fillId="18" borderId="0" applyAlignment="1" pivotButton="0" quotePrefix="0" xfId="0">
      <alignment horizontal="left" vertical="top" wrapText="1"/>
    </xf>
    <xf numFmtId="0" fontId="118" fillId="18" borderId="0" applyAlignment="1" pivotButton="0" quotePrefix="0" xfId="0">
      <alignment horizontal="left" vertical="top" wrapText="1"/>
    </xf>
    <xf numFmtId="0" fontId="112" fillId="17" borderId="0" applyAlignment="1" pivotButton="0" quotePrefix="0" xfId="0">
      <alignment horizontal="left" vertical="top" wrapText="1"/>
    </xf>
    <xf numFmtId="0" fontId="119" fillId="5" borderId="0" applyAlignment="1" pivotButton="0" quotePrefix="0" xfId="0">
      <alignment horizontal="left" vertical="top" wrapText="1"/>
    </xf>
    <xf numFmtId="0" fontId="49" fillId="23" borderId="0" applyAlignment="1" pivotButton="0" quotePrefix="0" xfId="0">
      <alignment horizontal="center" vertical="top" wrapText="1"/>
    </xf>
    <xf numFmtId="0" fontId="120" fillId="18" borderId="0" applyAlignment="1" pivotButton="0" quotePrefix="0" xfId="0">
      <alignment horizontal="left" vertical="top" wrapText="1"/>
    </xf>
    <xf numFmtId="0" fontId="120" fillId="5" borderId="0" applyAlignment="1" pivotButton="0" quotePrefix="0" xfId="0">
      <alignment horizontal="left" vertical="top" wrapText="1"/>
    </xf>
    <xf numFmtId="0" fontId="49" fillId="50" borderId="0" applyAlignment="1" pivotButton="0" quotePrefix="0" xfId="0">
      <alignment horizontal="center" vertical="top" wrapText="1"/>
    </xf>
    <xf numFmtId="0" fontId="120" fillId="19" borderId="0" applyAlignment="1" pivotButton="0" quotePrefix="0" xfId="0">
      <alignment horizontal="left" vertical="top" wrapText="1"/>
    </xf>
    <xf numFmtId="0" fontId="120" fillId="16" borderId="0" applyAlignment="1" pivotButton="0" quotePrefix="0" xfId="0">
      <alignment horizontal="left" vertical="top" wrapText="1"/>
    </xf>
    <xf numFmtId="0" fontId="120" fillId="12" borderId="0" applyAlignment="1" pivotButton="0" quotePrefix="0" xfId="0">
      <alignment horizontal="left" vertical="top" wrapText="1"/>
    </xf>
    <xf numFmtId="0" fontId="55" fillId="48" borderId="0" applyAlignment="1" pivotButton="0" quotePrefix="0" xfId="0">
      <alignment horizontal="left" vertical="center" wrapText="1"/>
    </xf>
    <xf numFmtId="0" fontId="49" fillId="48" borderId="0" applyAlignment="1" pivotButton="0" quotePrefix="0" xfId="0">
      <alignment horizontal="center" vertical="top" wrapText="1"/>
    </xf>
    <xf numFmtId="0" fontId="120" fillId="17" borderId="0" applyAlignment="1" pivotButton="0" quotePrefix="0" xfId="0">
      <alignment horizontal="left" vertical="top" wrapText="1"/>
    </xf>
    <xf numFmtId="0" fontId="49" fillId="51" borderId="0" applyAlignment="1" pivotButton="0" quotePrefix="0" xfId="0">
      <alignment horizontal="center" vertical="top" wrapText="1"/>
    </xf>
    <xf numFmtId="0" fontId="112" fillId="52" borderId="0" applyAlignment="1" pivotButton="0" quotePrefix="0" xfId="0">
      <alignment horizontal="left" vertical="top" wrapText="1"/>
    </xf>
    <xf numFmtId="0" fontId="112" fillId="9" borderId="0" applyAlignment="1" pivotButton="0" quotePrefix="0" xfId="0">
      <alignment horizontal="left" vertical="top" wrapText="1"/>
    </xf>
    <xf numFmtId="0" fontId="55" fillId="35" borderId="0" applyAlignment="1" pivotButton="0" quotePrefix="0" xfId="0">
      <alignment horizontal="left" vertical="center" wrapText="1"/>
    </xf>
    <xf numFmtId="0" fontId="112" fillId="53" borderId="0" applyAlignment="1" pivotButton="0" quotePrefix="0" xfId="0">
      <alignment horizontal="left" vertical="top" wrapText="1"/>
    </xf>
    <xf numFmtId="0" fontId="119" fillId="18" borderId="0" applyAlignment="1" pivotButton="0" quotePrefix="0" xfId="0">
      <alignment horizontal="left" vertical="top" wrapText="1"/>
    </xf>
    <xf numFmtId="0" fontId="55" fillId="54" borderId="0" applyAlignment="1" pivotButton="0" quotePrefix="0" xfId="0">
      <alignment horizontal="left" vertical="center" wrapText="1"/>
    </xf>
    <xf numFmtId="0" fontId="119" fillId="17" borderId="0" applyAlignment="1" pivotButton="0" quotePrefix="0" xfId="0">
      <alignment horizontal="left" vertical="top" wrapText="1"/>
    </xf>
    <xf numFmtId="0" fontId="55" fillId="55" borderId="0" applyAlignment="1" pivotButton="0" quotePrefix="0" xfId="0">
      <alignment horizontal="left" vertical="center" wrapText="1"/>
    </xf>
    <xf numFmtId="0" fontId="121" fillId="19" borderId="0" applyAlignment="1" pivotButton="0" quotePrefix="0" xfId="0">
      <alignment horizontal="left" vertical="top" wrapText="1"/>
    </xf>
    <xf numFmtId="0" fontId="119" fillId="19" borderId="0" applyAlignment="1" pivotButton="0" quotePrefix="0" xfId="0">
      <alignment horizontal="left" vertical="top" wrapText="1"/>
    </xf>
    <xf numFmtId="0" fontId="122" fillId="19" borderId="0" applyAlignment="1" pivotButton="0" quotePrefix="0" xfId="0">
      <alignment horizontal="left" vertical="top" wrapText="1"/>
    </xf>
    <xf numFmtId="0" fontId="121" fillId="16" borderId="0" applyAlignment="1" pivotButton="0" quotePrefix="0" xfId="0">
      <alignment horizontal="left" vertical="top" wrapText="1"/>
    </xf>
    <xf numFmtId="0" fontId="119" fillId="16" borderId="0" applyAlignment="1" pivotButton="0" quotePrefix="0" xfId="0">
      <alignment horizontal="left" vertical="top" wrapText="1"/>
    </xf>
    <xf numFmtId="0" fontId="123" fillId="16" borderId="0" applyAlignment="1" pivotButton="0" quotePrefix="0" xfId="0">
      <alignment horizontal="left" vertical="top" wrapText="1"/>
    </xf>
    <xf numFmtId="0" fontId="121" fillId="12" borderId="0" applyAlignment="1" pivotButton="0" quotePrefix="0" xfId="0">
      <alignment horizontal="left" vertical="top" wrapText="1"/>
    </xf>
    <xf numFmtId="0" fontId="119" fillId="12" borderId="0" applyAlignment="1" pivotButton="0" quotePrefix="0" xfId="0">
      <alignment horizontal="left" vertical="top" wrapText="1"/>
    </xf>
    <xf numFmtId="0" fontId="119" fillId="9" borderId="0" applyAlignment="1" pivotButton="0" quotePrefix="0" xfId="0">
      <alignment horizontal="left" vertical="top" wrapText="1"/>
    </xf>
    <xf numFmtId="0" fontId="55" fillId="7" borderId="0" applyAlignment="1" pivotButton="0" quotePrefix="0" xfId="0">
      <alignment horizontal="left" vertical="center" wrapText="1"/>
    </xf>
    <xf numFmtId="0" fontId="127" fillId="60" borderId="5" applyAlignment="1" pivotButton="0" quotePrefix="0" xfId="0">
      <alignment horizontal="left" vertical="center" wrapText="1"/>
    </xf>
    <xf numFmtId="0" fontId="128" fillId="0" borderId="5" applyAlignment="1" pivotButton="0" quotePrefix="0" xfId="0">
      <alignment horizontal="left" vertical="top" wrapText="1"/>
    </xf>
    <xf numFmtId="0" fontId="128" fillId="61" borderId="5" applyAlignment="1" pivotButton="0" quotePrefix="0" xfId="0">
      <alignment horizontal="left" vertical="top" wrapText="1"/>
    </xf>
    <xf numFmtId="0" fontId="129" fillId="0" borderId="0" pivotButton="0" quotePrefix="0" xfId="0"/>
    <xf numFmtId="0" fontId="6" fillId="11" borderId="1" applyAlignment="1" pivotButton="0" quotePrefix="0" xfId="0">
      <alignment horizontal="center" vertical="center" wrapText="1"/>
    </xf>
    <xf numFmtId="0" fontId="0" fillId="0" borderId="0" pivotButton="0" quotePrefix="0" xfId="0"/>
    <xf numFmtId="0" fontId="119" fillId="5" borderId="0" applyAlignment="1" pivotButton="0" quotePrefix="0" xfId="0">
      <alignment horizontal="left" vertical="top" wrapText="1"/>
    </xf>
    <xf numFmtId="0" fontId="119" fillId="52" borderId="0" applyAlignment="1" pivotButton="0" quotePrefix="0" xfId="0">
      <alignment horizontal="left" vertical="top" wrapText="1"/>
    </xf>
    <xf numFmtId="0" fontId="124" fillId="59" borderId="0" applyAlignment="1" pivotButton="0" quotePrefix="0" xfId="0">
      <alignment horizontal="left" vertical="center" wrapText="1"/>
    </xf>
    <xf numFmtId="0" fontId="55" fillId="48" borderId="0" applyAlignment="1" pivotButton="0" quotePrefix="0" xfId="0">
      <alignment horizontal="left" vertical="center" wrapText="1"/>
    </xf>
    <xf numFmtId="0" fontId="55" fillId="51" borderId="0" applyAlignment="1" pivotButton="0" quotePrefix="0" xfId="0">
      <alignment horizontal="left" vertical="center" wrapText="1"/>
    </xf>
    <xf numFmtId="0" fontId="111" fillId="48" borderId="0" applyAlignment="1" pivotButton="0" quotePrefix="0" xfId="0">
      <alignment horizontal="center" vertical="center" wrapText="1"/>
    </xf>
    <xf numFmtId="0" fontId="112" fillId="17" borderId="0" applyAlignment="1" pivotButton="0" quotePrefix="0" xfId="0">
      <alignment horizontal="left" vertical="top" wrapText="1"/>
    </xf>
    <xf numFmtId="0" fontId="119" fillId="53" borderId="0" applyAlignment="1" pivotButton="0" quotePrefix="0" xfId="0">
      <alignment horizontal="left" vertical="top" wrapText="1"/>
    </xf>
    <xf numFmtId="0" fontId="55" fillId="23" borderId="0" applyAlignment="1" pivotButton="0" quotePrefix="0" xfId="0">
      <alignment horizontal="left" vertical="center" wrapText="1"/>
    </xf>
    <xf numFmtId="0" fontId="55" fillId="50" borderId="0" applyAlignment="1" pivotButton="0" quotePrefix="0" xfId="0">
      <alignment horizontal="left" vertical="center" wrapText="1"/>
    </xf>
    <xf numFmtId="0" fontId="55" fillId="49" borderId="0" applyAlignment="1" pivotButton="0" quotePrefix="0" xfId="0">
      <alignment horizontal="left" vertical="center" wrapText="1"/>
    </xf>
    <xf numFmtId="0" fontId="3" fillId="6" borderId="0" applyAlignment="1" pivotButton="0" quotePrefix="0" xfId="0">
      <alignment horizontal="left" vertical="center" wrapText="1"/>
    </xf>
    <xf numFmtId="0" fontId="3" fillId="2" borderId="0" applyAlignment="1" pivotButton="0" quotePrefix="0" xfId="0">
      <alignment horizontal="left" vertical="center" wrapText="1"/>
    </xf>
    <xf numFmtId="0" fontId="1" fillId="2" borderId="0" applyAlignment="1" pivotButton="0" quotePrefix="0" xfId="0">
      <alignment horizontal="left" vertical="center" wrapText="1"/>
    </xf>
    <xf numFmtId="0" fontId="19" fillId="4" borderId="1" applyAlignment="1" pivotButton="0" quotePrefix="0" xfId="0">
      <alignment horizontal="left" vertical="top" wrapText="1"/>
    </xf>
    <xf numFmtId="0" fontId="0" fillId="0" borderId="3" pivotButton="0" quotePrefix="0" xfId="0"/>
    <xf numFmtId="0" fontId="0" fillId="0" borderId="4" pivotButton="0" quotePrefix="0" xfId="0"/>
    <xf numFmtId="0" fontId="4" fillId="10" borderId="0" applyAlignment="1" pivotButton="0" quotePrefix="0" xfId="0">
      <alignment horizontal="left" vertical="center" wrapText="1"/>
    </xf>
    <xf numFmtId="0" fontId="19" fillId="11" borderId="1" applyAlignment="1" pivotButton="0" quotePrefix="0" xfId="0">
      <alignment horizontal="left" vertical="top" wrapText="1"/>
    </xf>
    <xf numFmtId="0" fontId="14" fillId="3" borderId="0" applyAlignment="1" pivotButton="0" quotePrefix="0" xfId="0">
      <alignment horizontal="left" vertical="center" wrapText="1"/>
    </xf>
    <xf numFmtId="0" fontId="15" fillId="2" borderId="1" applyAlignment="1" pivotButton="0" quotePrefix="0" xfId="0">
      <alignment horizontal="center" vertical="center" wrapText="1"/>
    </xf>
    <xf numFmtId="0" fontId="5" fillId="2" borderId="0" applyAlignment="1" pivotButton="0" quotePrefix="0" xfId="0">
      <alignment horizontal="left" vertical="center" wrapText="1"/>
    </xf>
    <xf numFmtId="0" fontId="4" fillId="2" borderId="0" applyAlignment="1" pivotButton="0" quotePrefix="0" xfId="0">
      <alignment horizontal="left" vertical="center" wrapText="1"/>
    </xf>
    <xf numFmtId="0" fontId="4" fillId="8" borderId="0" applyAlignment="1" pivotButton="0" quotePrefix="0" xfId="0">
      <alignment horizontal="left" vertical="center" wrapText="1"/>
    </xf>
    <xf numFmtId="0" fontId="2" fillId="3" borderId="0" applyAlignment="1" pivotButton="0" quotePrefix="0" xfId="0">
      <alignment horizontal="left" vertical="center" wrapText="1"/>
    </xf>
    <xf numFmtId="0" fontId="5" fillId="10" borderId="0" applyAlignment="1" pivotButton="0" quotePrefix="0" xfId="0">
      <alignment horizontal="left" vertical="center" wrapText="1"/>
    </xf>
    <xf numFmtId="0" fontId="4" fillId="6" borderId="0" applyAlignment="1" pivotButton="0" quotePrefix="0" xfId="0">
      <alignment horizontal="left" vertical="center" wrapText="1"/>
    </xf>
    <xf numFmtId="0" fontId="3" fillId="7" borderId="0" applyAlignment="1" pivotButton="0" quotePrefix="0" xfId="0">
      <alignment horizontal="left" vertical="center" wrapText="1"/>
    </xf>
    <xf numFmtId="0" fontId="33" fillId="16" borderId="0" applyAlignment="1" pivotButton="0" quotePrefix="0" xfId="0">
      <alignment horizontal="left" vertical="center" wrapText="1"/>
    </xf>
    <xf numFmtId="0" fontId="5" fillId="8" borderId="0" applyAlignment="1" pivotButton="0" quotePrefix="0" xfId="0">
      <alignment horizontal="left" vertical="center" wrapText="1"/>
    </xf>
    <xf numFmtId="0" fontId="131" fillId="0" borderId="0" pivotButton="0" quotePrefix="0" xfId="0"/>
    <xf numFmtId="0" fontId="125" fillId="0" borderId="0" pivotButton="0" quotePrefix="0" xfId="0"/>
    <xf numFmtId="0" fontId="130" fillId="0" borderId="0" pivotButton="0" quotePrefix="0" xfId="0"/>
    <xf numFmtId="0" fontId="126" fillId="0" borderId="0" pivotButton="0" quotePrefix="0" xfId="0"/>
    <xf numFmtId="0" fontId="13" fillId="9" borderId="2" applyAlignment="1" pivotButton="0" quotePrefix="0" xfId="0">
      <alignment horizontal="center" vertical="center" wrapText="1"/>
    </xf>
    <xf numFmtId="0" fontId="35" fillId="4" borderId="2" applyAlignment="1" pivotButton="0" quotePrefix="0" xfId="0">
      <alignment horizontal="left" vertical="top" wrapText="1"/>
    </xf>
    <xf numFmtId="0" fontId="19" fillId="5" borderId="2" applyAlignment="1" pivotButton="0" quotePrefix="0" xfId="0">
      <alignment horizontal="center" vertical="center" wrapText="1"/>
    </xf>
    <xf numFmtId="0" fontId="16" fillId="14" borderId="2" applyAlignment="1" pivotButton="0" quotePrefix="0" xfId="0">
      <alignment horizontal="left" vertical="top" wrapText="1"/>
    </xf>
    <xf numFmtId="0" fontId="19" fillId="4" borderId="2" applyAlignment="1" pivotButton="0" quotePrefix="0" xfId="0">
      <alignment horizontal="center" vertical="center" wrapText="1"/>
    </xf>
    <xf numFmtId="0" fontId="46" fillId="10" borderId="0" applyAlignment="1" pivotButton="0" quotePrefix="0" xfId="0">
      <alignment horizontal="left" vertical="center" wrapText="1"/>
    </xf>
    <xf numFmtId="0" fontId="4" fillId="7" borderId="0" applyAlignment="1" pivotButton="0" quotePrefix="0" xfId="0">
      <alignment horizontal="left" vertical="center" wrapText="1"/>
    </xf>
    <xf numFmtId="0" fontId="35" fillId="5" borderId="2" applyAlignment="1" pivotButton="0" quotePrefix="0" xfId="0">
      <alignment horizontal="left" vertical="top" wrapText="1"/>
    </xf>
    <xf numFmtId="0" fontId="5" fillId="6" borderId="0" applyAlignment="1" pivotButton="0" quotePrefix="0" xfId="0">
      <alignment horizontal="left" vertical="center" wrapText="1"/>
    </xf>
    <xf numFmtId="0" fontId="16" fillId="14" borderId="0" applyAlignment="1" pivotButton="0" quotePrefix="0" xfId="0">
      <alignment horizontal="left" vertical="center" wrapText="1"/>
    </xf>
    <xf numFmtId="0" fontId="23" fillId="3" borderId="0" applyAlignment="1" pivotButton="0" quotePrefix="0" xfId="0">
      <alignment horizontal="left" vertical="center" wrapText="1"/>
    </xf>
    <xf numFmtId="0" fontId="34" fillId="2" borderId="0" applyAlignment="1" pivotButton="0" quotePrefix="0" xfId="0">
      <alignment horizontal="left" vertical="center" wrapText="1"/>
    </xf>
    <xf numFmtId="0" fontId="47" fillId="7" borderId="0" applyAlignment="1" pivotButton="0" quotePrefix="0" xfId="0">
      <alignment horizontal="left" vertical="center" wrapText="1"/>
    </xf>
    <xf numFmtId="0" fontId="127" fillId="60" borderId="1" applyAlignment="1" pivotButton="0" quotePrefix="0" xfId="0">
      <alignment horizontal="center" vertical="center"/>
    </xf>
    <xf numFmtId="0" fontId="1" fillId="8" borderId="0" applyAlignment="1" pivotButton="0" quotePrefix="0" xfId="0">
      <alignment horizontal="left" vertical="center" wrapText="1"/>
    </xf>
    <xf numFmtId="0" fontId="19" fillId="11" borderId="0" applyAlignment="1" pivotButton="0" quotePrefix="0" xfId="0">
      <alignment horizontal="left" vertical="center" wrapText="1"/>
    </xf>
    <xf numFmtId="0" fontId="90" fillId="14" borderId="0" applyAlignment="1" pivotButton="0" quotePrefix="0" xfId="0">
      <alignment horizontal="left" vertical="center" wrapText="1"/>
    </xf>
    <xf numFmtId="0" fontId="27" fillId="4" borderId="1" applyAlignment="1" pivotButton="0" quotePrefix="0" xfId="0">
      <alignment horizontal="left" vertical="top" wrapText="1"/>
    </xf>
    <xf numFmtId="0" fontId="100" fillId="9" borderId="0" pivotButton="0" quotePrefix="0" xfId="0"/>
    <xf numFmtId="0" fontId="27" fillId="5" borderId="1" applyAlignment="1" pivotButton="0" quotePrefix="0" xfId="0">
      <alignment horizontal="left" vertical="top" wrapText="1"/>
    </xf>
    <xf numFmtId="0" fontId="100" fillId="12" borderId="0" pivotButton="0" quotePrefix="0" xfId="0"/>
    <xf numFmtId="0" fontId="34" fillId="2" borderId="1" applyAlignment="1" pivotButton="0" quotePrefix="0" xfId="0">
      <alignment horizontal="left" vertical="center" wrapText="1"/>
    </xf>
    <xf numFmtId="0" fontId="34" fillId="46" borderId="1" applyAlignment="1" pivotButton="0" quotePrefix="0" xfId="0">
      <alignment horizontal="left" vertical="center" wrapText="1"/>
    </xf>
    <xf numFmtId="0" fontId="34" fillId="6" borderId="1" applyAlignment="1" pivotButton="0" quotePrefix="0" xfId="0">
      <alignment horizontal="left" vertical="center" wrapText="1"/>
    </xf>
    <xf numFmtId="0" fontId="75" fillId="8" borderId="0" applyAlignment="1" pivotButton="0" quotePrefix="0" xfId="0">
      <alignment vertical="center"/>
    </xf>
    <xf numFmtId="0" fontId="34" fillId="13" borderId="1" applyAlignment="1" pivotButton="0" quotePrefix="0" xfId="0">
      <alignment horizontal="left" vertical="center" wrapText="1"/>
    </xf>
    <xf numFmtId="0" fontId="3" fillId="8" borderId="0" applyAlignment="1" pivotButton="0" quotePrefix="0" xfId="0">
      <alignment horizontal="left" vertical="center" wrapText="1"/>
    </xf>
    <xf numFmtId="0" fontId="34" fillId="10" borderId="1" applyAlignment="1" pivotButton="0" quotePrefix="0" xfId="0">
      <alignment horizontal="left" vertical="center" wrapText="1"/>
    </xf>
    <xf numFmtId="0" fontId="96" fillId="4" borderId="1" applyAlignment="1" pivotButton="0" quotePrefix="0" xfId="0">
      <alignment horizontal="left" vertical="top" wrapText="1"/>
    </xf>
    <xf numFmtId="0" fontId="75" fillId="21" borderId="0" applyAlignment="1" pivotButton="0" quotePrefix="0" xfId="0">
      <alignment vertical="center"/>
    </xf>
    <xf numFmtId="0" fontId="101" fillId="2" borderId="0" pivotButton="0" quotePrefix="0" xfId="0"/>
    <xf numFmtId="0" fontId="75" fillId="8" borderId="0" pivotButton="0" quotePrefix="0" xfId="0"/>
    <xf numFmtId="0" fontId="55" fillId="2" borderId="0" applyAlignment="1" pivotButton="0" quotePrefix="0" xfId="0">
      <alignment vertical="center"/>
    </xf>
    <xf numFmtId="0" fontId="33" fillId="16" borderId="0" pivotButton="0" quotePrefix="0" xfId="0"/>
    <xf numFmtId="0" fontId="101" fillId="2" borderId="0" applyAlignment="1" pivotButton="0" quotePrefix="0" xfId="0">
      <alignment horizontal="left" vertical="center"/>
    </xf>
    <xf numFmtId="0" fontId="108" fillId="2" borderId="0" applyAlignment="1" pivotButton="0" quotePrefix="0" xfId="0">
      <alignment horizontal="left" vertical="center"/>
    </xf>
    <xf numFmtId="0" fontId="94" fillId="17" borderId="0" applyAlignment="1" pivotButton="0" quotePrefix="0" xfId="0">
      <alignment horizontal="left" vertical="top" wrapText="1"/>
    </xf>
    <xf numFmtId="0" fontId="75" fillId="2" borderId="0" applyAlignment="1" pivotButton="0" quotePrefix="0" xfId="0">
      <alignment horizontal="left" vertical="top" wrapText="1"/>
    </xf>
    <xf numFmtId="0" fontId="111" fillId="2" borderId="0" applyAlignment="1" pivotButton="0" quotePrefix="0" xfId="0">
      <alignment horizontal="center" vertical="center" wrapText="1"/>
    </xf>
    <xf numFmtId="0" fontId="113" fillId="17" borderId="0" applyAlignment="1" pivotButton="0" quotePrefix="0" xfId="0">
      <alignment horizontal="left" vertical="top" wrapText="1"/>
    </xf>
    <xf numFmtId="0" fontId="119" fillId="9" borderId="0" applyAlignment="1" pivotButton="0" quotePrefix="0" xfId="0">
      <alignment horizontal="left" vertical="top" wrapText="1"/>
    </xf>
    <xf numFmtId="0" fontId="119" fillId="19" borderId="0" applyAlignment="1" pivotButton="0" quotePrefix="0" xfId="0">
      <alignment horizontal="left" vertical="top" wrapText="1"/>
    </xf>
    <xf numFmtId="0" fontId="55" fillId="57" borderId="0" applyAlignment="1" pivotButton="0" quotePrefix="0" xfId="0">
      <alignment horizontal="left" vertical="center" wrapText="1"/>
    </xf>
    <xf numFmtId="0" fontId="111" fillId="56" borderId="0" applyAlignment="1" pivotButton="0" quotePrefix="0" xfId="0">
      <alignment horizontal="center" vertical="center" wrapText="1"/>
    </xf>
    <xf numFmtId="0" fontId="55" fillId="58" borderId="0" applyAlignment="1" pivotButton="0" quotePrefix="0" xfId="0">
      <alignment horizontal="left" vertical="center" wrapText="1"/>
    </xf>
    <xf numFmtId="0" fontId="112" fillId="9" borderId="0" applyAlignment="1" pivotButton="0" quotePrefix="0" xfId="0">
      <alignment horizontal="left" vertical="top" wrapText="1"/>
    </xf>
    <xf numFmtId="0" fontId="55" fillId="56" borderId="0" applyAlignment="1" pivotButton="0" quotePrefix="0" xfId="0">
      <alignment horizontal="left" vertical="center" wrapText="1"/>
    </xf>
    <xf numFmtId="0" fontId="132" fillId="8" borderId="0" applyAlignment="1" pivotButton="0" quotePrefix="0" xfId="0">
      <alignment horizontal="center" vertical="center" wrapText="1"/>
    </xf>
    <xf numFmtId="0" fontId="0" fillId="0" borderId="0" applyAlignment="1" pivotButton="0" quotePrefix="0" xfId="0">
      <alignment vertical="top" wrapText="1"/>
    </xf>
    <xf numFmtId="0" fontId="133" fillId="0" borderId="0" pivotButton="0" quotePrefix="0" xfId="0"/>
    <xf numFmtId="0" fontId="134" fillId="0" borderId="0" pivotButton="0" quotePrefix="0" xfId="0"/>
    <xf numFmtId="0" fontId="135" fillId="62" borderId="0" pivotButton="0" quotePrefix="0" xfId="0"/>
    <xf numFmtId="0" fontId="136" fillId="0" borderId="0" pivotButton="0" quotePrefix="0" xfId="0"/>
    <xf numFmtId="0" fontId="137" fillId="63" borderId="0" applyAlignment="1" pivotButton="0" quotePrefix="0" xfId="0">
      <alignment horizontal="center" vertical="center"/>
    </xf>
    <xf numFmtId="0" fontId="138" fillId="64" borderId="0" pivotButton="0" quotePrefix="0" xfId="0"/>
    <xf numFmtId="0" fontId="139" fillId="0" borderId="0" applyAlignment="1" pivotButton="0" quotePrefix="0" xfId="0">
      <alignment vertical="center" wrapText="1"/>
    </xf>
    <xf numFmtId="0" fontId="140" fillId="0" borderId="0" applyAlignment="1" pivotButton="0" quotePrefix="0" xfId="0">
      <alignment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36" fillId="0" borderId="0" applyAlignment="1" pivotButton="0" quotePrefix="0" xfId="0">
      <alignment vertical="top" wrapText="1"/>
    </xf>
    <xf numFmtId="0" fontId="137" fillId="64" borderId="0" pivotButton="0" quotePrefix="0" xfId="0"/>
    <xf numFmtId="0" fontId="144" fillId="0" borderId="0" applyAlignment="1" pivotButton="0" quotePrefix="0" xfId="0">
      <alignment vertical="center" wrapText="1"/>
    </xf>
    <xf numFmtId="0" fontId="145" fillId="0" borderId="0" applyAlignment="1" pivotButton="0" quotePrefix="0" xfId="0">
      <alignment vertical="center" wrapText="1"/>
    </xf>
    <xf numFmtId="0" fontId="146" fillId="0" borderId="0" applyAlignment="1" pivotButton="0" quotePrefix="0" xfId="0">
      <alignment vertical="center" wrapText="1"/>
    </xf>
    <xf numFmtId="0" fontId="147" fillId="0" borderId="0" applyAlignment="1" pivotButton="0" quotePrefix="0" xfId="0">
      <alignment vertical="center" wrapText="1"/>
    </xf>
    <xf numFmtId="0" fontId="148" fillId="0" borderId="0" applyAlignment="1" pivotButton="0" quotePrefix="0" xfId="0">
      <alignment vertical="center" wrapText="1"/>
    </xf>
    <xf numFmtId="0" fontId="0" fillId="0" borderId="0" applyAlignment="1" pivotButton="0" quotePrefix="0" xfId="0">
      <alignment vertical="center" wrapText="1"/>
    </xf>
    <xf numFmtId="0" fontId="149" fillId="0" borderId="0" applyAlignment="1" pivotButton="0" quotePrefix="0" xfId="0">
      <alignment vertical="center" wrapText="1"/>
    </xf>
    <xf numFmtId="0" fontId="0" fillId="65" borderId="0" applyAlignment="1" pivotButton="0" quotePrefix="0" xfId="0">
      <alignment vertical="center" wrapText="1"/>
    </xf>
    <xf numFmtId="0" fontId="0" fillId="66" borderId="0" applyAlignment="1" pivotButton="0" quotePrefix="0" xfId="0">
      <alignment vertical="center" wrapText="1"/>
    </xf>
    <xf numFmtId="0" fontId="0" fillId="67" borderId="0" applyAlignment="1" pivotButton="0" quotePrefix="0" xfId="0">
      <alignment vertical="center" wrapText="1"/>
    </xf>
    <xf numFmtId="0" fontId="153" fillId="0" borderId="0" applyAlignment="1" pivotButton="0" quotePrefix="0" xfId="0">
      <alignment vertical="top" wrapText="1"/>
    </xf>
    <xf numFmtId="0" fontId="150" fillId="0" borderId="0" applyAlignment="1" pivotButton="0" quotePrefix="0" xfId="0">
      <alignment vertical="center" wrapText="1"/>
    </xf>
    <xf numFmtId="0" fontId="151" fillId="0" borderId="0" applyAlignment="1" pivotButton="0" quotePrefix="0" xfId="0">
      <alignment vertical="center" wrapText="1"/>
    </xf>
    <xf numFmtId="0" fontId="152" fillId="0" borderId="0" applyAlignment="1" pivotButton="0" quotePrefix="0" xfId="0">
      <alignment vertical="center" wrapText="1"/>
    </xf>
    <xf numFmtId="0" fontId="154" fillId="62" borderId="0" pivotButton="0" quotePrefix="0" xfId="0"/>
    <xf numFmtId="0" fontId="137" fillId="63" borderId="0" pivotButton="0" quotePrefix="0" xfId="0"/>
    <xf numFmtId="0" fontId="155" fillId="68" borderId="0" applyAlignment="1" pivotButton="0" quotePrefix="0" xfId="0">
      <alignment vertical="center" wrapText="1"/>
    </xf>
    <xf numFmtId="0" fontId="156" fillId="69" borderId="0" applyAlignment="1" pivotButton="0" quotePrefix="0" xfId="0">
      <alignment vertical="center" wrapText="1"/>
    </xf>
    <xf numFmtId="0" fontId="157" fillId="70" borderId="0" applyAlignment="1" pivotButton="0" quotePrefix="0" xfId="0">
      <alignment vertical="center" wrapText="1"/>
    </xf>
    <xf numFmtId="0" fontId="158" fillId="0" borderId="0" applyAlignment="1" pivotButton="0" quotePrefix="0" xfId="0">
      <alignment vertical="center" wrapText="1"/>
    </xf>
    <xf numFmtId="0" fontId="135" fillId="62" borderId="0" applyAlignment="1" pivotButton="0" quotePrefix="0" xfId="0">
      <alignment horizontal="left" vertical="center" wrapText="1"/>
    </xf>
    <xf numFmtId="0" fontId="135" fillId="71" borderId="0" pivotButton="0" quotePrefix="0" xfId="0"/>
    <xf numFmtId="0" fontId="137" fillId="72" borderId="0" applyAlignment="1" pivotButton="0" quotePrefix="0" xfId="0">
      <alignment horizontal="center" vertical="center" wrapText="1"/>
    </xf>
    <xf numFmtId="0" fontId="144" fillId="0" borderId="0" applyAlignment="1" pivotButton="0" quotePrefix="0" xfId="0">
      <alignment vertical="top" wrapText="1"/>
    </xf>
    <xf numFmtId="0" fontId="144" fillId="73" borderId="0" applyAlignment="1" pivotButton="0" quotePrefix="0" xfId="0">
      <alignment vertical="top" wrapText="1"/>
    </xf>
    <xf numFmtId="0" fontId="138" fillId="72" borderId="0" pivotButton="0" quotePrefix="0" xfId="0"/>
    <xf numFmtId="0" fontId="159" fillId="73" borderId="0" applyAlignment="1" pivotButton="0" quotePrefix="0" xfId="0">
      <alignment vertical="top" wrapText="1"/>
    </xf>
    <xf numFmtId="0" fontId="139" fillId="73" borderId="0" applyAlignment="1" pivotButton="0" quotePrefix="0" xfId="0">
      <alignment vertical="top" wrapText="1"/>
    </xf>
    <xf numFmtId="0" fontId="0" fillId="73" borderId="0" applyAlignment="1" pivotButton="0" quotePrefix="0" xfId="0">
      <alignment vertical="top" wrapText="1"/>
    </xf>
    <xf numFmtId="0" fontId="138" fillId="71" borderId="0" pivotButton="0" quotePrefix="0" xfId="0"/>
    <xf numFmtId="0" fontId="139" fillId="75" borderId="0" pivotButton="0" quotePrefix="0" xfId="0"/>
    <xf numFmtId="0" fontId="0" fillId="75" borderId="0" pivotButton="0" quotePrefix="0" xfId="0"/>
    <xf numFmtId="0" fontId="0" fillId="75" borderId="0" applyAlignment="1" pivotButton="0" quotePrefix="0" xfId="0">
      <alignment vertical="top" wrapText="1"/>
    </xf>
    <xf numFmtId="0" fontId="138" fillId="74" borderId="0" pivotButton="0" quotePrefix="0" xfId="0"/>
    <xf numFmtId="0" fontId="139" fillId="77" borderId="0" pivotButton="0" quotePrefix="0" xfId="0"/>
    <xf numFmtId="0" fontId="0" fillId="77" borderId="0" pivotButton="0" quotePrefix="0" xfId="0"/>
    <xf numFmtId="0" fontId="144" fillId="77" borderId="0" applyAlignment="1" pivotButton="0" quotePrefix="0" xfId="0">
      <alignment vertical="top" wrapText="1"/>
    </xf>
    <xf numFmtId="0" fontId="138" fillId="76" borderId="0" pivotButton="0" quotePrefix="0" xfId="0"/>
    <xf numFmtId="0" fontId="139" fillId="75" borderId="0" applyAlignment="1" pivotButton="0" quotePrefix="0" xfId="0">
      <alignment vertical="top" wrapText="1"/>
    </xf>
    <xf numFmtId="0" fontId="139" fillId="77" borderId="0" applyAlignment="1" pivotButton="0" quotePrefix="0" xfId="0">
      <alignment vertical="top" wrapText="1"/>
    </xf>
    <xf numFmtId="0" fontId="0" fillId="77" borderId="0" applyAlignment="1" pivotButton="0" quotePrefix="0" xfId="0">
      <alignment vertical="top" wrapText="1"/>
    </xf>
    <xf numFmtId="0" fontId="160" fillId="78" borderId="0" applyAlignment="1" pivotButton="0" quotePrefix="0" xfId="0">
      <alignment vertical="top" wrapText="1"/>
    </xf>
    <xf numFmtId="0" fontId="139" fillId="78" borderId="0" applyAlignment="1" pivotButton="0" quotePrefix="0" xfId="0">
      <alignment vertical="top" wrapText="1"/>
    </xf>
    <xf numFmtId="0" fontId="144" fillId="78" borderId="0" applyAlignment="1" pivotButton="0" quotePrefix="0" xfId="0">
      <alignment vertical="top" wrapText="1"/>
    </xf>
    <xf numFmtId="0" fontId="0" fillId="78" borderId="0" applyAlignment="1" pivotButton="0" quotePrefix="0" xfId="0">
      <alignment vertical="top" wrapText="1"/>
    </xf>
    <xf numFmtId="0" fontId="154" fillId="71" borderId="0" pivotButton="0" quotePrefix="0" xfId="0"/>
    <xf numFmtId="0" fontId="160" fillId="79" borderId="0" applyAlignment="1" pivotButton="0" quotePrefix="0" xfId="0">
      <alignment vertical="top" wrapText="1"/>
    </xf>
    <xf numFmtId="0" fontId="139" fillId="79" borderId="0" applyAlignment="1" pivotButton="0" quotePrefix="0" xfId="0">
      <alignment vertical="top" wrapText="1"/>
    </xf>
    <xf numFmtId="0" fontId="144" fillId="79" borderId="0" applyAlignment="1" pivotButton="0" quotePrefix="0" xfId="0">
      <alignment vertical="top" wrapText="1"/>
    </xf>
    <xf numFmtId="0" fontId="0" fillId="79" borderId="0" applyAlignment="1" pivotButton="0" quotePrefix="0" xfId="0">
      <alignment vertical="top" wrapText="1"/>
    </xf>
    <xf numFmtId="0" fontId="160" fillId="80" borderId="0" applyAlignment="1" pivotButton="0" quotePrefix="0" xfId="0">
      <alignment vertical="top" wrapText="1"/>
    </xf>
    <xf numFmtId="0" fontId="139" fillId="80" borderId="0" applyAlignment="1" pivotButton="0" quotePrefix="0" xfId="0">
      <alignment vertical="top" wrapText="1"/>
    </xf>
    <xf numFmtId="0" fontId="144" fillId="80" borderId="0" applyAlignment="1" pivotButton="0" quotePrefix="0" xfId="0">
      <alignment vertical="top" wrapText="1"/>
    </xf>
    <xf numFmtId="0" fontId="0" fillId="80" borderId="0" applyAlignment="1" pivotButton="0" quotePrefix="0" xfId="0">
      <alignment vertical="top" wrapText="1"/>
    </xf>
    <xf numFmtId="0" fontId="160" fillId="73" borderId="0" applyAlignment="1" pivotButton="0" quotePrefix="0" xfId="0">
      <alignment vertical="top" wrapText="1"/>
    </xf>
    <xf numFmtId="0" fontId="137" fillId="72" borderId="0" pivotButton="0" quotePrefix="0" xfId="0"/>
    <xf numFmtId="0" fontId="144" fillId="75" borderId="0" applyAlignment="1" pivotButton="0" quotePrefix="0" xfId="0">
      <alignment vertical="top" wrapText="1"/>
    </xf>
    <xf numFmtId="0" fontId="140" fillId="77" borderId="0" applyAlignment="1" pivotButton="0" quotePrefix="0" xfId="0">
      <alignment vertical="top" wrapText="1"/>
    </xf>
    <xf numFmtId="0" fontId="154" fillId="76" borderId="0" pivotButton="0" quotePrefix="0" xfId="0"/>
    <xf numFmtId="0" fontId="162" fillId="78" borderId="0" applyAlignment="1" pivotButton="0" quotePrefix="0" xfId="0">
      <alignment vertical="top" wrapText="1"/>
    </xf>
    <xf numFmtId="0" fontId="163" fillId="0" borderId="0" applyAlignment="1" pivotButton="0" quotePrefix="0" xfId="0">
      <alignment vertical="top" wrapText="1"/>
    </xf>
    <xf numFmtId="0" fontId="161" fillId="0" borderId="0" applyAlignment="1" pivotButton="0" quotePrefix="0" xfId="0">
      <alignment vertical="top" wrapText="1"/>
    </xf>
    <xf numFmtId="0" fontId="164" fillId="0" borderId="0" applyAlignment="1" pivotButton="0" quotePrefix="0" xfId="0">
      <alignment vertical="top" wrapText="1"/>
    </xf>
    <xf numFmtId="0" fontId="165" fillId="0" borderId="0" applyAlignment="1" pivotButton="0" quotePrefix="0" xfId="0">
      <alignment vertical="top" wrapText="1"/>
    </xf>
    <xf numFmtId="0" fontId="162" fillId="79" borderId="0" applyAlignment="1" pivotButton="0" quotePrefix="0" xfId="0">
      <alignment vertical="top" wrapText="1"/>
    </xf>
    <xf numFmtId="0" fontId="162" fillId="80" borderId="0" applyAlignment="1" pivotButton="0" quotePrefix="0" xfId="0">
      <alignment vertical="top" wrapText="1"/>
    </xf>
    <xf numFmtId="0" fontId="162" fillId="73" borderId="0" applyAlignment="1" pivotButton="0" quotePrefix="0" xfId="0">
      <alignment vertical="top" wrapText="1"/>
    </xf>
    <xf numFmtId="0" fontId="162" fillId="75" borderId="0" applyAlignment="1" pivotButton="0" quotePrefix="0" xfId="0">
      <alignment vertical="top" wrapText="1"/>
    </xf>
    <xf numFmtId="0" fontId="144" fillId="0" borderId="0" applyAlignment="1" pivotButton="0" quotePrefix="0" xfId="0">
      <alignment wrapText="1"/>
    </xf>
    <xf numFmtId="0" fontId="137" fillId="74" borderId="0" pivotButton="0" quotePrefix="0" xfId="0"/>
    <xf numFmtId="0" fontId="137" fillId="71" borderId="0" pivotButton="0" quotePrefix="0" xfId="0"/>
    <xf numFmtId="0" fontId="163" fillId="77" borderId="0" applyAlignment="1" pivotButton="0" quotePrefix="0" xfId="0">
      <alignment vertical="top" wrapText="1"/>
    </xf>
    <xf numFmtId="0" fontId="154" fillId="72" borderId="0" pivotButton="0" quotePrefix="0" xfId="0"/>
    <xf numFmtId="0" fontId="163" fillId="78" borderId="0" applyAlignment="1" pivotButton="0" quotePrefix="0" xfId="0">
      <alignment vertical="top" wrapText="1"/>
    </xf>
    <xf numFmtId="0" fontId="0" fillId="78" borderId="0" pivotButton="0" quotePrefix="0" xfId="0"/>
    <xf numFmtId="0" fontId="163" fillId="75" borderId="0" applyAlignment="1" pivotButton="0" quotePrefix="0" xfId="0">
      <alignment vertical="top" wrapText="1"/>
    </xf>
    <xf numFmtId="0" fontId="140" fillId="73" borderId="0" applyAlignment="1" pivotButton="0" quotePrefix="0" xfId="0">
      <alignment vertical="top" wrapText="1"/>
    </xf>
    <xf numFmtId="0" fontId="140" fillId="75" borderId="0" applyAlignment="1" pivotButton="0" quotePrefix="0" xfId="0">
      <alignment vertical="top" wrapText="1"/>
    </xf>
    <xf numFmtId="0" fontId="163" fillId="73" borderId="0" applyAlignment="1" pivotButton="0" quotePrefix="0" xfId="0">
      <alignment vertical="top" wrapText="1"/>
    </xf>
    <xf numFmtId="0" fontId="166" fillId="77" borderId="0" applyAlignment="1" pivotButton="0" quotePrefix="0" xfId="0">
      <alignment vertical="top" wrapText="1"/>
    </xf>
    <xf numFmtId="0" fontId="163" fillId="81" borderId="0" applyAlignment="1" pivotButton="0" quotePrefix="0" xfId="0">
      <alignment vertical="top" wrapText="1"/>
    </xf>
    <xf numFmtId="0" fontId="144" fillId="81" borderId="0" applyAlignment="1" pivotButton="0" quotePrefix="0" xfId="0">
      <alignment vertical="top" wrapText="1"/>
    </xf>
    <xf numFmtId="0" fontId="0" fillId="81" borderId="0" applyAlignment="1" pivotButton="0" quotePrefix="0" xfId="0">
      <alignment vertical="top" wrapText="1"/>
    </xf>
    <xf numFmtId="0" fontId="154" fillId="82" borderId="0" pivotButton="0" quotePrefix="0" xfId="0"/>
    <xf numFmtId="0" fontId="163" fillId="83" borderId="0" applyAlignment="1" pivotButton="0" quotePrefix="0" xfId="0">
      <alignment vertical="top" wrapText="1"/>
    </xf>
    <xf numFmtId="0" fontId="144" fillId="83" borderId="0" applyAlignment="1" pivotButton="0" quotePrefix="0" xfId="0">
      <alignment vertical="top" wrapText="1"/>
    </xf>
    <xf numFmtId="0" fontId="0" fillId="83" borderId="0" applyAlignment="1" pivotButton="0" quotePrefix="0" xfId="0">
      <alignment vertical="top" wrapText="1"/>
    </xf>
    <xf numFmtId="0" fontId="144" fillId="12" borderId="1" applyAlignment="1" pivotButton="0" quotePrefix="0" xfId="0">
      <alignment vertical="top" wrapText="1"/>
    </xf>
    <xf numFmtId="0" fontId="144" fillId="11" borderId="1" applyAlignment="1" pivotButton="0" quotePrefix="0" xfId="0">
      <alignment vertical="top" wrapText="1"/>
    </xf>
    <xf numFmtId="0" fontId="144" fillId="4" borderId="1" applyAlignment="1" pivotButton="0" quotePrefix="0" xfId="0">
      <alignment vertical="top" wrapText="1"/>
    </xf>
    <xf numFmtId="0" fontId="140" fillId="0" borderId="0" applyAlignment="1" pivotButton="0" quotePrefix="0" xfId="0">
      <alignment vertical="top" wrapText="1"/>
    </xf>
    <xf numFmtId="0" fontId="144" fillId="19" borderId="0" applyAlignment="1" pivotButton="0" quotePrefix="0" xfId="0">
      <alignment vertical="top" wrapText="1"/>
    </xf>
    <xf numFmtId="0" fontId="144" fillId="16" borderId="0" applyAlignment="1" pivotButton="0" quotePrefix="0" xfId="0">
      <alignment vertical="top" wrapText="1"/>
    </xf>
    <xf numFmtId="0" fontId="144" fillId="12" borderId="0" applyAlignment="1" pivotButton="0" quotePrefix="0" xfId="0">
      <alignment vertical="top" wrapText="1"/>
    </xf>
    <xf numFmtId="0" fontId="140" fillId="84" borderId="8" applyAlignment="1" pivotButton="0" quotePrefix="0" xfId="0">
      <alignment vertical="top" wrapText="1"/>
    </xf>
    <xf numFmtId="0" fontId="140" fillId="77" borderId="8" applyAlignment="1" pivotButton="0" quotePrefix="0" xfId="0">
      <alignment vertical="top" wrapText="1"/>
    </xf>
    <xf numFmtId="0" fontId="140" fillId="85" borderId="8" applyAlignment="1" pivotButton="0" quotePrefix="0" xfId="0">
      <alignment vertical="top" wrapText="1"/>
    </xf>
    <xf numFmtId="0" fontId="140" fillId="16" borderId="1" applyAlignment="1" pivotButton="0" quotePrefix="0" xfId="0">
      <alignment vertical="top" wrapText="1"/>
    </xf>
    <xf numFmtId="0" fontId="139" fillId="22" borderId="1" applyAlignment="1" pivotButton="0" quotePrefix="0" xfId="0">
      <alignment horizontal="left" vertical="center" wrapText="1"/>
    </xf>
    <xf numFmtId="0" fontId="140" fillId="18" borderId="1" applyAlignment="1" pivotButton="0" quotePrefix="0" xfId="0">
      <alignment vertical="top" wrapText="1"/>
    </xf>
    <xf numFmtId="0" fontId="139" fillId="17" borderId="1" applyAlignment="1" pivotButton="0" quotePrefix="0" xfId="0">
      <alignment horizontal="left" vertical="center" wrapText="1"/>
    </xf>
    <xf numFmtId="0" fontId="139" fillId="45" borderId="1" applyAlignment="1" pivotButton="0" quotePrefix="0" xfId="0">
      <alignment horizontal="left" vertical="center" wrapText="1"/>
    </xf>
    <xf numFmtId="0" fontId="161" fillId="77" borderId="0" pivotButton="0" quotePrefix="0" xfId="0"/>
    <xf numFmtId="0" fontId="137" fillId="71" borderId="0" applyAlignment="1" pivotButton="0" quotePrefix="0" xfId="0">
      <alignment horizontal="center" vertical="center" wrapText="1"/>
    </xf>
    <xf numFmtId="0" fontId="144" fillId="86" borderId="8" applyAlignment="1" pivotButton="0" quotePrefix="0" xfId="0">
      <alignment vertical="top" wrapText="1"/>
    </xf>
    <xf numFmtId="0" fontId="163" fillId="86" borderId="8" applyAlignment="1" pivotButton="0" quotePrefix="0" xfId="0">
      <alignment vertical="top" wrapText="1"/>
    </xf>
    <xf numFmtId="0" fontId="167" fillId="76" borderId="0" applyAlignment="1" pivotButton="0" quotePrefix="0" xfId="0">
      <alignment horizontal="center" vertical="center" wrapText="1"/>
    </xf>
    <xf numFmtId="0" fontId="167" fillId="87" borderId="0" applyAlignment="1" pivotButton="0" quotePrefix="0" xfId="0">
      <alignment horizontal="center" vertical="center" wrapText="1"/>
    </xf>
    <xf numFmtId="0" fontId="167" fillId="88" borderId="0" applyAlignment="1" pivotButton="0" quotePrefix="0" xfId="0">
      <alignment horizontal="center" vertical="center" wrapText="1"/>
    </xf>
    <xf numFmtId="0" fontId="167" fillId="89" borderId="0" applyAlignment="1" pivotButton="0" quotePrefix="0" xfId="0">
      <alignment horizontal="center" vertical="center" wrapText="1"/>
    </xf>
    <xf numFmtId="0" fontId="167" fillId="90" borderId="0" applyAlignment="1" pivotButton="0" quotePrefix="0" xfId="0">
      <alignment horizontal="center" vertical="center" wrapText="1"/>
    </xf>
    <xf numFmtId="0" fontId="168" fillId="77"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EF9E7"/>
      <rgbColor rgb="FFF5F5F5"/>
      <rgbColor rgb="FF1A2A36"/>
      <rgbColor rgb="FFFFF0CC"/>
      <rgbColor rgb="FFF5EEF8"/>
      <rgbColor rgb="FFE8F4FD"/>
      <rgbColor rgb="FF920705"/>
      <rgbColor rgb="FF075D3A"/>
      <rgbColor rgb="FF151C24"/>
      <rgbColor rgb="FF7F6200"/>
      <rgbColor rgb="FF222222"/>
      <rgbColor rgb="FF0B8C7C"/>
      <rgbColor rgb="FFE2EFDA"/>
      <rgbColor rgb="FF115184"/>
      <rgbColor rgb="FFE8F0FA"/>
      <rgbColor rgb="FF7D3F00"/>
      <rgbColor rgb="FFFEFBD8"/>
      <rgbColor rgb="FFD6EAF8"/>
      <rgbColor rgb="FF3D2551"/>
      <rgbColor rgb="FFC45F00"/>
      <rgbColor rgb="FF0D61A9"/>
      <rgbColor rgb="FFD4D3E0"/>
      <rgbColor rgb="FF1A2A3C"/>
      <rgbColor rgb="FFFDF5F5"/>
      <rgbColor rgb="FFFFF8E1"/>
      <rgbColor rgb="FFEBF5FB"/>
      <rgbColor rgb="FF1B2631"/>
      <rgbColor rgb="FF9C2112"/>
      <rgbColor rgb="FF195EA4"/>
      <rgbColor rgb="FFF4F6F9"/>
      <rgbColor rgb="FFF2F3F4"/>
      <rgbColor rgb="FFEAFAF3"/>
      <rgbColor rgb="FFD4EDDA"/>
      <rgbColor rgb="FFFFF3CD"/>
      <rgbColor rgb="FFE8EAF6"/>
      <rgbColor rgb="FFFCE4D6"/>
      <rgbColor rgb="FFEDE9FE"/>
      <rgbColor rgb="FFFEE4D4"/>
      <rgbColor rgb="FF1F5C9E"/>
      <rgbColor rgb="FFEAF0F6"/>
      <rgbColor rgb="FFEAF3DE"/>
      <rgbColor rgb="FFFFC000"/>
      <rgbColor rgb="FFF39C12"/>
      <rgbColor rgb="FFE74C3C"/>
      <rgbColor rgb="FF484A4B"/>
      <rgbColor rgb="FF898D96"/>
      <rgbColor rgb="FF1A2B3C"/>
      <rgbColor rgb="FF3B6D11"/>
      <rgbColor rgb="FF17202A"/>
      <rgbColor rgb="FF343035"/>
      <rgbColor rgb="FF92400E"/>
      <rgbColor rgb="FFC05621"/>
      <rgbColor rgb="FF27266E"/>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9"/>
  <sheetViews>
    <sheetView showGridLines="0" zoomScaleNormal="100" workbookViewId="0">
      <selection activeCell="A1" sqref="A1"/>
    </sheetView>
  </sheetViews>
  <sheetFormatPr baseColWidth="10" defaultColWidth="8.6640625" defaultRowHeight="15"/>
  <cols>
    <col width="2" customWidth="1" style="435" min="1" max="1"/>
    <col width="28" customWidth="1" style="435" min="2" max="2"/>
    <col width="1" customWidth="1" style="435" min="3" max="3"/>
    <col width="12" customWidth="1" style="435" min="4" max="5"/>
    <col width="10" customWidth="1" style="435" min="6" max="6"/>
    <col width="14" customWidth="1" style="435" min="7" max="7"/>
    <col width="2" customWidth="1" style="435" min="8" max="8"/>
  </cols>
  <sheetData>
    <row r="1" ht="45.75" customHeight="1" s="435">
      <c r="A1" s="449" t="inlineStr">
        <is>
          <t xml:space="preserve">  EXECUTIVE SCORECARD  ·  ServiceBridge Franchisor GTM Engagement  ·  April – June 2026</t>
        </is>
      </c>
    </row>
    <row r="2" ht="19.5" customHeight="1" s="435">
      <c r="A2" s="460" t="inlineStr">
        <is>
          <t xml:space="preserve">  Prepared by Velocity GTM Co LLC  ·  Michael Montgomery Flynt Jr  ·  Metrics auto-update as activity is logged across all tabs</t>
        </is>
      </c>
    </row>
    <row r="3" ht="30" customHeight="1" s="435">
      <c r="B3" s="1" t="inlineStr">
        <is>
          <t>METRIC</t>
        </is>
      </c>
      <c r="D3" s="1" t="inlineStr">
        <is>
          <t>TARGET</t>
        </is>
      </c>
      <c r="E3" s="1" t="inlineStr">
        <is>
          <t>ACTUAL</t>
        </is>
      </c>
      <c r="F3" s="1" t="inlineStr">
        <is>
          <t>% TO GOAL</t>
        </is>
      </c>
      <c r="G3" s="1" t="inlineStr">
        <is>
          <t>STATUS</t>
        </is>
      </c>
    </row>
    <row r="4" ht="9.75" customHeight="1" s="435"/>
    <row r="5" ht="31.5" customHeight="1" s="435">
      <c r="B5" s="458" t="inlineStr">
        <is>
          <t>PHASE 1  ·  30-DAY  ·  DEVELOP</t>
        </is>
      </c>
    </row>
    <row r="6" ht="15.75" customHeight="1" s="435">
      <c r="B6" s="457" t="inlineStr">
        <is>
          <t xml:space="preserve">  Target: End of April 2026  ·  Build the foundation for both tracks</t>
        </is>
      </c>
    </row>
    <row r="7" ht="6" customHeight="1" s="435"/>
    <row r="8" ht="21.75" customHeight="1" s="435">
      <c r="B8" s="448" t="inlineStr">
        <is>
          <t xml:space="preserve">  TRACK 1  —  FRANCHISOR</t>
        </is>
      </c>
    </row>
    <row r="9" ht="30" customHeight="1" s="435">
      <c r="B9" s="3" t="inlineStr">
        <is>
          <t xml:space="preserve">  Franchisors Profiled (deep research complete)</t>
        </is>
      </c>
      <c r="C9" s="4" t="n"/>
      <c r="D9" s="5" t="n">
        <v>9</v>
      </c>
      <c r="E9" s="6">
        <f>COUNTIF('Track 1 · Franchisors'!D4:D12,"TIER 1")+COUNTIF('Track 1 · Franchisors'!D4:D12,"TIER 2")+COUNTIF('Track 1 · Franchisors'!D4:D12,"TIER 3")</f>
        <v/>
      </c>
      <c r="F9" s="7">
        <f>IFERROR(E9/9,0)</f>
        <v/>
      </c>
      <c r="G9" s="8">
        <f>IF(E9&gt;=9,"✅ On Track",IF(E9&gt;=9*0.7,"⚠️ At Risk","🔴 Behind"))</f>
        <v/>
      </c>
    </row>
    <row r="10" ht="30" customHeight="1" s="435">
      <c r="B10" s="9" t="inlineStr">
        <is>
          <t xml:space="preserve">  Contacts Mapped (3+ per franchisor = 27 total)</t>
        </is>
      </c>
      <c r="C10" s="10" t="n"/>
      <c r="D10" s="11" t="n">
        <v>27</v>
      </c>
      <c r="E10" s="12">
        <f>0</f>
        <v/>
      </c>
      <c r="F10" s="13">
        <f>IFERROR(E10/27,0)</f>
        <v/>
      </c>
      <c r="G10" s="14">
        <f>IF(E10&gt;=27,"✅ On Track",IF(E10&gt;=27*0.7,"⚠️ At Risk","🔴 Behind"))</f>
        <v/>
      </c>
    </row>
    <row r="11" ht="30" customHeight="1" s="435">
      <c r="B11" s="15" t="inlineStr">
        <is>
          <t xml:space="preserve">  Outreach Sequences Live (both tracks active)</t>
        </is>
      </c>
      <c r="C11" s="4" t="n"/>
      <c r="D11" s="5" t="n">
        <v>9</v>
      </c>
      <c r="E11" s="6">
        <f>COUNTIFS('Track 1 · Franchisors'!L4:L12,"Contacted")+COUNTIFS('Track 1 · Franchisors'!L4:L12,"Replied")+COUNTIFS('Track 1 · Franchisors'!L4:L12,"Call Scheduled")+COUNTIFS('Track 1 · Franchisors'!L4:L12,"Discovery Done")+COUNTIFS('Track 1 · Franchisors'!L4:L12,"Proposal Sent")+COUNTIFS('Track 1 · Franchisors'!L4:L12,"Negotiating")+COUNTIFS('Track 1 · Franchisors'!L4:L12,"Pilot Closed")</f>
        <v/>
      </c>
      <c r="F11" s="7">
        <f>IFERROR(E11/9,0)</f>
        <v/>
      </c>
      <c r="G11" s="8">
        <f>IF(E11&gt;=9,"✅ On Track",IF(E11&gt;=9*0.7,"⚠️ At Risk","🔴 Behind"))</f>
        <v/>
      </c>
    </row>
    <row r="12" ht="21.75" customHeight="1" s="435">
      <c r="B12" s="447" t="inlineStr">
        <is>
          <t xml:space="preserve">  TRACK 2  —  FRANCHISEE</t>
        </is>
      </c>
    </row>
    <row r="13" ht="30" customHeight="1" s="435">
      <c r="B13" s="16" t="inlineStr">
        <is>
          <t xml:space="preserve">  Franchisee Brands Scored (all 85 in database)</t>
        </is>
      </c>
      <c r="C13" s="10" t="n"/>
      <c r="D13" s="11" t="n">
        <v>85</v>
      </c>
      <c r="E13" s="12">
        <f>COUNTA('Track 2 · Franchisees'!B4:B88)-COUNTBLANK('Track 2 · Franchisees'!B4:B88)</f>
        <v/>
      </c>
      <c r="F13" s="13">
        <f>IFERROR(E13/85,0)</f>
        <v/>
      </c>
      <c r="G13" s="14">
        <f>IF(E13&gt;=85,"✅ On Track",IF(E13&gt;=85*0.7,"⚠️ At Risk","🔴 Behind"))</f>
        <v/>
      </c>
    </row>
    <row r="14" ht="30" customHeight="1" s="435">
      <c r="B14" s="15" t="inlineStr">
        <is>
          <t xml:space="preserve">  Contacts Validated (one per brand)</t>
        </is>
      </c>
      <c r="C14" s="4" t="n"/>
      <c r="D14" s="5" t="n">
        <v>85</v>
      </c>
      <c r="E14" s="6">
        <f>COUNTA('Track 2 · Franchisees'!J4:J88)-COUNTIF('Track 2 · Franchisees'!J4:J88,"(Franchisee Owner)")-COUNTIF('Track 2 · Franchisees'!J4:J88,"(TBD — Research)")-COUNTIF('Track 2 · Franchisees'!J4:J88,"")</f>
        <v/>
      </c>
      <c r="F14" s="7">
        <f>IFERROR(E14/85,0)</f>
        <v/>
      </c>
      <c r="G14" s="8">
        <f>IF(E14&gt;=85,"✅ On Track",IF(E14&gt;=85*0.7,"⚠️ At Risk","🔴 Behind"))</f>
        <v/>
      </c>
    </row>
    <row r="15" ht="30" customHeight="1" s="435">
      <c r="B15" s="9" t="inlineStr">
        <is>
          <t xml:space="preserve">  Outreach Sequences Live (brands contacted)</t>
        </is>
      </c>
      <c r="C15" s="10" t="n"/>
      <c r="D15" s="11" t="n">
        <v>85</v>
      </c>
      <c r="E15" s="12">
        <f>COUNTIFS('Track 2 · Franchisees'!L4:L88,"Contacted")+COUNTIFS('Track 2 · Franchisees'!L4:L88,"Replied")+COUNTIFS('Track 2 · Franchisees'!L4:L88,"Call Scheduled")+COUNTIFS('Track 2 · Franchisees'!L4:L88,"Discovery Done")+COUNTIFS('Track 2 · Franchisees'!L4:L88,"Proposal Sent")+COUNTIFS('Track 2 · Franchisees'!L4:L88,"Negotiating")+COUNTIFS('Track 2 · Franchisees'!L4:L88,"Pilot Closed")</f>
        <v/>
      </c>
      <c r="F15" s="13">
        <f>IFERROR(E15/85,0)</f>
        <v/>
      </c>
      <c r="G15" s="14">
        <f>IF(E15&gt;=85,"✅ On Track",IF(E15&gt;=85*0.7,"⚠️ At Risk","🔴 Behind"))</f>
        <v/>
      </c>
    </row>
    <row r="16" ht="21.75" customHeight="1" s="435">
      <c r="B16" s="463" t="inlineStr">
        <is>
          <t xml:space="preserve">  ENGAGEMENT ACTIVITY  —  CRM LOG</t>
        </is>
      </c>
    </row>
    <row r="17" ht="30" customHeight="1" s="435">
      <c r="B17" s="15" t="inlineStr">
        <is>
          <t xml:space="preserve">  Total Touchpoints Logged (all channels)</t>
        </is>
      </c>
      <c r="C17" s="4" t="n"/>
      <c r="D17" s="5" t="n">
        <v>30</v>
      </c>
      <c r="E17" s="6">
        <f>COUNTA('Engagement Log'!B5:B80)-COUNTBLANK('Engagement Log'!B5:B80)</f>
        <v/>
      </c>
      <c r="F17" s="7">
        <f>IFERROR(E17/30,0)</f>
        <v/>
      </c>
      <c r="G17" s="8">
        <f>IF(E17&gt;=30,"✅ On Track",IF(E17&gt;=30*0.7,"⚠️ At Risk","🔴 Behind"))</f>
        <v/>
      </c>
    </row>
    <row r="18" ht="30" customHeight="1" s="435">
      <c r="B18" s="9" t="inlineStr">
        <is>
          <t xml:space="preserve">  Positive Outcomes (replied, calls, meetings)</t>
        </is>
      </c>
      <c r="C18" s="10" t="n"/>
      <c r="D18" s="11" t="n">
        <v>5</v>
      </c>
      <c r="E18" s="12">
        <f>COUNTIF('Engagement Log'!I5:I80,"Replied – Positive")+COUNTIF('Engagement Log'!I5:I80,"Call Scheduled")+COUNTIF('Engagement Log'!I5:I80,"Call Complete")+COUNTIF('Engagement Log'!I5:I80,"Meeting Complete")+COUNTIF('Engagement Log'!I5:I80,"Pilot Agreed")</f>
        <v/>
      </c>
      <c r="F18" s="13">
        <f>IFERROR(E18/5,0)</f>
        <v/>
      </c>
      <c r="G18" s="14">
        <f>IF(E18&gt;=5,"✅ On Track",IF(E18&gt;=5*0.7,"⚠️ At Risk","🔴 Behind"))</f>
        <v/>
      </c>
    </row>
    <row r="19" ht="12" customHeight="1" s="435"/>
    <row r="20" ht="31.5" customHeight="1" s="435">
      <c r="B20" s="459" t="inlineStr">
        <is>
          <t>PHASE 2  ·  60-DAY  ·  ENGAGE</t>
        </is>
      </c>
    </row>
    <row r="21" ht="15.75" customHeight="1" s="435">
      <c r="B21" s="465" t="inlineStr">
        <is>
          <t xml:space="preserve">  Target: End of May 2026  ·  Drive active conversations on both tracks</t>
        </is>
      </c>
    </row>
    <row r="22" ht="6" customHeight="1" s="435"/>
    <row r="23" ht="21.75" customHeight="1" s="435">
      <c r="B23" s="448" t="inlineStr">
        <is>
          <t xml:space="preserve">  TRACK 1  —  FRANCHISOR</t>
        </is>
      </c>
    </row>
    <row r="24" ht="30" customHeight="1" s="435">
      <c r="B24" s="3" t="inlineStr">
        <is>
          <t xml:space="preserve">  Franchisors in Active Conversation</t>
        </is>
      </c>
      <c r="C24" s="4" t="n"/>
      <c r="D24" s="5" t="n">
        <v>3</v>
      </c>
      <c r="E24" s="6">
        <f>COUNTIFS('Track 1 · Franchisors'!L4:L12,"Discovery Done")+COUNTIFS('Track 1 · Franchisors'!L4:L12,"Proposal Sent")+COUNTIFS('Track 1 · Franchisors'!L4:L12,"Negotiating")+COUNTIFS('Track 1 · Franchisors'!L4:L12,"Pilot Closed")</f>
        <v/>
      </c>
      <c r="F24" s="7">
        <f>IFERROR(E24/3,0)</f>
        <v/>
      </c>
      <c r="G24" s="8">
        <f>IF(E24&gt;=3,"✅ On Track",IF(E24&gt;=3*0.7,"⚠️ At Risk","🔴 Behind"))</f>
        <v/>
      </c>
    </row>
    <row r="25" ht="30" customHeight="1" s="435">
      <c r="B25" s="9" t="inlineStr">
        <is>
          <t xml:space="preserve">  Mandate Validated (confirmed at franchisor level)</t>
        </is>
      </c>
      <c r="C25" s="10" t="n"/>
      <c r="D25" s="17" t="inlineStr">
        <is>
          <t>3 req.</t>
        </is>
      </c>
      <c r="E25" s="12">
        <f>0</f>
        <v/>
      </c>
      <c r="F25" s="18" t="inlineStr">
        <is>
          <t>—</t>
        </is>
      </c>
      <c r="G25" s="19" t="inlineStr">
        <is>
          <t>Manual</t>
        </is>
      </c>
    </row>
    <row r="26" ht="30" customHeight="1" s="435">
      <c r="B26" s="15" t="inlineStr">
        <is>
          <t xml:space="preserve">  Franchisor Discovery Calls Completed</t>
        </is>
      </c>
      <c r="C26" s="4" t="n"/>
      <c r="D26" s="5" t="n">
        <v>3</v>
      </c>
      <c r="E26" s="6">
        <f>COUNTIF('Engagement Log'!H5:H80,"Discovery Call")</f>
        <v/>
      </c>
      <c r="F26" s="7">
        <f>IFERROR(E26/3,0)</f>
        <v/>
      </c>
      <c r="G26" s="8">
        <f>IF(E26&gt;=3,"✅ On Track",IF(E26&gt;=3*0.7,"⚠️ At Risk","🔴 Behind"))</f>
        <v/>
      </c>
    </row>
    <row r="27" ht="30" customHeight="1" s="435">
      <c r="B27" s="9" t="inlineStr">
        <is>
          <t xml:space="preserve">  Proposals / ROI Models Submitted</t>
        </is>
      </c>
      <c r="C27" s="10" t="n"/>
      <c r="D27" s="11" t="n">
        <v>1</v>
      </c>
      <c r="E27" s="12">
        <f>COUNTIFS('Track 1 · Franchisors'!L4:L12,"Proposal Sent")+COUNTIFS('Track 1 · Franchisors'!L4:L12,"Negotiating")</f>
        <v/>
      </c>
      <c r="F27" s="13">
        <f>IFERROR(E27/1,0)</f>
        <v/>
      </c>
      <c r="G27" s="14">
        <f>IF(E27&gt;=1,"✅ On Track",IF(E27&gt;=1*0.7,"⚠️ At Risk","🔴 Behind"))</f>
        <v/>
      </c>
    </row>
    <row r="28" ht="21.75" customHeight="1" s="435">
      <c r="B28" s="447" t="inlineStr">
        <is>
          <t xml:space="preserve">  TRACK 2  —  FRANCHISEE</t>
        </is>
      </c>
    </row>
    <row r="29" ht="30" customHeight="1" s="435">
      <c r="B29" s="3" t="inlineStr">
        <is>
          <t xml:space="preserve">  Franchisees Engaged (in active conversation)</t>
        </is>
      </c>
      <c r="C29" s="4" t="n"/>
      <c r="D29" s="5" t="n">
        <v>25</v>
      </c>
      <c r="E29" s="6">
        <f>COUNTIFS('Track 2 · Franchisees'!L4:L88,"Replied")+COUNTIFS('Track 2 · Franchisees'!L4:L88,"Call Scheduled")+COUNTIFS('Track 2 · Franchisees'!L4:L88,"Discovery Done")+COUNTIFS('Track 2 · Franchisees'!L4:L88,"Proposal Sent")+COUNTIFS('Track 2 · Franchisees'!L4:L88,"Negotiating")+COUNTIFS('Track 2 · Franchisees'!L4:L88,"Pilot Closed")</f>
        <v/>
      </c>
      <c r="F29" s="7">
        <f>IFERROR(E29/25,0)</f>
        <v/>
      </c>
      <c r="G29" s="8">
        <f>IF(E29&gt;=25,"✅ On Track",IF(E29&gt;=25*0.7,"⚠️ At Risk","🔴 Behind"))</f>
        <v/>
      </c>
    </row>
    <row r="30" ht="30" customHeight="1" s="435">
      <c r="B30" s="9" t="inlineStr">
        <is>
          <t xml:space="preserve">  Confirmed Next Steps (committed to follow-up)</t>
        </is>
      </c>
      <c r="C30" s="10" t="n"/>
      <c r="D30" s="11" t="n">
        <v>10</v>
      </c>
      <c r="E30" s="12">
        <f>COUNTIFS('Track 2 · Franchisees'!L4:L88,"Call Scheduled")+COUNTIFS('Track 2 · Franchisees'!L4:L88,"Discovery Done")+COUNTIFS('Track 2 · Franchisees'!L4:L88,"Proposal Sent")+COUNTIFS('Track 2 · Franchisees'!L4:L88,"Negotiating")+COUNTIFS('Track 2 · Franchisees'!L4:L88,"Pilot Closed")</f>
        <v/>
      </c>
      <c r="F30" s="13">
        <f>IFERROR(E30/10,0)</f>
        <v/>
      </c>
      <c r="G30" s="14">
        <f>IF(E30&gt;=10,"✅ On Track",IF(E30&gt;=10*0.7,"⚠️ At Risk","🔴 Behind"))</f>
        <v/>
      </c>
    </row>
    <row r="31" ht="30" customHeight="1" s="435">
      <c r="B31" s="15" t="inlineStr">
        <is>
          <t xml:space="preserve">  Pilots Seeded (pilot conversation started)</t>
        </is>
      </c>
      <c r="C31" s="4" t="n"/>
      <c r="D31" s="20" t="inlineStr">
        <is>
          <t>3–5</t>
        </is>
      </c>
      <c r="E31" s="21">
        <f>COUNTIFS('Track 2 · Franchisees'!L4:L88,"Proposal Sent")+COUNTIFS('Track 2 · Franchisees'!L4:L88,"Negotiating")+COUNTIFS('Track 2 · Franchisees'!L4:L88,"Pilot Closed")</f>
        <v/>
      </c>
      <c r="F31" s="22" t="inlineStr">
        <is>
          <t>—</t>
        </is>
      </c>
      <c r="G31" s="19" t="inlineStr">
        <is>
          <t>Manual</t>
        </is>
      </c>
    </row>
    <row r="32" ht="30" customHeight="1" s="435">
      <c r="B32" s="9" t="inlineStr">
        <is>
          <t xml:space="preserve">  HIGH Pilot Potential Accounts Contacted</t>
        </is>
      </c>
      <c r="C32" s="10" t="n"/>
      <c r="D32" s="11" t="n">
        <v>15</v>
      </c>
      <c r="E32" s="12">
        <f>COUNTIFS('Track 2 · Franchisees'!I4:I88,"HIGH",'Track 2 · Franchisees'!L4:L88,"Contacted")+COUNTIFS('Track 2 · Franchisees'!I4:I88,"HIGH",'Track 2 · Franchisees'!L4:L88,"Replied")+COUNTIFS('Track 2 · Franchisees'!I4:I88,"HIGH",'Track 2 · Franchisees'!L4:L88,"Call Scheduled")+COUNTIFS('Track 2 · Franchisees'!I4:I88,"HIGH",'Track 2 · Franchisees'!L4:L88,"Discovery Done")+COUNTIFS('Track 2 · Franchisees'!I4:I88,"HIGH",'Track 2 · Franchisees'!L4:L88,"Proposal Sent")+COUNTIFS('Track 2 · Franchisees'!I4:I88,"HIGH",'Track 2 · Franchisees'!L4:L88,"Pilot Closed")</f>
        <v/>
      </c>
      <c r="F32" s="13">
        <f>IFERROR(E32/15,0)</f>
        <v/>
      </c>
      <c r="G32" s="14">
        <f>IF(E32&gt;=15,"✅ On Track",IF(E32&gt;=15*0.7,"⚠️ At Risk","🔴 Behind"))</f>
        <v/>
      </c>
    </row>
    <row r="33" ht="12" customHeight="1" s="435"/>
    <row r="34" ht="31.5" customHeight="1" s="435">
      <c r="B34" s="453" t="inlineStr">
        <is>
          <t>PHASE 3  ·  90-DAY  ·  CLOSE</t>
        </is>
      </c>
    </row>
    <row r="35" ht="15.75" customHeight="1" s="435">
      <c r="B35" s="461" t="inlineStr">
        <is>
          <t xml:space="preserve">  Target: End of June 2026  ·  Close pilots, advance franchisors, deliver playbook</t>
        </is>
      </c>
    </row>
    <row r="36" ht="6" customHeight="1" s="435"/>
    <row r="37" ht="21.75" customHeight="1" s="435">
      <c r="B37" s="448" t="inlineStr">
        <is>
          <t xml:space="preserve">  TRACK 1  —  FRANCHISOR</t>
        </is>
      </c>
    </row>
    <row r="38" ht="30" customHeight="1" s="435">
      <c r="B38" s="3" t="inlineStr">
        <is>
          <t xml:space="preserve">  Franchisor in Qualified Interest Discussion</t>
        </is>
      </c>
      <c r="C38" s="4" t="n"/>
      <c r="D38" s="20" t="inlineStr">
        <is>
          <t>1+ req.</t>
        </is>
      </c>
      <c r="E38" s="21">
        <f>COUNTIFS('Track 1 · Franchisors'!L4:L12,"Negotiating")+COUNTIFS('Track 1 · Franchisors'!L4:L12,"Pilot Closed")</f>
        <v/>
      </c>
      <c r="F38" s="22" t="inlineStr">
        <is>
          <t>—</t>
        </is>
      </c>
      <c r="G38" s="19" t="inlineStr">
        <is>
          <t>Manual</t>
        </is>
      </c>
    </row>
    <row r="39" ht="30" customHeight="1" s="435">
      <c r="B39" s="9" t="inlineStr">
        <is>
          <t xml:space="preserve">  Franchisor Deal in Progress / Closed</t>
        </is>
      </c>
      <c r="C39" s="10" t="n"/>
      <c r="D39" s="11" t="n">
        <v>1</v>
      </c>
      <c r="E39" s="12">
        <f>COUNTIFS('Track 1 · Franchisors'!L4:L12,"Pilot Closed")</f>
        <v/>
      </c>
      <c r="F39" s="13">
        <f>IFERROR(E39/1,0)</f>
        <v/>
      </c>
      <c r="G39" s="14">
        <f>IF(E39&gt;=1,"✅ On Track",IF(E39&gt;=1*0.7,"⚠️ At Risk","🔴 Behind"))</f>
        <v/>
      </c>
    </row>
    <row r="40" ht="30" customHeight="1" s="435">
      <c r="B40" s="15" t="inlineStr">
        <is>
          <t xml:space="preserve">  PE Warm Intros Activated (Charles path)</t>
        </is>
      </c>
      <c r="C40" s="4" t="n"/>
      <c r="D40" s="20" t="inlineStr">
        <is>
          <t>Manual</t>
        </is>
      </c>
      <c r="E40" s="6">
        <f>0</f>
        <v/>
      </c>
      <c r="F40" s="22" t="inlineStr">
        <is>
          <t>—</t>
        </is>
      </c>
      <c r="G40" s="19" t="inlineStr">
        <is>
          <t>Manual</t>
        </is>
      </c>
    </row>
    <row r="41" ht="30" customHeight="1" s="435">
      <c r="B41" s="9" t="inlineStr">
        <is>
          <t xml:space="preserve">  GTM Playbook Delivered</t>
        </is>
      </c>
      <c r="C41" s="10" t="n"/>
      <c r="D41" s="17" t="inlineStr">
        <is>
          <t>Yes/No</t>
        </is>
      </c>
      <c r="E41" s="12" t="inlineStr">
        <is>
          <t>No</t>
        </is>
      </c>
      <c r="F41" s="18" t="inlineStr">
        <is>
          <t>—</t>
        </is>
      </c>
      <c r="G41" s="19" t="inlineStr">
        <is>
          <t>Manual</t>
        </is>
      </c>
    </row>
    <row r="42" ht="21.75" customHeight="1" s="435">
      <c r="B42" s="447" t="inlineStr">
        <is>
          <t xml:space="preserve">  TRACK 2  —  FRANCHISEE</t>
        </is>
      </c>
    </row>
    <row r="43" ht="30" customHeight="1" s="435">
      <c r="B43" s="3" t="inlineStr">
        <is>
          <t xml:space="preserve">  Pilots Closed (signed agreements)</t>
        </is>
      </c>
      <c r="C43" s="4" t="n"/>
      <c r="D43" s="5" t="n">
        <v>2</v>
      </c>
      <c r="E43" s="6">
        <f>COUNTIFS('Track 2 · Franchisees'!L4:L88,"Pilot Closed")</f>
        <v/>
      </c>
      <c r="F43" s="7">
        <f>IFERROR(E43/2,0)</f>
        <v/>
      </c>
      <c r="G43" s="8">
        <f>IF(E43&gt;=2,"✅ On Track",IF(E43&gt;=2*0.7,"⚠️ At Risk","🔴 Behind"))</f>
        <v/>
      </c>
    </row>
    <row r="44" ht="30" customHeight="1" s="435">
      <c r="B44" s="9" t="inlineStr">
        <is>
          <t xml:space="preserve">  Pilots in Active Negotiation</t>
        </is>
      </c>
      <c r="C44" s="10" t="n"/>
      <c r="D44" s="11" t="n">
        <v>3</v>
      </c>
      <c r="E44" s="12">
        <f>COUNTIFS('Track 2 · Franchisees'!L4:L88,"Negotiating")</f>
        <v/>
      </c>
      <c r="F44" s="13">
        <f>IFERROR(E44/3,0)</f>
        <v/>
      </c>
      <c r="G44" s="14">
        <f>IF(E44&gt;=3,"✅ On Track",IF(E44&gt;=3*0.7,"⚠️ At Risk","🔴 Behind"))</f>
        <v/>
      </c>
    </row>
    <row r="45" ht="30" customHeight="1" s="435">
      <c r="B45" s="15" t="inlineStr">
        <is>
          <t xml:space="preserve">  Total Pipeline Value Created (Closed + Negotiating)</t>
        </is>
      </c>
      <c r="C45" s="4" t="n"/>
      <c r="D45" s="20" t="inlineStr">
        <is>
          <t>$50K+</t>
        </is>
      </c>
      <c r="E45" s="6">
        <f>0</f>
        <v/>
      </c>
      <c r="F45" s="22" t="inlineStr">
        <is>
          <t>—</t>
        </is>
      </c>
      <c r="G45" s="19" t="inlineStr">
        <is>
          <t>Manual</t>
        </is>
      </c>
    </row>
    <row r="46" ht="30" customHeight="1" s="435">
      <c r="B46" s="9" t="inlineStr">
        <is>
          <t xml:space="preserve">  Extension Plan Presented to Core Team</t>
        </is>
      </c>
      <c r="C46" s="10" t="n"/>
      <c r="D46" s="17" t="inlineStr">
        <is>
          <t>Yes/No</t>
        </is>
      </c>
      <c r="E46" s="12" t="inlineStr">
        <is>
          <t>No</t>
        </is>
      </c>
      <c r="F46" s="18" t="inlineStr">
        <is>
          <t>—</t>
        </is>
      </c>
      <c r="G46" s="19" t="inlineStr">
        <is>
          <t>Manual</t>
        </is>
      </c>
    </row>
    <row r="47" ht="13.5" customHeight="1" s="435"/>
    <row r="48" ht="31.5" customHeight="1" s="435">
      <c r="B48" s="458" t="inlineStr">
        <is>
          <t xml:space="preserve">  FRANCHISOR ACCOUNT SCORECARD  ·  Status by Account</t>
        </is>
      </c>
    </row>
    <row r="49" ht="15.75" customHeight="1" s="435">
      <c r="B49" s="455" t="inlineStr">
        <is>
          <t xml:space="preserve">  Live from Top 9 Franchisors tab  ·  Update status there and this auto-refreshes</t>
        </is>
      </c>
    </row>
    <row r="50" ht="3.75" customHeight="1" s="435"/>
    <row r="51" ht="25.5" customHeight="1" s="435">
      <c r="B51" s="1" t="inlineStr">
        <is>
          <t>ACCOUNT</t>
        </is>
      </c>
      <c r="D51" s="1" t="inlineStr">
        <is>
          <t>TIER</t>
        </is>
      </c>
      <c r="E51" s="1" t="inlineStr">
        <is>
          <t>STATUS</t>
        </is>
      </c>
      <c r="F51" s="1" t="inlineStr">
        <is>
          <t>TEMP</t>
        </is>
      </c>
      <c r="G51" s="1" t="inlineStr">
        <is>
          <t>NOTES</t>
        </is>
      </c>
    </row>
    <row r="52" ht="27.75" customHeight="1" s="435">
      <c r="B52" s="23" t="inlineStr">
        <is>
          <t xml:space="preserve">  BELFOR</t>
        </is>
      </c>
      <c r="C52" s="24" t="n"/>
      <c r="D52" s="456" t="inlineStr">
        <is>
          <t>TIER 1</t>
        </is>
      </c>
      <c r="E52" s="26">
        <f>'Track 1 · Franchisors'!L4</f>
        <v/>
      </c>
      <c r="F52" s="27">
        <f>IFERROR(VLOOKUP("BELFOR",'Account Feedback'!A4:I28,9,0),"❄ Cold")</f>
        <v/>
      </c>
      <c r="G52" s="28">
        <f>'Track 1 · Franchisors'!Q4</f>
        <v/>
      </c>
    </row>
    <row r="53" ht="27.75" customHeight="1" s="435">
      <c r="B53" s="23" t="inlineStr">
        <is>
          <t xml:space="preserve">  THRESHOLD</t>
        </is>
      </c>
      <c r="C53" s="24" t="n"/>
      <c r="D53" s="456" t="inlineStr">
        <is>
          <t>TIER 1</t>
        </is>
      </c>
      <c r="E53" s="26">
        <f>'Track 1 · Franchisors'!L5</f>
        <v/>
      </c>
      <c r="F53" s="27">
        <f>IFERROR(VLOOKUP("THRESHOLD BRANDS",'Account Feedback'!A4:I28,9,0),"❄ Cold")</f>
        <v/>
      </c>
      <c r="G53" s="28">
        <f>'Track 1 · Franchisors'!Q5</f>
        <v/>
      </c>
    </row>
    <row r="54" ht="27.75" customHeight="1" s="435">
      <c r="B54" s="23" t="inlineStr">
        <is>
          <t xml:space="preserve">  EMPOWER</t>
        </is>
      </c>
      <c r="C54" s="24" t="n"/>
      <c r="D54" s="456" t="inlineStr">
        <is>
          <t>TIER 1</t>
        </is>
      </c>
      <c r="E54" s="26">
        <f>'Track 1 · Franchisors'!L6</f>
        <v/>
      </c>
      <c r="F54" s="27">
        <f>IFERROR(VLOOKUP("EMPOWER BRANDS",'Account Feedback'!A4:I28,9,0),"❄ Cold")</f>
        <v/>
      </c>
      <c r="G54" s="28">
        <f>'Track 1 · Franchisors'!Q6</f>
        <v/>
      </c>
    </row>
    <row r="55" ht="27.75" customHeight="1" s="435">
      <c r="B55" s="3" t="inlineStr">
        <is>
          <t xml:space="preserve">  PREMIUM SVC</t>
        </is>
      </c>
      <c r="C55" s="4" t="n"/>
      <c r="D55" s="29" t="inlineStr">
        <is>
          <t>TIER 2</t>
        </is>
      </c>
      <c r="E55" s="30">
        <f>'Track 1 · Franchisors'!L7</f>
        <v/>
      </c>
      <c r="F55" s="31">
        <f>IFERROR(VLOOKUP("PREMIUM SERVICE BRANDS",'Account Feedback'!A4:I28,9,0),"❄ Cold")</f>
        <v/>
      </c>
      <c r="G55" s="32">
        <f>'Track 1 · Franchisors'!Q7</f>
        <v/>
      </c>
    </row>
    <row r="56" ht="27.75" customHeight="1" s="435">
      <c r="B56" s="3" t="inlineStr">
        <is>
          <t xml:space="preserve">  RESIBRANDS</t>
        </is>
      </c>
      <c r="C56" s="4" t="n"/>
      <c r="D56" s="29" t="inlineStr">
        <is>
          <t>TIER 2</t>
        </is>
      </c>
      <c r="E56" s="30">
        <f>'Track 1 · Franchisors'!L8</f>
        <v/>
      </c>
      <c r="F56" s="31">
        <f>IFERROR(VLOOKUP("RESIBRANDS",'Account Feedback'!A4:I28,9,0),"❄ Cold")</f>
        <v/>
      </c>
      <c r="G56" s="32">
        <f>'Track 1 · Franchisors'!Q8</f>
        <v/>
      </c>
    </row>
    <row r="57" ht="27.75" customHeight="1" s="435">
      <c r="B57" s="3" t="inlineStr">
        <is>
          <t xml:space="preserve">  FIVE STAR</t>
        </is>
      </c>
      <c r="C57" s="4" t="n"/>
      <c r="D57" s="29" t="inlineStr">
        <is>
          <t>TIER 2</t>
        </is>
      </c>
      <c r="E57" s="30">
        <f>'Track 1 · Franchisors'!L9</f>
        <v/>
      </c>
      <c r="F57" s="31">
        <f>IFERROR(VLOOKUP("FIVE STAR FRANCHISING",'Account Feedback'!A4:I28,9,0),"❄ Cold")</f>
        <v/>
      </c>
      <c r="G57" s="32">
        <f>'Track 1 · Franchisors'!Q9</f>
        <v/>
      </c>
    </row>
    <row r="58" ht="27.75" customHeight="1" s="435">
      <c r="B58" s="3" t="inlineStr">
        <is>
          <t xml:space="preserve">  HOMEFRONT</t>
        </is>
      </c>
      <c r="C58" s="4" t="n"/>
      <c r="D58" s="29" t="inlineStr">
        <is>
          <t>TIER 2</t>
        </is>
      </c>
      <c r="E58" s="30">
        <f>'Track 1 · Franchisors'!L10</f>
        <v/>
      </c>
      <c r="F58" s="31">
        <f>IFERROR(VLOOKUP("HOMEFRONT BRANDS",'Account Feedback'!A4:I28,9,0),"❄ Cold")</f>
        <v/>
      </c>
      <c r="G58" s="32">
        <f>'Track 1 · Franchisors'!Q10</f>
        <v/>
      </c>
    </row>
    <row r="59" ht="27.75" customHeight="1" s="435">
      <c r="B59" s="33" t="inlineStr">
        <is>
          <t xml:space="preserve">  AUTHORITY</t>
        </is>
      </c>
      <c r="C59" s="34" t="n"/>
      <c r="D59" s="35" t="inlineStr">
        <is>
          <t>TIER 3</t>
        </is>
      </c>
      <c r="E59" s="36">
        <f>'Track 1 · Franchisors'!L11</f>
        <v/>
      </c>
      <c r="F59" s="37">
        <f>IFERROR(VLOOKUP("AUTHORITY BRANDS",'Account Feedback'!A4:I28,9,0),"❄ Cold")</f>
        <v/>
      </c>
      <c r="G59" s="38">
        <f>'Track 1 · Franchisors'!Q11</f>
        <v/>
      </c>
    </row>
    <row r="60" ht="27.75" customHeight="1" s="435">
      <c r="B60" s="33" t="inlineStr">
        <is>
          <t xml:space="preserve">  NEIGHBORLY</t>
        </is>
      </c>
      <c r="C60" s="34" t="n"/>
      <c r="D60" s="35" t="inlineStr">
        <is>
          <t>TIER 3</t>
        </is>
      </c>
      <c r="E60" s="36">
        <f>'Track 1 · Franchisors'!L12</f>
        <v/>
      </c>
      <c r="F60" s="37">
        <f>IFERROR(VLOOKUP("NEIGHBORLY",'Account Feedback'!A4:I28,9,0),"❄ Cold")</f>
        <v/>
      </c>
      <c r="G60" s="38">
        <f>'Track 1 · Franchisors'!Q12</f>
        <v/>
      </c>
    </row>
    <row r="61" ht="13.5" customHeight="1" s="435"/>
    <row r="62" ht="31.5" customHeight="1" s="435">
      <c r="B62" s="462" t="inlineStr">
        <is>
          <t xml:space="preserve">  FRANCHISEE PIPELINE SUMMARY  ·  By Stage</t>
        </is>
      </c>
    </row>
    <row r="63" ht="15.75" customHeight="1" s="435">
      <c r="B63" s="455" t="inlineStr">
        <is>
          <t xml:space="preserve">  Live from 85 Franchisees tab  ·  Status dropdowns drive these counts automatically</t>
        </is>
      </c>
    </row>
    <row r="64" ht="3.75" customHeight="1" s="435"/>
    <row r="65" ht="21.75" customHeight="1" s="435">
      <c r="B65" s="39" t="inlineStr">
        <is>
          <t>PIPELINE STAGE</t>
        </is>
      </c>
      <c r="D65" s="39" t="inlineStr">
        <is>
          <t>TARGET</t>
        </is>
      </c>
      <c r="E65" s="39" t="inlineStr">
        <is>
          <t>ACTUAL COUNT</t>
        </is>
      </c>
      <c r="F65" s="39" t="inlineStr">
        <is>
          <t>% OF TOTAL</t>
        </is>
      </c>
      <c r="G65" s="39" t="inlineStr">
        <is>
          <t>STATUS</t>
        </is>
      </c>
    </row>
    <row r="66" ht="25.5" customHeight="1" s="435">
      <c r="B66" s="40" t="inlineStr">
        <is>
          <t xml:space="preserve">  Total Brands in Database</t>
        </is>
      </c>
      <c r="C66" s="10" t="n"/>
      <c r="D66" s="41" t="n">
        <v>85</v>
      </c>
      <c r="E66" s="42">
        <f>COUNTA('Track 2 · Franchisees'!B4:B88)-COUNTBLANK('Track 2 · Franchisees'!B4:B88)</f>
        <v/>
      </c>
      <c r="F66" s="43">
        <f>IFERROR(E66/85,0)</f>
        <v/>
      </c>
      <c r="G66" s="44" t="inlineStr">
        <is>
          <t>Reference</t>
        </is>
      </c>
    </row>
    <row r="67" ht="25.5" customHeight="1" s="435">
      <c r="B67" s="45" t="inlineStr">
        <is>
          <t xml:space="preserve">  HIGH Pilot Potential Brands</t>
        </is>
      </c>
      <c r="C67" s="4" t="n"/>
      <c r="D67" s="46" t="n">
        <v>30</v>
      </c>
      <c r="E67" s="47">
        <f>COUNTIF('Track 2 · Franchisees'!I4:I88,"HIGH")</f>
        <v/>
      </c>
      <c r="F67" s="48">
        <f>IFERROR(E67/85,0)</f>
        <v/>
      </c>
      <c r="G67" s="49" t="inlineStr">
        <is>
          <t>Reference</t>
        </is>
      </c>
    </row>
    <row r="68" ht="25.5" customHeight="1" s="435">
      <c r="B68" s="50" t="inlineStr">
        <is>
          <t xml:space="preserve">  MED Pilot Potential Brands</t>
        </is>
      </c>
      <c r="C68" s="10" t="n"/>
      <c r="D68" s="41" t="n">
        <v>40</v>
      </c>
      <c r="E68" s="51">
        <f>COUNTIF('Track 2 · Franchisees'!I4:I88,"MED")</f>
        <v/>
      </c>
      <c r="F68" s="43">
        <f>IFERROR(E68/85,0)</f>
        <v/>
      </c>
      <c r="G68" s="44" t="inlineStr">
        <is>
          <t>Reference</t>
        </is>
      </c>
    </row>
    <row r="69" ht="25.5" customHeight="1" s="435">
      <c r="B69" s="52" t="inlineStr">
        <is>
          <t xml:space="preserve">  GPS Warm Accounts (YES)</t>
        </is>
      </c>
      <c r="C69" s="4" t="n"/>
      <c r="D69" s="46" t="n">
        <v>10</v>
      </c>
      <c r="E69" s="6">
        <f>COUNTIF('Track 2 · Franchisees'!H4:H88,"YES")</f>
        <v/>
      </c>
      <c r="F69" s="48">
        <f>IFERROR(E69/85,0)</f>
        <v/>
      </c>
      <c r="G69" s="49" t="inlineStr">
        <is>
          <t>Reference</t>
        </is>
      </c>
    </row>
    <row r="70" ht="25.5" customHeight="1" s="435">
      <c r="B70" s="53" t="inlineStr">
        <is>
          <t xml:space="preserve">  Researching</t>
        </is>
      </c>
      <c r="C70" s="10" t="n"/>
      <c r="D70" s="54" t="n">
        <v>10</v>
      </c>
      <c r="E70" s="12">
        <f>COUNTIF('Track 2 · Franchisees'!L4:L88,"Researching")</f>
        <v/>
      </c>
      <c r="F70" s="43">
        <f>IFERROR(E70/85,0)</f>
        <v/>
      </c>
      <c r="G70" s="14">
        <f>IF(E70&gt;=10,"✅ On Track",IF(E70&gt;=10*0.6,"⚠️ At Risk","🔴 Behind"))</f>
        <v/>
      </c>
    </row>
    <row r="71" ht="25.5" customHeight="1" s="435">
      <c r="B71" s="55" t="inlineStr">
        <is>
          <t xml:space="preserve">  Contacted (outreach sent)</t>
        </is>
      </c>
      <c r="C71" s="4" t="n"/>
      <c r="D71" s="56" t="n">
        <v>40</v>
      </c>
      <c r="E71" s="6">
        <f>COUNTIF('Track 2 · Franchisees'!L4:L88,"Contacted")</f>
        <v/>
      </c>
      <c r="F71" s="48">
        <f>IFERROR(E71/85,0)</f>
        <v/>
      </c>
      <c r="G71" s="8">
        <f>IF(E71&gt;=40,"✅ On Track",IF(E71&gt;=40*0.6,"⚠️ At Risk","🔴 Behind"))</f>
        <v/>
      </c>
    </row>
    <row r="72" ht="25.5" customHeight="1" s="435">
      <c r="B72" s="53" t="inlineStr">
        <is>
          <t xml:space="preserve">  Replied (any response)</t>
        </is>
      </c>
      <c r="C72" s="10" t="n"/>
      <c r="D72" s="54" t="n">
        <v>10</v>
      </c>
      <c r="E72" s="12">
        <f>COUNTIF('Track 2 · Franchisees'!L4:L88,"Replied")</f>
        <v/>
      </c>
      <c r="F72" s="43">
        <f>IFERROR(E72/85,0)</f>
        <v/>
      </c>
      <c r="G72" s="14">
        <f>IF(E72&gt;=10,"✅ On Track",IF(E72&gt;=10*0.6,"⚠️ At Risk","🔴 Behind"))</f>
        <v/>
      </c>
    </row>
    <row r="73" ht="25.5" customHeight="1" s="435">
      <c r="B73" s="55" t="inlineStr">
        <is>
          <t xml:space="preserve">  Call Scheduled</t>
        </is>
      </c>
      <c r="C73" s="4" t="n"/>
      <c r="D73" s="56" t="n">
        <v>5</v>
      </c>
      <c r="E73" s="6">
        <f>COUNTIF('Track 2 · Franchisees'!L4:L88,"Call Scheduled")</f>
        <v/>
      </c>
      <c r="F73" s="48">
        <f>IFERROR(E73/85,0)</f>
        <v/>
      </c>
      <c r="G73" s="8">
        <f>IF(E73&gt;=5,"✅ On Track",IF(E73&gt;=5*0.6,"⚠️ At Risk","🔴 Behind"))</f>
        <v/>
      </c>
    </row>
    <row r="74" ht="25.5" customHeight="1" s="435">
      <c r="B74" s="53" t="inlineStr">
        <is>
          <t xml:space="preserve">  Discovery Done</t>
        </is>
      </c>
      <c r="C74" s="10" t="n"/>
      <c r="D74" s="54" t="n">
        <v>3</v>
      </c>
      <c r="E74" s="12">
        <f>COUNTIF('Track 2 · Franchisees'!L4:L88,"Discovery Done")</f>
        <v/>
      </c>
      <c r="F74" s="43">
        <f>IFERROR(E74/85,0)</f>
        <v/>
      </c>
      <c r="G74" s="14">
        <f>IF(E74&gt;=3,"✅ On Track",IF(E74&gt;=3*0.6,"⚠️ At Risk","🔴 Behind"))</f>
        <v/>
      </c>
    </row>
    <row r="75" ht="25.5" customHeight="1" s="435">
      <c r="B75" s="55" t="inlineStr">
        <is>
          <t xml:space="preserve">  Proposal Sent / Negotiating</t>
        </is>
      </c>
      <c r="C75" s="4" t="n"/>
      <c r="D75" s="56" t="n">
        <v>3</v>
      </c>
      <c r="E75" s="6">
        <f>COUNTIF('Track 2 · Franchisees'!L4:L88,"Proposal Sent")+COUNTIF('Track 2 · Franchisees'!L4:L88,"Negotiating")</f>
        <v/>
      </c>
      <c r="F75" s="48">
        <f>IFERROR(E75/85,0)</f>
        <v/>
      </c>
      <c r="G75" s="8">
        <f>IF(E75&gt;=3,"✅ On Track",IF(E75&gt;=3*0.6,"⚠️ At Risk","🔴 Behind"))</f>
        <v/>
      </c>
    </row>
    <row r="76" ht="25.5" customHeight="1" s="435">
      <c r="B76" s="53" t="inlineStr">
        <is>
          <t xml:space="preserve">  Pilot Closed  🎯</t>
        </is>
      </c>
      <c r="C76" s="10" t="n"/>
      <c r="D76" s="54" t="n">
        <v>2</v>
      </c>
      <c r="E76" s="12">
        <f>COUNTIF('Track 2 · Franchisees'!L4:L88,"Pilot Closed")</f>
        <v/>
      </c>
      <c r="F76" s="43">
        <f>IFERROR(E76/85,0)</f>
        <v/>
      </c>
      <c r="G76" s="14">
        <f>IF(E76&gt;=2,"✅ On Track",IF(E76&gt;=2*0.6,"⚠️ At Risk","🔴 Behind"))</f>
        <v/>
      </c>
    </row>
    <row r="77" ht="25.5" customHeight="1" s="435">
      <c r="B77" s="55" t="inlineStr">
        <is>
          <t xml:space="preserve">  Stalled</t>
        </is>
      </c>
      <c r="C77" s="4" t="n"/>
      <c r="D77" s="56" t="n">
        <v>5</v>
      </c>
      <c r="E77" s="6">
        <f>COUNTIF('Track 2 · Franchisees'!L4:L88,"Stalled")</f>
        <v/>
      </c>
      <c r="F77" s="48">
        <f>IFERROR(E77/85,0)</f>
        <v/>
      </c>
      <c r="G77" s="8">
        <f>IF(E77&gt;=5,"✅ On Track",IF(E77&gt;=5*0.6,"⚠️ At Risk","🔴 Behind"))</f>
        <v/>
      </c>
    </row>
    <row r="78" ht="13.5" customHeight="1" s="435"/>
    <row r="79" ht="13.5" customHeight="1" s="435"/>
    <row r="80" ht="31.5" customHeight="1" s="435">
      <c r="B80" s="458" t="inlineStr">
        <is>
          <t xml:space="preserve">  PE RELATIONSHIP TRACKER  ·  GPS Insight Actions Required</t>
        </is>
      </c>
    </row>
    <row r="81" ht="18" customHeight="1" s="435">
      <c r="B81" s="455" t="inlineStr">
        <is>
          <t xml:space="preserve">  Live from the 🔑 PE Relationship Map tab  ·  Update status there — this section reflects the current state of all GPS Insight intro requests</t>
        </is>
      </c>
    </row>
    <row r="82" ht="6" customHeight="1" s="435"/>
    <row r="83" ht="25.5" customHeight="1" s="435">
      <c r="B83" s="456" t="inlineStr">
        <is>
          <t>PE RELATIONSHIP / GPS ASK</t>
        </is>
      </c>
      <c r="C83" s="451" t="n"/>
      <c r="D83" s="451" t="n"/>
      <c r="E83" s="451" t="n"/>
      <c r="F83" s="451" t="n"/>
      <c r="G83" s="452" t="n"/>
    </row>
    <row r="84" ht="51.75" customHeight="1" s="435">
      <c r="B84" s="454" t="inlineStr">
        <is>
          <t xml:space="preserve">  Accel-KKR Deal Team Brief
(All PE intros flow from this)</t>
        </is>
      </c>
      <c r="C84" s="451" t="n"/>
      <c r="D84" s="451" t="n"/>
      <c r="E84" s="451" t="n"/>
      <c r="F84" s="451" t="n"/>
      <c r="G84" s="452" t="n"/>
    </row>
    <row r="85" ht="51.75" customHeight="1" s="435">
      <c r="B85" s="450" t="inlineStr">
        <is>
          <t xml:space="preserve">  KKR → Felix Gernburd
(Neighborly Board — ST renewal window 2025–27)</t>
        </is>
      </c>
      <c r="C85" s="451" t="n"/>
      <c r="D85" s="451" t="n"/>
      <c r="E85" s="451" t="n"/>
      <c r="F85" s="451" t="n"/>
      <c r="G85" s="452" t="n"/>
    </row>
    <row r="86" ht="51.75" customHeight="1" s="435">
      <c r="B86" s="454" t="inlineStr">
        <is>
          <t xml:space="preserve">  Insight Engine ROI Model Sign-Off
(Required before external use)</t>
        </is>
      </c>
      <c r="C86" s="451" t="n"/>
      <c r="D86" s="451" t="n"/>
      <c r="E86" s="451" t="n"/>
      <c r="F86" s="451" t="n"/>
      <c r="G86" s="452" t="n"/>
    </row>
    <row r="87" ht="51.75" customHeight="1" s="435">
      <c r="B87" s="450" t="inlineStr">
        <is>
          <t xml:space="preserve">  American Securities → BELFOR
(Board-level intro needed)</t>
        </is>
      </c>
      <c r="C87" s="451" t="n"/>
      <c r="D87" s="451" t="n"/>
      <c r="E87" s="451" t="n"/>
      <c r="F87" s="451" t="n"/>
      <c r="G87" s="452" t="n"/>
    </row>
    <row r="88" ht="51.75" customHeight="1" s="435">
      <c r="B88" s="454" t="inlineStr">
        <is>
          <t xml:space="preserve">  Riverside Company → Threshold Brands
(Approaching exit — EBITDA story)</t>
        </is>
      </c>
      <c r="C88" s="24" t="n"/>
      <c r="D88" s="59" t="inlineStr">
        <is>
          <t>🟡 HIGH</t>
        </is>
      </c>
      <c r="E88" s="60" t="inlineStr">
        <is>
          <t>GPS Insight
(Charles Layne, CEO)</t>
        </is>
      </c>
      <c r="F88" s="61">
        <f>IFERROR('PE Relationship Map'!I15,"Not Started")</f>
        <v/>
      </c>
      <c r="G88" s="62" t="inlineStr">
        <is>
          <t>📞 On me — once the AKKR brief is confirmed, asking Charles to assign the Riverside intro to GPS Insight.</t>
        </is>
      </c>
    </row>
    <row r="89" ht="51.75" customHeight="1" s="435"/>
    <row r="90" ht="51.75" customHeight="1" s="435">
      <c r="B90" s="454" t="inlineStr">
        <is>
          <t xml:space="preserve">  GPS Insight Telematics List
(Conflict check — required before outreach)</t>
        </is>
      </c>
      <c r="C90" s="24" t="n"/>
      <c r="D90" s="63" t="inlineStr">
        <is>
          <t>🔴 CRITICAL</t>
        </is>
      </c>
      <c r="E90" s="60" t="inlineStr">
        <is>
          <t>GPS Insight
(Andrea Rowan, GM)</t>
        </is>
      </c>
      <c r="F90" s="61" t="inlineStr">
        <is>
          <t>Manual — update when received</t>
        </is>
      </c>
      <c r="G90" s="62" t="inlineStr">
        <is>
          <t>📋 GPS Insight to provide the telematics client list. On me to run the conflict check once received.</t>
        </is>
      </c>
    </row>
    <row r="91" ht="51.75" customHeight="1" s="435">
      <c r="B91" s="450" t="inlineStr">
        <is>
          <t xml:space="preserve">  Micro-Franchise List from Angie
(Expands Track 2 beyond 85 brands)</t>
        </is>
      </c>
      <c r="C91" s="4" t="n"/>
      <c r="D91" s="59" t="inlineStr">
        <is>
          <t>🟡 HIGH</t>
        </is>
      </c>
      <c r="E91" s="60" t="inlineStr">
        <is>
          <t>GPS Insight
(Angie, Data Strategist)</t>
        </is>
      </c>
      <c r="F91" s="61" t="inlineStr">
        <is>
          <t>Manual — update when received</t>
        </is>
      </c>
      <c r="G91" s="62" t="inlineStr">
        <is>
          <t>📋 GPS Insight (Angie) to pull the micro-franchise list. On me to score and integrate into Track 2 once received.</t>
        </is>
      </c>
    </row>
    <row r="92" ht="51.75" customHeight="1" s="435">
      <c r="B92" s="454" t="inlineStr">
        <is>
          <t xml:space="preserve">  Apax Partners → Authority Brands
(CTO Tij Bedi — tech agenda active)</t>
        </is>
      </c>
      <c r="C92" s="24" t="n"/>
      <c r="D92" s="59" t="inlineStr">
        <is>
          <t>🟡 HIGH</t>
        </is>
      </c>
      <c r="E92" s="60" t="inlineStr">
        <is>
          <t>GPS Insight
(Charles Layne, CEO)</t>
        </is>
      </c>
      <c r="F92" s="61">
        <f>IFERROR('PE Relationship Map'!I27,"Not Started")</f>
        <v/>
      </c>
      <c r="G92" s="62" t="inlineStr">
        <is>
          <t>🔍 On me — researching and asking Charles if AKKR has any Apax overlap. GPS Insight to surface the intro if the connection exists.</t>
        </is>
      </c>
    </row>
    <row r="93" ht="51.75" customHeight="1" s="435">
      <c r="B93" s="450" t="inlineStr">
        <is>
          <t xml:space="preserve">  Princeton Equity → Five Star Franchising
(Year 5 — exit building)</t>
        </is>
      </c>
      <c r="C93" s="4" t="n"/>
      <c r="D93" s="64" t="inlineStr">
        <is>
          <t>🔵 MEDIUM</t>
        </is>
      </c>
      <c r="E93" s="60" t="inlineStr">
        <is>
          <t>GPS Insight
(Charles Layne, CEO)</t>
        </is>
      </c>
      <c r="F93" s="61">
        <f>IFERROR('PE Relationship Map'!I23,"Not Started")</f>
        <v/>
      </c>
      <c r="G93" s="62" t="inlineStr">
        <is>
          <t>📞 On me — asking Charles to surface the Princeton Equity connection. GPS Insight to facilitate if the path exists.</t>
        </is>
      </c>
    </row>
    <row r="94" ht="13.5" customHeight="1" s="435"/>
    <row r="97" ht="32.25" customHeight="1" s="435">
      <c r="B97" s="448" t="inlineStr">
        <is>
          <t xml:space="preserve">  LAST UPDATED  ·  Update this cell manually each Friday before sending to Andrea</t>
        </is>
      </c>
    </row>
    <row r="98" ht="23.25" customHeight="1" s="435">
      <c r="B98" s="65" t="inlineStr">
        <is>
          <t xml:space="preserve">  April 14, 2026  ·  Week 1  ·  Engagement not yet started</t>
        </is>
      </c>
      <c r="C98" s="451" t="n"/>
      <c r="D98" s="451" t="n"/>
      <c r="E98" s="451" t="n"/>
      <c r="F98" s="451" t="n"/>
      <c r="G98" s="451" t="n"/>
    </row>
    <row r="100" ht="15" customHeight="1" s="435">
      <c r="B100" s="448" t="inlineStr">
        <is>
          <t xml:space="preserve">  HOW THIS SCORECARD WORKS</t>
        </is>
      </c>
    </row>
    <row r="101" ht="42.75" customHeight="1" s="435">
      <c r="B101" s="67" t="inlineStr">
        <is>
          <t xml:space="preserve">  1.  All ACTUAL numbers pull live from the other tabs via COUNTIF formulas — no manual entry needed for counts.</t>
        </is>
      </c>
      <c r="C101" s="451" t="n"/>
      <c r="D101" s="451" t="n"/>
      <c r="E101" s="451" t="n"/>
      <c r="F101" s="451" t="n"/>
      <c r="G101" s="451" t="n"/>
    </row>
    <row r="102" ht="42.75" customHeight="1" s="435">
      <c r="B102" s="68" t="inlineStr">
        <is>
          <t xml:space="preserve">  2.  STATUS auto-calculates: ✅ On Track = at or above target  ·  ⚠️ At Risk = 70%+ of target  ·  🔴 Behind = below 70%</t>
        </is>
      </c>
      <c r="C102" s="451" t="n"/>
      <c r="D102" s="451" t="n"/>
      <c r="E102" s="451" t="n"/>
      <c r="F102" s="451" t="n"/>
      <c r="G102" s="451" t="n"/>
    </row>
    <row r="103" ht="42.75" customHeight="1" s="435">
      <c r="B103" s="67" t="inlineStr">
        <is>
          <t xml:space="preserve">  3.  Items marked 'Manual' in the ACTUAL column need to be updated by you — they cannot be counted automatically.</t>
        </is>
      </c>
      <c r="C103" s="451" t="n"/>
      <c r="D103" s="451" t="n"/>
      <c r="E103" s="451" t="n"/>
      <c r="F103" s="451" t="n"/>
      <c r="G103" s="451" t="n"/>
    </row>
    <row r="104" ht="42.75" customHeight="1" s="435">
      <c r="B104" s="68" t="inlineStr">
        <is>
          <t xml:space="preserve">  4.  Franchisor Account Scorecard pulls status from the Top 9 Franchisors tab and temperature from Account Feedback Cards.</t>
        </is>
      </c>
      <c r="C104" s="451" t="n"/>
      <c r="D104" s="451" t="n"/>
      <c r="E104" s="451" t="n"/>
      <c r="F104" s="451" t="n"/>
      <c r="G104" s="451" t="n"/>
    </row>
    <row r="105" ht="42.75" customHeight="1" s="435">
      <c r="B105" s="67" t="inlineStr">
        <is>
          <t xml:space="preserve">  5.  To update: change status dropdowns in Tab 2 (Top 9) or Tab 3 (85 Franchisees) — this scorecard refreshes automatically.</t>
        </is>
      </c>
      <c r="C105" s="451" t="n"/>
      <c r="D105" s="451" t="n"/>
      <c r="E105" s="451" t="n"/>
      <c r="F105" s="451" t="n"/>
      <c r="G105" s="451" t="n"/>
    </row>
    <row r="107" ht="409.5" customHeight="1" s="435">
      <c r="A107" s="480" t="inlineStr">
        <is>
          <t xml:space="preserve">  Prepared by Velocity GTM Co LLC on behalf of GPS Insight / ServiceBridge  ·  Michael Montgomery Flynt Jr  ·  919.434.6720  ·  mflyntjr@gmail.com  ·  Confidential  ·  April 2026</t>
        </is>
      </c>
    </row>
    <row r="109" ht="30" customHeight="1" s="435">
      <c r="A109" s="464" t="inlineStr">
        <is>
          <t xml:space="preserve">  📊 INSIGHT ENGINE  ·  Use Insight_Engine_Excel_v3.xlsx for all ROI conversations  ·  FDD unit economics loaded into Track 1 col V  ·  3-Way Scenario = PE/CFO boardroom document</t>
        </is>
      </c>
    </row>
  </sheetData>
  <mergeCells count="30">
    <mergeCell ref="B42:G42"/>
    <mergeCell ref="B23:G23"/>
    <mergeCell ref="B8:G8"/>
    <mergeCell ref="A1:H1"/>
    <mergeCell ref="B82:G82"/>
    <mergeCell ref="B87:G87"/>
    <mergeCell ref="B34:G34"/>
    <mergeCell ref="B28:G28"/>
    <mergeCell ref="B37:G37"/>
    <mergeCell ref="B84:G84"/>
    <mergeCell ref="B49:G49"/>
    <mergeCell ref="B83:G83"/>
    <mergeCell ref="A89:H89"/>
    <mergeCell ref="B6:G6"/>
    <mergeCell ref="B80:G80"/>
    <mergeCell ref="B20:G20"/>
    <mergeCell ref="B85:G85"/>
    <mergeCell ref="B5:G5"/>
    <mergeCell ref="B63:G63"/>
    <mergeCell ref="A2:H2"/>
    <mergeCell ref="B79:G79"/>
    <mergeCell ref="B35:G35"/>
    <mergeCell ref="B86:G86"/>
    <mergeCell ref="B62:G62"/>
    <mergeCell ref="B16:G16"/>
    <mergeCell ref="B81:G81"/>
    <mergeCell ref="A109:H109"/>
    <mergeCell ref="B12:G12"/>
    <mergeCell ref="B21:G21"/>
    <mergeCell ref="B48:G48"/>
  </mergeCells>
  <dataValidations count="1">
    <dataValidation sqref="F86 F90:F91" showDropDown="0" showInputMessage="0" showErrorMessage="0" allowBlank="1" type="list">
      <formula1>"Not Started,GPS Ask Sent,Intro Requested,Intro Confirmed,Call Scheduled,Call Complete,Warm – Active,Warm – Stalled,No Path"</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203"/>
  <sheetViews>
    <sheetView workbookViewId="0">
      <selection activeCell="A1" sqref="A1"/>
    </sheetView>
  </sheetViews>
  <sheetFormatPr baseColWidth="10" defaultColWidth="8.83203125" defaultRowHeight="15"/>
  <cols>
    <col width="16" customWidth="1" style="435" min="1" max="1"/>
    <col width="6" customWidth="1" style="435" min="2" max="2"/>
    <col width="28" customWidth="1" style="435" min="3" max="3"/>
    <col width="22" customWidth="1" style="435" min="4" max="4"/>
    <col width="30" customWidth="1" style="435" min="5" max="5"/>
    <col width="35" customWidth="1" style="435" min="6" max="6"/>
    <col width="50" customWidth="1" style="435" min="7" max="7"/>
  </cols>
  <sheetData>
    <row r="1" ht="18" customHeight="1" s="435">
      <c r="A1" s="467" t="inlineStr">
        <is>
          <t>CRM v15.6 — Validation Changelog</t>
        </is>
      </c>
    </row>
    <row r="2">
      <c r="A2" s="469" t="inlineStr">
        <is>
          <t>Validated April 29, 2026 by Velocity GTM Co LLC. 9 changes applied to Track 2 · Franchisees sheet.</t>
        </is>
      </c>
    </row>
    <row r="3">
      <c r="A3" s="622" t="inlineStr">
        <is>
          <t>2026-05-04</t>
        </is>
      </c>
      <c r="B3" s="622" t="inlineStr">
        <is>
          <t>v15.35</t>
        </is>
      </c>
      <c r="C3" s="622" t="inlineStr">
        <is>
          <t>CRM</t>
        </is>
      </c>
      <c r="D3" s="622" t="inlineStr">
        <is>
          <t>Track 2 LinkedIn URL Sync from Alumni Crossover v15</t>
        </is>
      </c>
      <c r="E3" s="622" t="inlineStr">
        <is>
          <t>Synced 24 LinkedIn URLs from validated Alumni Crossover file. Replaced 17 stale/predecessor URLs with current brand president URLs (Aire Serv → Jay Jimenez, Rainbow → Josh Miller, Pestmaster → Bryan Shamhart, etc.) Added 7 new URL entries for previously-unverified contacts (Action Exteriors, Monty's Handyman, etc.). Major correction: TruBlue brand president confirmed as Sean Fitzgerald (linkedin.com/in/seancfitzgerald), NOT Stephen Nichols as previously mis-recorded.</t>
        </is>
      </c>
      <c r="F3" s="622" t="inlineStr">
        <is>
          <t>Mike validation</t>
        </is>
      </c>
      <c r="G3" s="622" t="inlineStr">
        <is>
          <t>24 brand cells updated</t>
        </is>
      </c>
    </row>
    <row r="4" ht="22" customHeight="1" s="435">
      <c r="A4" s="430" t="inlineStr">
        <is>
          <t>Date</t>
        </is>
      </c>
      <c r="B4" s="430" t="inlineStr">
        <is>
          <t>Row</t>
        </is>
      </c>
      <c r="C4" s="430" t="inlineStr">
        <is>
          <t>Brand</t>
        </is>
      </c>
      <c r="D4" s="430" t="inlineStr">
        <is>
          <t>Field Changed</t>
        </is>
      </c>
      <c r="E4" s="430" t="inlineStr">
        <is>
          <t>Old Value</t>
        </is>
      </c>
      <c r="F4" s="430" t="inlineStr">
        <is>
          <t>New Value</t>
        </is>
      </c>
      <c r="G4" s="430" t="inlineStr">
        <is>
          <t>Reason for Change</t>
        </is>
      </c>
    </row>
    <row r="5" ht="60" customHeight="1" s="435">
      <c r="A5" s="431" t="inlineStr">
        <is>
          <t>2026-04-29 20:24</t>
        </is>
      </c>
      <c r="B5" s="431" t="n">
        <v>40</v>
      </c>
      <c r="C5" s="431" t="inlineStr">
        <is>
          <t>USA Insulation</t>
        </is>
      </c>
      <c r="D5" s="431" t="inlineStr">
        <is>
          <t>FSM Status</t>
        </is>
      </c>
      <c r="E5" s="431" t="inlineStr">
        <is>
          <t>Greenfield</t>
        </is>
      </c>
      <c r="F5" s="431" t="inlineStr">
        <is>
          <t>At-Risk SB</t>
        </is>
      </c>
      <c r="G5" s="431" t="inlineStr">
        <is>
          <t>Per Andrea Apr 2026: 75% SB penetration but transitioning OFF over next year. Not greenfield — retention/monitor play.</t>
        </is>
      </c>
    </row>
    <row r="6" ht="60" customHeight="1" s="435">
      <c r="A6" s="432" t="inlineStr">
        <is>
          <t>2026-04-29 20:24</t>
        </is>
      </c>
      <c r="B6" s="432" t="n">
        <v>40</v>
      </c>
      <c r="C6" s="432" t="inlineStr">
        <is>
          <t>USA Insulation</t>
        </is>
      </c>
      <c r="D6" s="432" t="inlineStr">
        <is>
          <t>Current FSM Platform</t>
        </is>
      </c>
      <c r="E6" s="432" t="inlineStr">
        <is>
          <t>Greenfield / Paper</t>
        </is>
      </c>
      <c r="F6" s="432" t="inlineStr">
        <is>
          <t>ServiceBridge (75%, AT-RISK — transitioning off per Andrea Apr 2026)</t>
        </is>
      </c>
      <c r="G6" s="432" t="inlineStr">
        <is>
          <t>Andrea confirmed Apr 2026: USA Insulation transitioning off ServiceBridge over the next year. Not greenfield.</t>
        </is>
      </c>
    </row>
    <row r="7" ht="60" customHeight="1" s="435">
      <c r="A7" s="431" t="inlineStr">
        <is>
          <t>2026-04-29 20:24</t>
        </is>
      </c>
      <c r="B7" s="431" t="n">
        <v>40</v>
      </c>
      <c r="C7" s="431" t="inlineStr">
        <is>
          <t>USA Insulation</t>
        </is>
      </c>
      <c r="D7" s="431" t="inlineStr">
        <is>
          <t>Notes</t>
        </is>
      </c>
      <c r="E7" s="431" t="inlineStr">
        <is>
          <t>Seasonal scheduling — strong dispatch fit</t>
        </is>
      </c>
      <c r="F7" s="431" t="inlineStr">
        <is>
          <t>⚠️ AT-RISK / RETENTION PLAY — Andrea confirmed Apr 2026: USA Insulation transitioning off ServiceBridge over next year. Posture: dual-track — defend if reversible, reset relationship at brand-corp lev</t>
        </is>
      </c>
      <c r="G7" s="431" t="inlineStr">
        <is>
          <t>Added retention-play context per Threshold P2 readiness package.</t>
        </is>
      </c>
    </row>
    <row r="8" ht="60" customHeight="1" s="435">
      <c r="A8" s="432" t="inlineStr">
        <is>
          <t>2026-04-29 20:24</t>
        </is>
      </c>
      <c r="B8" s="432" t="n">
        <v>40</v>
      </c>
      <c r="C8" s="432" t="inlineStr">
        <is>
          <t>USA Insulation</t>
        </is>
      </c>
      <c r="D8" s="432" t="inlineStr">
        <is>
          <t>Combined Score</t>
        </is>
      </c>
      <c r="E8" s="432" t="inlineStr">
        <is>
          <t>84
🟡 QUEUE</t>
        </is>
      </c>
      <c r="F8" s="432" t="inlineStr">
        <is>
          <t>84*
⚠️ RECALIBRATE — at-risk, not greenfield</t>
        </is>
      </c>
      <c r="G8" s="432" t="inlineStr">
        <is>
          <t>Score derived from greenfield assumption that does not apply. Flagged for recalibration.</t>
        </is>
      </c>
    </row>
    <row r="9" ht="60" customHeight="1" s="435">
      <c r="A9" s="431" t="inlineStr">
        <is>
          <t>2026-04-29 20:24</t>
        </is>
      </c>
      <c r="B9" s="431" t="n">
        <v>37</v>
      </c>
      <c r="C9" s="431" t="inlineStr">
        <is>
          <t>BELFOR Property Restoration</t>
        </is>
      </c>
      <c r="D9" s="431" t="inlineStr">
        <is>
          <t>FSM Status</t>
        </is>
      </c>
      <c r="E9" s="431" t="inlineStr">
        <is>
          <t>Greenfield</t>
        </is>
      </c>
      <c r="F9" s="431" t="inlineStr">
        <is>
          <t>Not FSM Scope</t>
        </is>
      </c>
      <c r="G9" s="431" t="inlineStr">
        <is>
          <t>BELFOR Property Restoration is the parent restoration business — runs on restoration management software (Xactimate/Symbility), not FSM. Out of ServiceBridge category.</t>
        </is>
      </c>
    </row>
    <row r="10" ht="60" customHeight="1" s="435">
      <c r="A10" s="432" t="inlineStr">
        <is>
          <t>2026-04-29 20:24</t>
        </is>
      </c>
      <c r="B10" s="432" t="n">
        <v>37</v>
      </c>
      <c r="C10" s="432" t="inlineStr">
        <is>
          <t>BELFOR Property Restoration</t>
        </is>
      </c>
      <c r="D10" s="432" t="inlineStr">
        <is>
          <t>Current FSM Platform</t>
        </is>
      </c>
      <c r="E10" s="432" t="inlineStr">
        <is>
          <t>Greenfield / Paper</t>
        </is>
      </c>
      <c r="F10" s="432" t="inlineStr">
        <is>
          <t>Restoration management software (Xactimate/Symbility ecosystem) — not FSM category</t>
        </is>
      </c>
      <c r="G10" s="432" t="inlineStr">
        <is>
          <t>Restoration management is a different software category. Not displaceable by FSM.</t>
        </is>
      </c>
    </row>
    <row r="11" ht="60" customHeight="1" s="435">
      <c r="A11" s="431" t="inlineStr">
        <is>
          <t>2026-04-29 20:24</t>
        </is>
      </c>
      <c r="B11" s="431" t="n">
        <v>37</v>
      </c>
      <c r="C11" s="431" t="inlineStr">
        <is>
          <t>BELFOR Property Restoration</t>
        </is>
      </c>
      <c r="D11" s="431" t="inlineStr">
        <is>
          <t>Combined Score</t>
        </is>
      </c>
      <c r="E11" s="431" t="inlineStr">
        <is>
          <t>116
🔴 LEAD PILOT</t>
        </is>
      </c>
      <c r="F11" s="431" t="inlineStr">
        <is>
          <t>EXCLUDE
⛔ NOT FSM SCOPE</t>
        </is>
      </c>
      <c r="G11" s="431" t="inlineStr">
        <is>
          <t>Excluded from FSM engagement. Score was based on incorrect greenfield framework.</t>
        </is>
      </c>
    </row>
    <row r="12" ht="60" customHeight="1" s="435">
      <c r="A12" s="432" t="inlineStr">
        <is>
          <t>2026-04-29 20:24</t>
        </is>
      </c>
      <c r="B12" s="432" t="n">
        <v>37</v>
      </c>
      <c r="C12" s="432" t="inlineStr">
        <is>
          <t>BELFOR Property Restoration</t>
        </is>
      </c>
      <c r="D12" s="432" t="inlineStr">
        <is>
          <t>Notes</t>
        </is>
      </c>
      <c r="E12" s="432" t="inlineStr">
        <is>
          <t>Large restoration crews — documentation + compliance</t>
        </is>
      </c>
      <c r="F12" s="432" t="inlineStr">
        <is>
          <t>⛔ EXCLUDED — different software ecosystem (restoration management). Engage at parent franchisor level (BELFOR FG) only, not as Stage 2 brand-corp target. | Large restoration crews — documentation + co</t>
        </is>
      </c>
      <c r="G12" s="432" t="inlineStr">
        <is>
          <t>Added exclusion rationale.</t>
        </is>
      </c>
    </row>
    <row r="13" ht="60" customHeight="1" s="435">
      <c r="A13" s="431" t="inlineStr">
        <is>
          <t>2026-04-29 20:24</t>
        </is>
      </c>
      <c r="B13" s="431" t="n">
        <v>2</v>
      </c>
      <c r="C13" s="431" t="inlineStr">
        <is>
          <t>(Header)</t>
        </is>
      </c>
      <c r="D13" s="431" t="inlineStr">
        <is>
          <t>Subheader version stamp</t>
        </is>
      </c>
      <c r="E13" s="431" t="inlineStr">
        <is>
          <t xml:space="preserve">  Velocity GTM Co LLC  ·  Sorted by parent franchisor  ·  GPS Insight warm accounts highlighted  ·  Pilot potential scored HIGH / MED / LOW</t>
        </is>
      </c>
      <c r="F13" s="431" t="inlineStr">
        <is>
          <t xml:space="preserve">  Velocity GTM Co LLC  ·  Sorted by parent franchisor  ·  GPS Insight warm accounts prioritized  ·  v15.6 — validated April 29, 2026</t>
        </is>
      </c>
      <c r="G13" s="431" t="inlineStr">
        <is>
          <t>Version bump and validation date.</t>
        </is>
      </c>
    </row>
    <row r="14" ht="240" customHeight="1" s="435">
      <c r="A14" s="589" t="inlineStr">
        <is>
          <t>2026-05-04</t>
        </is>
      </c>
      <c r="B14" s="589" t="inlineStr">
        <is>
          <t>v15.36</t>
        </is>
      </c>
      <c r="C14" s="589" t="inlineStr">
        <is>
          <t>CRM</t>
        </is>
      </c>
      <c r="D14" s="589" t="inlineStr">
        <is>
          <t>V19 Alumni Crossover Intel Sync — Multi-tab Update</t>
        </is>
      </c>
      <c r="E14" s="589" t="inlineStr">
        <is>
          <t>Comprehensive sync of Alumni Crossover v19 intel into CRM across 5 tabs:
• Track 1: Updated Col 25 (GPS INSIGHT EXEC CONTACT) for 6 franchisor rows with consolidated warm-path summaries (Neighborly, Empower, ResiBrands, HomeFront, BELFOR, Threshold). Added v19 marker to Col 38 Signal Intel.
• Engagement Log: Added 5 new entries (#79-83) — Alumni Crossover ask sent to GPS Insight team; Becky-Mike touch plan kickoff; Beth Toenies LinkedIn connection accepted; Carter Smith handoff to Garrett; Jeff Dudan App State warm-path strategy.
• Account Feedback: Updated 11 accounts with [v19 Update] additions to KEY FEEDBACK + NEXT MILESTONE columns. Temperature shift: Empower → 🔥 Hot (Canopy NC State angle).
• Signal Intel: Added new V19 Alumni Crossover Intel section with 20 categorized records (Active Engagement, Warm Path, Team Assignment, Status Change, Data Gap, Org Intel) with action/owner/status assignments.
• Strategic frame: 'Building off existing relationships is our fastest path to success.' Cold outreach into PE-backed franchisors takes months; warm intro compresses to weeks. Becky-Mike touch plan in development this week to sequence outreach using team alumni hits as warm anchors.
Status changes flagged for verification: Ben Lamb (Neighborly CFO) moved Feb 2026, Brad Roberson (Glass Doctor → Fastest Labs) may have left March 2026, Russ Jundt (Empower) retired, Doug Smith (BELFOR) may have left.</t>
        </is>
      </c>
      <c r="F14" s="589" t="inlineStr">
        <is>
          <t>Mike + alumni v19 intel</t>
        </is>
      </c>
      <c r="G14" s="589" t="inlineStr">
        <is>
          <t>5 tabs updated · 20 intel records integrated</t>
        </is>
      </c>
    </row>
    <row r="16" ht="16" customHeight="1" s="435">
      <c r="A16" s="433" t="inlineStr">
        <is>
          <t>Validation Summary</t>
        </is>
      </c>
    </row>
    <row r="17">
      <c r="A17" s="468" t="inlineStr">
        <is>
          <t>✓ Total brands in Track 2 reviewed: 78</t>
        </is>
      </c>
    </row>
    <row r="18">
      <c r="A18" s="468" t="inlineStr">
        <is>
          <t>✓ Portfolio assignments verified — CRM is correct (no misassignments found)</t>
        </is>
      </c>
    </row>
    <row r="19">
      <c r="A19" s="468" t="inlineStr">
        <is>
          <t>✓ Score-FSM consistency check passed — no logic errors</t>
        </is>
      </c>
    </row>
    <row r="20">
      <c r="A20" s="468" t="inlineStr">
        <is>
          <t>✓ No duplicate brand entries</t>
        </is>
      </c>
    </row>
    <row r="21">
      <c r="A21" s="468" t="inlineStr">
        <is>
          <t>✓ All 78 brands have parent franchisor, trade, location, FSM status fields populated</t>
        </is>
      </c>
    </row>
    <row r="22">
      <c r="A22" s="468" t="inlineStr">
        <is>
          <t>⚠️ 64 of 78 brands marked "Validate with Andrea" for GPSI customer overlap — REQUIRES GPSI team query</t>
        </is>
      </c>
    </row>
    <row r="23">
      <c r="A23" s="468" t="inlineStr">
        <is>
          <t>⚠️ ~68 of 78 brands have "TBD" for Owner/Decision Maker — REQUIRES Andrea/Marketing team intel</t>
        </is>
      </c>
    </row>
    <row r="24">
      <c r="A24" s="468" t="inlineStr">
        <is>
          <t>⚠️ 2 substantive corrections applied: USA Insulation (At-Risk, not Greenfield) + BELFOR Property Restoration (Not FSM scope)</t>
        </is>
      </c>
    </row>
    <row r="25">
      <c r="A25" s="468" t="n"/>
    </row>
    <row r="26">
      <c r="A26" s="468" t="inlineStr">
        <is>
          <t>NEXT STEPS for full data closure:</t>
        </is>
      </c>
    </row>
    <row r="27">
      <c r="A27" s="468" t="inlineStr">
        <is>
          <t>1. GPSI customer database query for all 78 brands → fills GPSI Customer column + Telematics column</t>
        </is>
      </c>
    </row>
    <row r="28">
      <c r="A28" s="468" t="inlineStr">
        <is>
          <t>2. Brand-corp leadership intel from Andrea/Marketing team → fills Owner/DM column for ~68 brands</t>
        </is>
      </c>
    </row>
    <row r="29">
      <c r="A29" s="468" t="inlineStr">
        <is>
          <t>3. GPSI Account Rep mapping from Andrea → fills warm-intro path for engagement</t>
        </is>
      </c>
    </row>
    <row r="30">
      <c r="A30" s="468" t="inlineStr">
        <is>
          <t>4. Becky/Andrea HOODZ engagement interview → calibrates transfer rules across all 78 brands</t>
        </is>
      </c>
    </row>
    <row r="32">
      <c r="A32" s="466" t="inlineStr">
        <is>
          <t>Track 1 · Franchisors V2 Realignment (April 29, 2026)</t>
        </is>
      </c>
    </row>
    <row r="33" ht="60" customHeight="1" s="435">
      <c r="A33" s="432" t="inlineStr">
        <is>
          <t>2026-04-29</t>
        </is>
      </c>
      <c r="B33" s="432" t="inlineStr">
        <is>
          <t>4-14</t>
        </is>
      </c>
      <c r="C33" s="432" t="inlineStr">
        <is>
          <t>NEIGHBORLY</t>
        </is>
      </c>
      <c r="D33" s="432" t="inlineStr">
        <is>
          <t>V2 Track 1 position</t>
        </is>
      </c>
      <c r="E33" s="432" t="inlineStr">
        <is>
          <t>9</t>
        </is>
      </c>
      <c r="F33" s="432" t="inlineStr">
        <is>
          <t>1</t>
        </is>
      </c>
      <c r="G33" s="432" t="inlineStr">
        <is>
          <t>V2 ranking</t>
        </is>
      </c>
    </row>
    <row r="34" ht="60" customHeight="1" s="435">
      <c r="A34" s="431" t="inlineStr">
        <is>
          <t>2026-04-29</t>
        </is>
      </c>
      <c r="B34" s="431" t="inlineStr">
        <is>
          <t>4-14</t>
        </is>
      </c>
      <c r="C34" s="431" t="inlineStr">
        <is>
          <t>NEIGHBORLY</t>
        </is>
      </c>
      <c r="D34" s="431" t="inlineStr">
        <is>
          <t>TIER label</t>
        </is>
      </c>
      <c r="E34" s="431" t="inlineStr">
        <is>
          <t>TIER 3</t>
        </is>
      </c>
      <c r="F34" s="431" t="inlineStr">
        <is>
          <t>P1 #1 · PE-GATED</t>
        </is>
      </c>
      <c r="G34" s="431" t="inlineStr">
        <is>
          <t>V2 character label</t>
        </is>
      </c>
    </row>
    <row r="35" ht="60" customHeight="1" s="435">
      <c r="A35" s="432" t="inlineStr">
        <is>
          <t>2026-04-29</t>
        </is>
      </c>
      <c r="B35" s="432" t="inlineStr">
        <is>
          <t>4-14</t>
        </is>
      </c>
      <c r="C35" s="432" t="inlineStr">
        <is>
          <t>NEIGHBORLY</t>
        </is>
      </c>
      <c r="D35" s="432" t="inlineStr">
        <is>
          <t>FRANCHISOR SCORE</t>
        </is>
      </c>
      <c r="E35" s="432" t="inlineStr">
        <is>
          <t>39
⚪ BUILD</t>
        </is>
      </c>
      <c r="F35" s="432" t="inlineStr">
        <is>
          <t>76.5
🔴 PE-GATED — DO NOT APPROACH DIRECT</t>
        </is>
      </c>
      <c r="G35" s="432" t="inlineStr">
        <is>
          <t>V2 score (greenfield-weighted)</t>
        </is>
      </c>
    </row>
    <row r="36" ht="60" customHeight="1" s="435">
      <c r="A36" s="431" t="inlineStr">
        <is>
          <t>2026-04-29</t>
        </is>
      </c>
      <c r="B36" s="431" t="inlineStr">
        <is>
          <t>4-14</t>
        </is>
      </c>
      <c r="C36" s="431" t="inlineStr">
        <is>
          <t>AUTHORITY BRANDS</t>
        </is>
      </c>
      <c r="D36" s="431" t="inlineStr">
        <is>
          <t>V2 Track 1 position</t>
        </is>
      </c>
      <c r="E36" s="431" t="inlineStr">
        <is>
          <t>8</t>
        </is>
      </c>
      <c r="F36" s="431" t="inlineStr">
        <is>
          <t>2</t>
        </is>
      </c>
      <c r="G36" s="431" t="inlineStr">
        <is>
          <t>V2 ranking</t>
        </is>
      </c>
    </row>
    <row r="37" ht="60" customHeight="1" s="435">
      <c r="A37" s="432" t="inlineStr">
        <is>
          <t>2026-04-29</t>
        </is>
      </c>
      <c r="B37" s="432" t="inlineStr">
        <is>
          <t>4-14</t>
        </is>
      </c>
      <c r="C37" s="432" t="inlineStr">
        <is>
          <t>AUTHORITY BRANDS</t>
        </is>
      </c>
      <c r="D37" s="432" t="inlineStr">
        <is>
          <t>TIER label</t>
        </is>
      </c>
      <c r="E37" s="432" t="inlineStr">
        <is>
          <t>TIER 3</t>
        </is>
      </c>
      <c r="F37" s="432" t="inlineStr">
        <is>
          <t>P1 #2 · DISPLACEMENT-READY</t>
        </is>
      </c>
      <c r="G37" s="432" t="inlineStr">
        <is>
          <t>V2 character label</t>
        </is>
      </c>
    </row>
    <row r="38" ht="60" customHeight="1" s="435">
      <c r="A38" s="431" t="inlineStr">
        <is>
          <t>2026-04-29</t>
        </is>
      </c>
      <c r="B38" s="431" t="inlineStr">
        <is>
          <t>4-14</t>
        </is>
      </c>
      <c r="C38" s="431" t="inlineStr">
        <is>
          <t>AUTHORITY BRANDS</t>
        </is>
      </c>
      <c r="D38" s="431" t="inlineStr">
        <is>
          <t>FRANCHISOR SCORE</t>
        </is>
      </c>
      <c r="E38" s="431" t="inlineStr">
        <is>
          <t>61
🟡 ACTIVE</t>
        </is>
      </c>
      <c r="F38" s="431" t="inlineStr">
        <is>
          <t>68.5
🟡 ACTIVE</t>
        </is>
      </c>
      <c r="G38" s="431" t="inlineStr">
        <is>
          <t>V2 score (greenfield-weighted)</t>
        </is>
      </c>
    </row>
    <row r="39" ht="60" customHeight="1" s="435">
      <c r="A39" s="432" t="inlineStr">
        <is>
          <t>2026-04-29</t>
        </is>
      </c>
      <c r="B39" s="432" t="inlineStr">
        <is>
          <t>4-14</t>
        </is>
      </c>
      <c r="C39" s="432" t="inlineStr">
        <is>
          <t>EMPOWER BRANDS</t>
        </is>
      </c>
      <c r="D39" s="432" t="inlineStr">
        <is>
          <t>V2 Track 1 position</t>
        </is>
      </c>
      <c r="E39" s="432" t="inlineStr">
        <is>
          <t>3</t>
        </is>
      </c>
      <c r="F39" s="432" t="inlineStr">
        <is>
          <t>3</t>
        </is>
      </c>
      <c r="G39" s="432" t="inlineStr">
        <is>
          <t>V2 ranking</t>
        </is>
      </c>
    </row>
    <row r="40" ht="60" customHeight="1" s="435">
      <c r="A40" s="431" t="inlineStr">
        <is>
          <t>2026-04-29</t>
        </is>
      </c>
      <c r="B40" s="431" t="inlineStr">
        <is>
          <t>4-14</t>
        </is>
      </c>
      <c r="C40" s="431" t="inlineStr">
        <is>
          <t>EMPOWER BRANDS</t>
        </is>
      </c>
      <c r="D40" s="431" t="inlineStr">
        <is>
          <t>TIER label</t>
        </is>
      </c>
      <c r="E40" s="431" t="inlineStr">
        <is>
          <t>TIER 1</t>
        </is>
      </c>
      <c r="F40" s="431" t="inlineStr">
        <is>
          <t>P1 #3 · GREENFIELD-LED</t>
        </is>
      </c>
      <c r="G40" s="431" t="inlineStr">
        <is>
          <t>V2 character label</t>
        </is>
      </c>
    </row>
    <row r="41" ht="60" customHeight="1" s="435">
      <c r="A41" s="432" t="inlineStr">
        <is>
          <t>2026-04-29</t>
        </is>
      </c>
      <c r="B41" s="432" t="inlineStr">
        <is>
          <t>4-14</t>
        </is>
      </c>
      <c r="C41" s="432" t="inlineStr">
        <is>
          <t>EMPOWER BRANDS</t>
        </is>
      </c>
      <c r="D41" s="432" t="inlineStr">
        <is>
          <t>FRANCHISOR SCORE</t>
        </is>
      </c>
      <c r="E41" s="432" t="inlineStr">
        <is>
          <t>60
🟡 ACTIVE</t>
        </is>
      </c>
      <c r="F41" s="432" t="inlineStr">
        <is>
          <t>66.2
🟡 ACTIVE</t>
        </is>
      </c>
      <c r="G41" s="432" t="inlineStr">
        <is>
          <t>V2 score (greenfield-weighted)</t>
        </is>
      </c>
    </row>
    <row r="42" ht="60" customHeight="1" s="435">
      <c r="A42" s="431" t="inlineStr">
        <is>
          <t>2026-04-29</t>
        </is>
      </c>
      <c r="B42" s="431" t="inlineStr">
        <is>
          <t>4-14</t>
        </is>
      </c>
      <c r="C42" s="431" t="inlineStr">
        <is>
          <t>RESIBRANDS</t>
        </is>
      </c>
      <c r="D42" s="431" t="inlineStr">
        <is>
          <t>V2 Track 1 position</t>
        </is>
      </c>
      <c r="E42" s="431" t="inlineStr">
        <is>
          <t>5</t>
        </is>
      </c>
      <c r="F42" s="431" t="inlineStr">
        <is>
          <t>4</t>
        </is>
      </c>
      <c r="G42" s="431" t="inlineStr">
        <is>
          <t>V2 ranking</t>
        </is>
      </c>
    </row>
    <row r="43" ht="60" customHeight="1" s="435">
      <c r="A43" s="432" t="inlineStr">
        <is>
          <t>2026-04-29</t>
        </is>
      </c>
      <c r="B43" s="432" t="inlineStr">
        <is>
          <t>4-14</t>
        </is>
      </c>
      <c r="C43" s="432" t="inlineStr">
        <is>
          <t>RESIBRANDS</t>
        </is>
      </c>
      <c r="D43" s="432" t="inlineStr">
        <is>
          <t>TIER label</t>
        </is>
      </c>
      <c r="E43" s="432" t="inlineStr">
        <is>
          <t>TIER 2</t>
        </is>
      </c>
      <c r="F43" s="432" t="inlineStr">
        <is>
          <t>P1 #4 · FAST-CYCLE</t>
        </is>
      </c>
      <c r="G43" s="432" t="inlineStr">
        <is>
          <t>V2 character label</t>
        </is>
      </c>
    </row>
    <row r="44" ht="60" customHeight="1" s="435">
      <c r="A44" s="431" t="inlineStr">
        <is>
          <t>2026-04-29</t>
        </is>
      </c>
      <c r="B44" s="431" t="inlineStr">
        <is>
          <t>4-14</t>
        </is>
      </c>
      <c r="C44" s="431" t="inlineStr">
        <is>
          <t>RESIBRANDS</t>
        </is>
      </c>
      <c r="D44" s="431" t="inlineStr">
        <is>
          <t>FRANCHISOR SCORE</t>
        </is>
      </c>
      <c r="E44" s="431" t="inlineStr">
        <is>
          <t>58
🟡 ACTIVE</t>
        </is>
      </c>
      <c r="F44" s="431" t="inlineStr">
        <is>
          <t>60.2
🟢 ACTIVE</t>
        </is>
      </c>
      <c r="G44" s="431" t="inlineStr">
        <is>
          <t>V2 score (greenfield-weighted)</t>
        </is>
      </c>
    </row>
    <row r="45" ht="60" customHeight="1" s="435">
      <c r="A45" s="432" t="inlineStr">
        <is>
          <t>2026-04-29</t>
        </is>
      </c>
      <c r="B45" s="432" t="inlineStr">
        <is>
          <t>4-14</t>
        </is>
      </c>
      <c r="C45" s="432" t="inlineStr">
        <is>
          <t>FIVE STAR FRANCHISING</t>
        </is>
      </c>
      <c r="D45" s="432" t="inlineStr">
        <is>
          <t>V2 Track 1 position</t>
        </is>
      </c>
      <c r="E45" s="432" t="inlineStr">
        <is>
          <t>6</t>
        </is>
      </c>
      <c r="F45" s="432" t="inlineStr">
        <is>
          <t>5</t>
        </is>
      </c>
      <c r="G45" s="432" t="inlineStr">
        <is>
          <t>V2 ranking</t>
        </is>
      </c>
    </row>
    <row r="46" ht="60" customHeight="1" s="435">
      <c r="A46" s="431" t="inlineStr">
        <is>
          <t>2026-04-29</t>
        </is>
      </c>
      <c r="B46" s="431" t="inlineStr">
        <is>
          <t>4-14</t>
        </is>
      </c>
      <c r="C46" s="431" t="inlineStr">
        <is>
          <t>FIVE STAR FRANCHISING</t>
        </is>
      </c>
      <c r="D46" s="431" t="inlineStr">
        <is>
          <t>TIER label</t>
        </is>
      </c>
      <c r="E46" s="431" t="inlineStr">
        <is>
          <t>TIER 2</t>
        </is>
      </c>
      <c r="F46" s="431" t="inlineStr">
        <is>
          <t>P1 #5 · WEDGE-BRAND</t>
        </is>
      </c>
      <c r="G46" s="431" t="inlineStr">
        <is>
          <t>V2 character label</t>
        </is>
      </c>
    </row>
    <row r="47" ht="60" customHeight="1" s="435">
      <c r="A47" s="432" t="inlineStr">
        <is>
          <t>2026-04-29</t>
        </is>
      </c>
      <c r="B47" s="432" t="inlineStr">
        <is>
          <t>4-14</t>
        </is>
      </c>
      <c r="C47" s="432" t="inlineStr">
        <is>
          <t>FIVE STAR FRANCHISING</t>
        </is>
      </c>
      <c r="D47" s="432" t="inlineStr">
        <is>
          <t>FRANCHISOR SCORE</t>
        </is>
      </c>
      <c r="E47" s="432" t="inlineStr">
        <is>
          <t>72
🔴 MOVE NOW</t>
        </is>
      </c>
      <c r="F47" s="432" t="inlineStr">
        <is>
          <t>59.2
🟡 ACTIVE</t>
        </is>
      </c>
      <c r="G47" s="432" t="inlineStr">
        <is>
          <t>V2 score (greenfield-weighted)</t>
        </is>
      </c>
    </row>
    <row r="48" ht="60" customHeight="1" s="435">
      <c r="A48" s="431" t="inlineStr">
        <is>
          <t>2026-04-29</t>
        </is>
      </c>
      <c r="B48" s="431" t="inlineStr">
        <is>
          <t>4-14</t>
        </is>
      </c>
      <c r="C48" s="431" t="inlineStr">
        <is>
          <t>PREMIUM SERVICE BRANDS</t>
        </is>
      </c>
      <c r="D48" s="431" t="inlineStr">
        <is>
          <t>V2 Track 1 position</t>
        </is>
      </c>
      <c r="E48" s="431" t="inlineStr">
        <is>
          <t>4</t>
        </is>
      </c>
      <c r="F48" s="431" t="inlineStr">
        <is>
          <t>6</t>
        </is>
      </c>
      <c r="G48" s="431" t="inlineStr">
        <is>
          <t>V2 ranking</t>
        </is>
      </c>
    </row>
    <row r="49" ht="60" customHeight="1" s="435">
      <c r="A49" s="432" t="inlineStr">
        <is>
          <t>2026-04-29</t>
        </is>
      </c>
      <c r="B49" s="432" t="inlineStr">
        <is>
          <t>4-14</t>
        </is>
      </c>
      <c r="C49" s="432" t="inlineStr">
        <is>
          <t>PREMIUM SERVICE BRANDS</t>
        </is>
      </c>
      <c r="D49" s="432" t="inlineStr">
        <is>
          <t>TIER label</t>
        </is>
      </c>
      <c r="E49" s="432" t="inlineStr">
        <is>
          <t>TIER 2</t>
        </is>
      </c>
      <c r="F49" s="432" t="inlineStr">
        <is>
          <t>P1 #6 · GREENFIELD-OPEN</t>
        </is>
      </c>
      <c r="G49" s="432" t="inlineStr">
        <is>
          <t>V2 character label</t>
        </is>
      </c>
    </row>
    <row r="50" ht="60" customHeight="1" s="435">
      <c r="A50" s="431" t="inlineStr">
        <is>
          <t>2026-04-29</t>
        </is>
      </c>
      <c r="B50" s="431" t="inlineStr">
        <is>
          <t>4-14</t>
        </is>
      </c>
      <c r="C50" s="431" t="inlineStr">
        <is>
          <t>PREMIUM SERVICE BRANDS</t>
        </is>
      </c>
      <c r="D50" s="431" t="inlineStr">
        <is>
          <t>FRANCHISOR SCORE</t>
        </is>
      </c>
      <c r="E50" s="431" t="inlineStr">
        <is>
          <t>61
🟡 ACTIVE</t>
        </is>
      </c>
      <c r="F50" s="431" t="inlineStr">
        <is>
          <t>59.0
🟡 ACTIVE</t>
        </is>
      </c>
      <c r="G50" s="431" t="inlineStr">
        <is>
          <t>V2 score (greenfield-weighted)</t>
        </is>
      </c>
    </row>
    <row r="51" ht="60" customHeight="1" s="435">
      <c r="A51" s="432" t="inlineStr">
        <is>
          <t>2026-04-29</t>
        </is>
      </c>
      <c r="B51" s="432" t="inlineStr">
        <is>
          <t>4-14</t>
        </is>
      </c>
      <c r="C51" s="432" t="inlineStr">
        <is>
          <t>HOMEFRONT BRANDS</t>
        </is>
      </c>
      <c r="D51" s="432" t="inlineStr">
        <is>
          <t>V2 Track 1 position</t>
        </is>
      </c>
      <c r="E51" s="432" t="inlineStr">
        <is>
          <t>7</t>
        </is>
      </c>
      <c r="F51" s="432" t="inlineStr">
        <is>
          <t>7</t>
        </is>
      </c>
      <c r="G51" s="432" t="inlineStr">
        <is>
          <t>V2 ranking</t>
        </is>
      </c>
    </row>
    <row r="52" ht="60" customHeight="1" s="435">
      <c r="A52" s="431" t="inlineStr">
        <is>
          <t>2026-04-29</t>
        </is>
      </c>
      <c r="B52" s="431" t="inlineStr">
        <is>
          <t>4-14</t>
        </is>
      </c>
      <c r="C52" s="431" t="inlineStr">
        <is>
          <t>HOMEFRONT BRANDS</t>
        </is>
      </c>
      <c r="D52" s="431" t="inlineStr">
        <is>
          <t>TIER label</t>
        </is>
      </c>
      <c r="E52" s="431" t="inlineStr">
        <is>
          <t>TIER 2</t>
        </is>
      </c>
      <c r="F52" s="431" t="inlineStr">
        <is>
          <t>P1 #7 · MONITOR-MODE</t>
        </is>
      </c>
      <c r="G52" s="431" t="inlineStr">
        <is>
          <t>V2 character label</t>
        </is>
      </c>
    </row>
    <row r="53" ht="60" customHeight="1" s="435">
      <c r="A53" s="432" t="inlineStr">
        <is>
          <t>2026-04-29</t>
        </is>
      </c>
      <c r="B53" s="432" t="inlineStr">
        <is>
          <t>4-14</t>
        </is>
      </c>
      <c r="C53" s="432" t="inlineStr">
        <is>
          <t>HOMEFRONT BRANDS</t>
        </is>
      </c>
      <c r="D53" s="432" t="inlineStr">
        <is>
          <t>FRANCHISOR SCORE</t>
        </is>
      </c>
      <c r="E53" s="432" t="inlineStr">
        <is>
          <t>58
🟡 ACTIVE</t>
        </is>
      </c>
      <c r="F53" s="432" t="inlineStr">
        <is>
          <t>44.0
⚪ MONITOR</t>
        </is>
      </c>
      <c r="G53" s="432" t="inlineStr">
        <is>
          <t>V2 score (greenfield-weighted)</t>
        </is>
      </c>
    </row>
    <row r="54" ht="60" customHeight="1" s="435">
      <c r="A54" s="431" t="inlineStr">
        <is>
          <t>2026-04-29</t>
        </is>
      </c>
      <c r="B54" s="431" t="inlineStr">
        <is>
          <t>4-14</t>
        </is>
      </c>
      <c r="C54" s="431" t="inlineStr">
        <is>
          <t>BELFOR</t>
        </is>
      </c>
      <c r="D54" s="431" t="inlineStr">
        <is>
          <t>Track 1 position</t>
        </is>
      </c>
      <c r="E54" s="431" t="inlineStr">
        <is>
          <t>#1 P1</t>
        </is>
      </c>
      <c r="F54" s="431" t="inlineStr">
        <is>
          <t>P2-1</t>
        </is>
      </c>
      <c r="G54" s="431" t="inlineStr">
        <is>
          <t>Reclassified to P2 set (existing footprint, conversion not acquisition)</t>
        </is>
      </c>
    </row>
    <row r="55" ht="60" customHeight="1" s="435">
      <c r="A55" s="432" t="inlineStr">
        <is>
          <t>2026-04-29</t>
        </is>
      </c>
      <c r="B55" s="432" t="inlineStr">
        <is>
          <t>4-14</t>
        </is>
      </c>
      <c r="C55" s="432" t="inlineStr">
        <is>
          <t>BELFOR</t>
        </is>
      </c>
      <c r="D55" s="432" t="inlineStr">
        <is>
          <t>TIER label</t>
        </is>
      </c>
      <c r="E55" s="432" t="inlineStr">
        <is>
          <t>TIER 1</t>
        </is>
      </c>
      <c r="F55" s="432" t="inlineStr">
        <is>
          <t>P2 · DE-FACTO ANCHOR</t>
        </is>
      </c>
      <c r="G55" s="432" t="inlineStr">
        <is>
          <t>P2 character label</t>
        </is>
      </c>
    </row>
    <row r="56" ht="60" customHeight="1" s="435">
      <c r="A56" s="431" t="inlineStr">
        <is>
          <t>2026-04-29</t>
        </is>
      </c>
      <c r="B56" s="431" t="inlineStr">
        <is>
          <t>4-14</t>
        </is>
      </c>
      <c r="C56" s="431" t="inlineStr">
        <is>
          <t>BELFOR</t>
        </is>
      </c>
      <c r="D56" s="431" t="inlineStr">
        <is>
          <t>FRANCHISOR SCORE</t>
        </is>
      </c>
      <c r="E56" s="431" t="inlineStr">
        <is>
          <t>73
🔴 MOVE NOW</t>
        </is>
      </c>
      <c r="F56" s="431" t="inlineStr">
        <is>
          <t>P2 SET</t>
        </is>
      </c>
      <c r="G56" s="431" t="inlineStr">
        <is>
          <t>P2 set qualitatively classified, not numerically ranked vs P1</t>
        </is>
      </c>
    </row>
    <row r="57" ht="60" customHeight="1" s="435">
      <c r="A57" s="432" t="inlineStr">
        <is>
          <t>2026-04-29</t>
        </is>
      </c>
      <c r="B57" s="432" t="inlineStr">
        <is>
          <t>4-14</t>
        </is>
      </c>
      <c r="C57" s="432" t="inlineStr">
        <is>
          <t>EVIVE BRANDS</t>
        </is>
      </c>
      <c r="D57" s="432" t="inlineStr">
        <is>
          <t>Added new row to Track 1</t>
        </is>
      </c>
      <c r="E57" s="432" t="inlineStr">
        <is>
          <t>(not in original)</t>
        </is>
      </c>
      <c r="F57" s="432" t="inlineStr">
        <is>
          <t>P2-2</t>
        </is>
      </c>
      <c r="G57" s="432" t="inlineStr">
        <is>
          <t>Evive was not in original Track 1 — added per V2 P2 set classification</t>
        </is>
      </c>
    </row>
    <row r="58" ht="60" customHeight="1" s="435">
      <c r="A58" s="431" t="inlineStr">
        <is>
          <t>2026-04-29</t>
        </is>
      </c>
      <c r="B58" s="431" t="inlineStr">
        <is>
          <t>4-14</t>
        </is>
      </c>
      <c r="C58" s="431" t="inlineStr">
        <is>
          <t>THRESHOLD</t>
        </is>
      </c>
      <c r="D58" s="431" t="inlineStr">
        <is>
          <t>Track 1 position</t>
        </is>
      </c>
      <c r="E58" s="431" t="inlineStr">
        <is>
          <t>#2 P1</t>
        </is>
      </c>
      <c r="F58" s="431" t="inlineStr">
        <is>
          <t>P2-3</t>
        </is>
      </c>
      <c r="G58" s="431" t="inlineStr">
        <is>
          <t>Reclassified to P2 set — defensive posture (USA Insulation transitioning off)</t>
        </is>
      </c>
    </row>
    <row r="59" ht="60" customHeight="1" s="435">
      <c r="A59" s="432" t="inlineStr">
        <is>
          <t>2026-04-29</t>
        </is>
      </c>
      <c r="B59" s="432" t="inlineStr">
        <is>
          <t>4-14</t>
        </is>
      </c>
      <c r="C59" s="432" t="inlineStr">
        <is>
          <t>THRESHOLD</t>
        </is>
      </c>
      <c r="D59" s="432" t="inlineStr">
        <is>
          <t>TIER label</t>
        </is>
      </c>
      <c r="E59" s="432" t="inlineStr">
        <is>
          <t>TIER 1</t>
        </is>
      </c>
      <c r="F59" s="432" t="inlineStr">
        <is>
          <t>P2 · AT-RISK ANCHOR</t>
        </is>
      </c>
      <c r="G59" s="432" t="inlineStr">
        <is>
          <t>P2 character label</t>
        </is>
      </c>
    </row>
    <row r="60" ht="60" customHeight="1" s="435">
      <c r="A60" s="431" t="inlineStr">
        <is>
          <t>2026-04-29</t>
        </is>
      </c>
      <c r="B60" s="431" t="inlineStr">
        <is>
          <t>4-14</t>
        </is>
      </c>
      <c r="C60" s="431" t="inlineStr">
        <is>
          <t>THRESHOLD</t>
        </is>
      </c>
      <c r="D60" s="431" t="inlineStr">
        <is>
          <t>FRANCHISOR SCORE</t>
        </is>
      </c>
      <c r="E60" s="431" t="inlineStr">
        <is>
          <t>73
🔴 MOVE NOW</t>
        </is>
      </c>
      <c r="F60" s="431" t="inlineStr">
        <is>
          <t>P2 SET</t>
        </is>
      </c>
      <c r="G60" s="431" t="inlineStr">
        <is>
          <t>P2 set qualitatively classified</t>
        </is>
      </c>
    </row>
    <row r="62">
      <c r="A62" s="466" t="inlineStr">
        <is>
          <t>Other CRM Tabs V2 Realignment (April 29, 2026)</t>
        </is>
      </c>
    </row>
    <row r="63" ht="60" customHeight="1" s="435">
      <c r="A63" s="432" t="inlineStr">
        <is>
          <t>2026-04-29</t>
        </is>
      </c>
      <c r="B63" s="432" t="inlineStr">
        <is>
          <t>💡 Engagement Ideas</t>
        </is>
      </c>
      <c r="C63" s="432" t="inlineStr">
        <is>
          <t>BELFOR</t>
        </is>
      </c>
      <c r="D63" s="432" t="inlineStr">
        <is>
          <t>Priority cell</t>
        </is>
      </c>
      <c r="E63" s="432" t="inlineStr">
        <is>
          <t>🔴 #1</t>
        </is>
      </c>
      <c r="F63" s="432" t="inlineStr">
        <is>
          <t>🟡 P2
DE-FACTO ANCHOR — HOODZ + DUCTZ at 94% SB; convert to mandate</t>
        </is>
      </c>
      <c r="G63" s="432" t="inlineStr">
        <is>
          <t>V2 ranking realignment — was old framework priority, now V2 character label.</t>
        </is>
      </c>
    </row>
    <row r="64" ht="60" customHeight="1" s="435">
      <c r="A64" s="431" t="inlineStr">
        <is>
          <t>2026-04-29</t>
        </is>
      </c>
      <c r="B64" s="431" t="inlineStr">
        <is>
          <t>💡 Engagement Ideas</t>
        </is>
      </c>
      <c r="C64" s="431" t="inlineStr">
        <is>
          <t>THRESHOLD BRANDS</t>
        </is>
      </c>
      <c r="D64" s="431" t="inlineStr">
        <is>
          <t>Priority cell</t>
        </is>
      </c>
      <c r="E64" s="431" t="inlineStr">
        <is>
          <t>🟡 #2</t>
        </is>
      </c>
      <c r="F64" s="431" t="inlineStr">
        <is>
          <t>🔴 P2
AT-RISK ANCHOR — USA Insulation transitioning off SB; defensive</t>
        </is>
      </c>
      <c r="G64" s="431" t="inlineStr">
        <is>
          <t>V2 ranking realignment — was old framework priority, now V2 character label.</t>
        </is>
      </c>
    </row>
    <row r="65" ht="60" customHeight="1" s="435">
      <c r="A65" s="432" t="inlineStr">
        <is>
          <t>2026-04-29</t>
        </is>
      </c>
      <c r="B65" s="432" t="inlineStr">
        <is>
          <t>💡 Engagement Ideas</t>
        </is>
      </c>
      <c r="C65" s="432" t="inlineStr">
        <is>
          <t>EMPOWER BRANDS</t>
        </is>
      </c>
      <c r="D65" s="432" t="inlineStr">
        <is>
          <t>Priority cell</t>
        </is>
      </c>
      <c r="E65" s="432" t="inlineStr">
        <is>
          <t>🟡 #3</t>
        </is>
      </c>
      <c r="F65" s="432" t="inlineStr">
        <is>
          <t>🟡 P1 #3
GREENFIELD-LED — strongest greenfield, Commercial mix</t>
        </is>
      </c>
      <c r="G65" s="432" t="inlineStr">
        <is>
          <t>V2 ranking realignment — was old framework priority, now V2 character label.</t>
        </is>
      </c>
    </row>
    <row r="66" ht="60" customHeight="1" s="435">
      <c r="A66" s="431" t="inlineStr">
        <is>
          <t>2026-04-29</t>
        </is>
      </c>
      <c r="B66" s="431" t="inlineStr">
        <is>
          <t>💡 Engagement Ideas</t>
        </is>
      </c>
      <c r="C66" s="431" t="inlineStr">
        <is>
          <t>RESIBRANDS</t>
        </is>
      </c>
      <c r="D66" s="431" t="inlineStr">
        <is>
          <t>Priority cell</t>
        </is>
      </c>
      <c r="E66" s="431" t="inlineStr">
        <is>
          <t>🔴 #1</t>
        </is>
      </c>
      <c r="F66" s="431" t="inlineStr">
        <is>
          <t>🟢 P1 #4
FAST-CYCLE — founder-direct, fastest decision</t>
        </is>
      </c>
      <c r="G66" s="431" t="inlineStr">
        <is>
          <t>V2 ranking realignment — was old framework priority, now V2 character label.</t>
        </is>
      </c>
    </row>
    <row r="67" ht="60" customHeight="1" s="435">
      <c r="A67" s="432" t="inlineStr">
        <is>
          <t>2026-04-29</t>
        </is>
      </c>
      <c r="B67" s="432" t="inlineStr">
        <is>
          <t>💡 Engagement Ideas</t>
        </is>
      </c>
      <c r="C67" s="432" t="inlineStr">
        <is>
          <t>FIVE STAR FRANCHISING</t>
        </is>
      </c>
      <c r="D67" s="432" t="inlineStr">
        <is>
          <t>Priority cell</t>
        </is>
      </c>
      <c r="E67" s="432" t="inlineStr">
        <is>
          <t>🟡 #4</t>
        </is>
      </c>
      <c r="F67" s="432" t="inlineStr">
        <is>
          <t>🟡 P1 #5
WEDGE-BRAND — Mosquito Shield wedge entry</t>
        </is>
      </c>
      <c r="G67" s="432" t="inlineStr">
        <is>
          <t>V2 ranking realignment — was old framework priority, now V2 character label.</t>
        </is>
      </c>
    </row>
    <row r="68" ht="60" customHeight="1" s="435">
      <c r="A68" s="431" t="inlineStr">
        <is>
          <t>2026-04-29</t>
        </is>
      </c>
      <c r="B68" s="431" t="inlineStr">
        <is>
          <t>💡 Engagement Ideas</t>
        </is>
      </c>
      <c r="C68" s="431" t="inlineStr">
        <is>
          <t>HOMEFRONT BRANDS</t>
        </is>
      </c>
      <c r="D68" s="431" t="inlineStr">
        <is>
          <t>Priority cell</t>
        </is>
      </c>
      <c r="E68" s="431" t="inlineStr">
        <is>
          <t>🟡 #5</t>
        </is>
      </c>
      <c r="F68" s="431" t="inlineStr">
        <is>
          <t>⚪ P1 #7
MONITOR-MODE — Q3/Q4 2026 reassessment posture</t>
        </is>
      </c>
      <c r="G68" s="431" t="inlineStr">
        <is>
          <t>V2 ranking realignment — was old framework priority, now V2 character label.</t>
        </is>
      </c>
    </row>
    <row r="69" ht="60" customHeight="1" s="435">
      <c r="A69" s="432" t="inlineStr">
        <is>
          <t>2026-04-29</t>
        </is>
      </c>
      <c r="B69" s="432" t="inlineStr">
        <is>
          <t>💡 Engagement Ideas</t>
        </is>
      </c>
      <c r="C69" s="432" t="inlineStr">
        <is>
          <t>AUTHORITY BRANDS</t>
        </is>
      </c>
      <c r="D69" s="432" t="inlineStr">
        <is>
          <t>Priority cell</t>
        </is>
      </c>
      <c r="E69" s="432" t="inlineStr">
        <is>
          <t>🟡 #6</t>
        </is>
      </c>
      <c r="F69" s="432" t="inlineStr">
        <is>
          <t>🟡 P1 #2
DISPLACEMENT-READY — leadership transition window</t>
        </is>
      </c>
      <c r="G69" s="432" t="inlineStr">
        <is>
          <t>V2 ranking realignment — was old framework priority, now V2 character label.</t>
        </is>
      </c>
    </row>
    <row r="70" ht="60" customHeight="1" s="435">
      <c r="A70" s="431" t="inlineStr">
        <is>
          <t>2026-04-29</t>
        </is>
      </c>
      <c r="B70" s="431" t="inlineStr">
        <is>
          <t>💡 Engagement Ideas</t>
        </is>
      </c>
      <c r="C70" s="431" t="inlineStr">
        <is>
          <t>NEIGHBORLY</t>
        </is>
      </c>
      <c r="D70" s="431" t="inlineStr">
        <is>
          <t>Priority cell</t>
        </is>
      </c>
      <c r="E70" s="431" t="inlineStr">
        <is>
          <t>⚪ PE Only</t>
        </is>
      </c>
      <c r="F70" s="431" t="inlineStr">
        <is>
          <t>🔴 P1 #1
PE-GATED — DO NOT APPROACH DIRECT (KKR warm path required)</t>
        </is>
      </c>
      <c r="G70" s="431" t="inlineStr">
        <is>
          <t>V2 ranking realignment — was old framework priority, now V2 character label.</t>
        </is>
      </c>
    </row>
    <row r="71" ht="60" customHeight="1" s="435">
      <c r="A71" s="432" t="inlineStr">
        <is>
          <t>2026-04-29</t>
        </is>
      </c>
      <c r="B71" s="432" t="inlineStr">
        <is>
          <t>💡 Engagement Ideas</t>
        </is>
      </c>
      <c r="C71" s="432" t="inlineStr">
        <is>
          <t>PREMIUM SERVICE BRANDS</t>
        </is>
      </c>
      <c r="D71" s="432" t="inlineStr">
        <is>
          <t>Priority cell</t>
        </is>
      </c>
      <c r="E71" s="432" t="inlineStr">
        <is>
          <t>🟡 #7</t>
        </is>
      </c>
      <c r="F71" s="432" t="inlineStr">
        <is>
          <t>🟡 P1 #6
GREENFIELD-OPEN — RooterMan dominant brand wedge</t>
        </is>
      </c>
      <c r="G71" s="432" t="inlineStr">
        <is>
          <t>V2 ranking realignment — was old framework priority, now V2 character label.</t>
        </is>
      </c>
    </row>
    <row r="72" ht="60" customHeight="1" s="435">
      <c r="A72" s="431" t="inlineStr">
        <is>
          <t>2026-04-29</t>
        </is>
      </c>
      <c r="B72" s="431" t="inlineStr">
        <is>
          <t>📊 Scoring Model</t>
        </is>
      </c>
      <c r="C72" s="431" t="inlineStr">
        <is>
          <t>(Header)</t>
        </is>
      </c>
      <c r="D72" s="431" t="inlineStr">
        <is>
          <t>Subtitle</t>
        </is>
      </c>
      <c r="E72" s="431" t="inlineStr">
        <is>
          <t xml:space="preserve">  Velocity GTM Co LLC  ·  Two-level scoring: Franchisor score (Track 1) feeds a bonus into Franchisee score (Track 2). Combined score (max 125) determines pilot priority and outreach sequencing.</t>
        </is>
      </c>
      <c r="F72" s="431" t="inlineStr">
        <is>
          <t xml:space="preserve">  Velocity GTM Co LLC  ·  V2 Greenfield-Weighted Methodology  ·  Track 1 + Track 2 use same 7 dimensions, reweighted per stage  ·  Updated April 28, 2026</t>
        </is>
      </c>
      <c r="G72" s="431" t="inlineStr">
        <is>
          <t>V2 methodology — same 7 dimensions across Stage 1/Stage 2 with stage-specific weights.</t>
        </is>
      </c>
    </row>
    <row r="73" ht="60" customHeight="1" s="435">
      <c r="A73" s="432" t="inlineStr">
        <is>
          <t>2026-04-29</t>
        </is>
      </c>
      <c r="B73" s="432" t="inlineStr">
        <is>
          <t>📊 Scoring Model</t>
        </is>
      </c>
      <c r="C73" s="432" t="inlineStr">
        <is>
          <t>Level 1</t>
        </is>
      </c>
      <c r="D73" s="432" t="inlineStr">
        <is>
          <t>Range/Max</t>
        </is>
      </c>
      <c r="E73" s="432" t="inlineStr">
        <is>
          <t>7 dimensions · Max 100 points</t>
        </is>
      </c>
      <c r="F73" s="432" t="inlineStr">
        <is>
          <t>7 V2 dimensions · Max 100 points</t>
        </is>
      </c>
      <c r="G73" s="432" t="inlineStr">
        <is>
          <t>Updated to V2 framework</t>
        </is>
      </c>
    </row>
    <row r="74" ht="60" customHeight="1" s="435">
      <c r="A74" s="431" t="inlineStr">
        <is>
          <t>2026-04-29</t>
        </is>
      </c>
      <c r="B74" s="431" t="inlineStr">
        <is>
          <t>📊 Scoring Model</t>
        </is>
      </c>
      <c r="C74" s="431" t="inlineStr">
        <is>
          <t>Level 1</t>
        </is>
      </c>
      <c r="D74" s="431" t="inlineStr">
        <is>
          <t>Description</t>
        </is>
      </c>
      <c r="E74" s="431" t="inlineStr">
        <is>
          <t>Scores each of the 9 PE-backed franchisor targets. Determines where we focus GTM effort at the network level. Also feeds directly into the franchisee bonus calculation.</t>
        </is>
      </c>
      <c r="F74" s="431" t="inlineStr">
        <is>
          <t xml:space="preserve">Scores each of the 7 P1 franchisor targets using V2 dimensions: Greenfield (20%), Network (15%), PE (15%), DM Access (15%), Urgency (15%), Displacement (10%), C/B Mix (10%). Determines where to focus </t>
        </is>
      </c>
      <c r="G74" s="431" t="inlineStr">
        <is>
          <t>V2 description</t>
        </is>
      </c>
    </row>
    <row r="75" ht="60" customHeight="1" s="435">
      <c r="A75" s="432" t="inlineStr">
        <is>
          <t>2026-04-29</t>
        </is>
      </c>
      <c r="B75" s="432" t="inlineStr">
        <is>
          <t>📊 Scoring Model</t>
        </is>
      </c>
      <c r="C75" s="432" t="inlineStr">
        <is>
          <t>Level 2</t>
        </is>
      </c>
      <c r="D75" s="432" t="inlineStr">
        <is>
          <t>Description</t>
        </is>
      </c>
      <c r="E75" s="432" t="inlineStr">
        <is>
          <t>Scores individual franchise brands as pilot candidates. Driven by FSM status, tech count, GPS Insight relationship, and trade type. Pilot candidates are the path to reference selling.</t>
        </is>
      </c>
      <c r="F75" s="432" t="inlineStr">
        <is>
          <t>Scores brand-corp targets in Stage 2 using same 7 V2 dimensions, reweighted to favor brand-level velocity: Greenfield (30%), Network (15%), PE (10%), DM Access (15%), Urgency (15%), Displacement (5%),</t>
        </is>
      </c>
      <c r="G75" s="432" t="inlineStr">
        <is>
          <t>V2 description for brand-corp scoring</t>
        </is>
      </c>
    </row>
    <row r="76" ht="60" customHeight="1" s="435">
      <c r="A76" s="431" t="inlineStr">
        <is>
          <t>2026-04-29</t>
        </is>
      </c>
      <c r="B76" s="431" t="inlineStr">
        <is>
          <t>📊 Scoring Model</t>
        </is>
      </c>
      <c r="C76" s="431" t="inlineStr">
        <is>
          <t>Bonus</t>
        </is>
      </c>
      <c r="D76" s="431" t="inlineStr">
        <is>
          <t>Description</t>
        </is>
      </c>
      <c r="E76" s="431" t="inlineStr">
        <is>
          <t>The franchisor score adds a bonus to every franchisee under that parent. A franchisee inside a Tier 1 franchisor (score 70+) gets +25 bonus. This ensures pilot effort flows toward accounts where the f</t>
        </is>
      </c>
      <c r="F76" s="431" t="inlineStr">
        <is>
          <t>The franchisor V2 score adds a bonus to every brand-corp under that parent: 70+ score = +25, 45-69 = +15, 1-44 = +5. Reflects strategic context: a brand-corp inside a P1 #1 parent gets enterprise mand</t>
        </is>
      </c>
      <c r="G76" s="431" t="inlineStr">
        <is>
          <t>V2 description</t>
        </is>
      </c>
    </row>
    <row r="77" ht="60" customHeight="1" s="435">
      <c r="A77" s="432" t="inlineStr">
        <is>
          <t>2026-04-29</t>
        </is>
      </c>
      <c r="B77" s="432" t="inlineStr">
        <is>
          <t>📊 Scoring Model</t>
        </is>
      </c>
      <c r="C77" s="432" t="inlineStr">
        <is>
          <t>Dimension #1</t>
        </is>
      </c>
      <c r="D77" s="432" t="inlineStr">
        <is>
          <t>Dimension definition</t>
        </is>
      </c>
      <c r="E77" s="432" t="inlineStr">
        <is>
          <t>V1: FSM Status</t>
        </is>
      </c>
      <c r="F77" s="432" t="inlineStr">
        <is>
          <t>V2: Greenfield (20 pts)</t>
        </is>
      </c>
      <c r="G77" s="432" t="inlineStr">
        <is>
          <t>V2 dimension framework</t>
        </is>
      </c>
    </row>
    <row r="78" ht="60" customHeight="1" s="435">
      <c r="A78" s="431" t="inlineStr">
        <is>
          <t>2026-04-29</t>
        </is>
      </c>
      <c r="B78" s="431" t="inlineStr">
        <is>
          <t>📊 Scoring Model</t>
        </is>
      </c>
      <c r="C78" s="431" t="inlineStr">
        <is>
          <t>Dimension #2</t>
        </is>
      </c>
      <c r="D78" s="431" t="inlineStr">
        <is>
          <t>Dimension definition</t>
        </is>
      </c>
      <c r="E78" s="431" t="inlineStr">
        <is>
          <t>V1: Network Size
/ ARR Potential</t>
        </is>
      </c>
      <c r="F78" s="431" t="inlineStr">
        <is>
          <t>V2: Network (15 pts)</t>
        </is>
      </c>
      <c r="G78" s="431" t="inlineStr">
        <is>
          <t>V2 dimension framework</t>
        </is>
      </c>
    </row>
    <row r="79" ht="60" customHeight="1" s="435">
      <c r="A79" s="432" t="inlineStr">
        <is>
          <t>2026-04-29</t>
        </is>
      </c>
      <c r="B79" s="432" t="inlineStr">
        <is>
          <t>📊 Scoring Model</t>
        </is>
      </c>
      <c r="C79" s="432" t="inlineStr">
        <is>
          <t>Dimension #3</t>
        </is>
      </c>
      <c r="D79" s="432" t="inlineStr">
        <is>
          <t>Dimension definition</t>
        </is>
      </c>
      <c r="E79" s="432" t="inlineStr">
        <is>
          <t>V1: PE Exit Window
Urgency</t>
        </is>
      </c>
      <c r="F79" s="432" t="inlineStr">
        <is>
          <t>V2: PE (15 pts)</t>
        </is>
      </c>
      <c r="G79" s="432" t="inlineStr">
        <is>
          <t>V2 dimension framework</t>
        </is>
      </c>
    </row>
    <row r="80" ht="60" customHeight="1" s="435">
      <c r="A80" s="431" t="inlineStr">
        <is>
          <t>2026-04-29</t>
        </is>
      </c>
      <c r="B80" s="431" t="inlineStr">
        <is>
          <t>📊 Scoring Model</t>
        </is>
      </c>
      <c r="C80" s="431" t="inlineStr">
        <is>
          <t>Dimension #4</t>
        </is>
      </c>
      <c r="D80" s="431" t="inlineStr">
        <is>
          <t>Dimension definition</t>
        </is>
      </c>
      <c r="E80" s="431" t="inlineStr">
        <is>
          <t>V1: FDD Intel
Quality</t>
        </is>
      </c>
      <c r="F80" s="431" t="inlineStr">
        <is>
          <t>V2: DM Access (15 pts)</t>
        </is>
      </c>
      <c r="G80" s="431" t="inlineStr">
        <is>
          <t>V2 dimension framework</t>
        </is>
      </c>
    </row>
    <row r="81" ht="60" customHeight="1" s="435">
      <c r="A81" s="432" t="inlineStr">
        <is>
          <t>2026-04-29</t>
        </is>
      </c>
      <c r="B81" s="432" t="inlineStr">
        <is>
          <t>📊 Scoring Model</t>
        </is>
      </c>
      <c r="C81" s="432" t="inlineStr">
        <is>
          <t>Dimension #5</t>
        </is>
      </c>
      <c r="D81" s="432" t="inlineStr">
        <is>
          <t>Dimension definition</t>
        </is>
      </c>
      <c r="E81" s="432" t="inlineStr">
        <is>
          <t>V1: Contact
Accessibility</t>
        </is>
      </c>
      <c r="F81" s="432" t="inlineStr">
        <is>
          <t>V2: Urgency (15 pts)</t>
        </is>
      </c>
      <c r="G81" s="432" t="inlineStr">
        <is>
          <t>V2 dimension framework</t>
        </is>
      </c>
    </row>
    <row r="82" ht="60" customHeight="1" s="435">
      <c r="A82" s="431" t="inlineStr">
        <is>
          <t>2026-04-29</t>
        </is>
      </c>
      <c r="B82" s="431" t="inlineStr">
        <is>
          <t>📊 Scoring Model</t>
        </is>
      </c>
      <c r="C82" s="431" t="inlineStr">
        <is>
          <t>Dimension #6</t>
        </is>
      </c>
      <c r="D82" s="431" t="inlineStr">
        <is>
          <t>Dimension definition</t>
        </is>
      </c>
      <c r="E82" s="431" t="inlineStr">
        <is>
          <t>V1: GPS Insight
Warm Flag</t>
        </is>
      </c>
      <c r="F82" s="431" t="inlineStr">
        <is>
          <t>V2: Displacement (10 pts)</t>
        </is>
      </c>
      <c r="G82" s="431" t="inlineStr">
        <is>
          <t>V2 dimension framework</t>
        </is>
      </c>
    </row>
    <row r="83" ht="60" customHeight="1" s="435">
      <c r="A83" s="432" t="inlineStr">
        <is>
          <t>2026-04-29</t>
        </is>
      </c>
      <c r="B83" s="432" t="inlineStr">
        <is>
          <t>📊 Scoring Model</t>
        </is>
      </c>
      <c r="C83" s="432" t="inlineStr">
        <is>
          <t>Dimension #7</t>
        </is>
      </c>
      <c r="D83" s="432" t="inlineStr">
        <is>
          <t>Dimension definition</t>
        </is>
      </c>
      <c r="E83" s="432" t="inlineStr">
        <is>
          <t>V1: Pilot / Reference
Fit</t>
        </is>
      </c>
      <c r="F83" s="432" t="inlineStr">
        <is>
          <t>V2: C/B Mix (10 pts)</t>
        </is>
      </c>
      <c r="G83" s="432" t="inlineStr">
        <is>
          <t>V2 dimension framework</t>
        </is>
      </c>
    </row>
    <row r="84" ht="60" customHeight="1" s="435">
      <c r="A84" s="431" t="inlineStr">
        <is>
          <t>2026-04-29</t>
        </is>
      </c>
      <c r="B84" s="431" t="inlineStr">
        <is>
          <t>📊 Scoring Model</t>
        </is>
      </c>
      <c r="C84" s="431" t="inlineStr">
        <is>
          <t>Stage 2 Dim #1</t>
        </is>
      </c>
      <c r="D84" s="431" t="inlineStr">
        <is>
          <t>Stage 2 dimension definition</t>
        </is>
      </c>
      <c r="E84" s="431" t="inlineStr">
        <is>
          <t>V1: FSM Status</t>
        </is>
      </c>
      <c r="F84" s="431" t="inlineStr">
        <is>
          <t>V2: Greenfield (30 pts)</t>
        </is>
      </c>
      <c r="G84" s="431" t="inlineStr">
        <is>
          <t>V2 stage 2 reweighting</t>
        </is>
      </c>
    </row>
    <row r="85" ht="60" customHeight="1" s="435">
      <c r="A85" s="432" t="inlineStr">
        <is>
          <t>2026-04-29</t>
        </is>
      </c>
      <c r="B85" s="432" t="inlineStr">
        <is>
          <t>📊 Scoring Model</t>
        </is>
      </c>
      <c r="C85" s="432" t="inlineStr">
        <is>
          <t>Stage 2 Dim #2</t>
        </is>
      </c>
      <c r="D85" s="432" t="inlineStr">
        <is>
          <t>Stage 2 dimension definition</t>
        </is>
      </c>
      <c r="E85" s="432" t="inlineStr">
        <is>
          <t>V1: Tech Count
Sweet Spot</t>
        </is>
      </c>
      <c r="F85" s="432" t="inlineStr">
        <is>
          <t>V2: Network (15 pts)</t>
        </is>
      </c>
      <c r="G85" s="432" t="inlineStr">
        <is>
          <t>V2 stage 2 reweighting</t>
        </is>
      </c>
    </row>
    <row r="86" ht="60" customHeight="1" s="435">
      <c r="A86" s="431" t="inlineStr">
        <is>
          <t>2026-04-29</t>
        </is>
      </c>
      <c r="B86" s="431" t="inlineStr">
        <is>
          <t>📊 Scoring Model</t>
        </is>
      </c>
      <c r="C86" s="431" t="inlineStr">
        <is>
          <t>Stage 2 Dim #3</t>
        </is>
      </c>
      <c r="D86" s="431" t="inlineStr">
        <is>
          <t>Stage 2 dimension definition</t>
        </is>
      </c>
      <c r="E86" s="431" t="inlineStr">
        <is>
          <t>V1: GPS Insight
Warm Flag</t>
        </is>
      </c>
      <c r="F86" s="431" t="inlineStr">
        <is>
          <t>V2: PE (10 pts)</t>
        </is>
      </c>
      <c r="G86" s="431" t="inlineStr">
        <is>
          <t>V2 stage 2 reweighting</t>
        </is>
      </c>
    </row>
    <row r="87" ht="60" customHeight="1" s="435">
      <c r="A87" s="432" t="inlineStr">
        <is>
          <t>2026-04-29</t>
        </is>
      </c>
      <c r="B87" s="432" t="inlineStr">
        <is>
          <t>📊 Scoring Model</t>
        </is>
      </c>
      <c r="C87" s="432" t="inlineStr">
        <is>
          <t>Stage 2 Dim #4</t>
        </is>
      </c>
      <c r="D87" s="432" t="inlineStr">
        <is>
          <t>Stage 2 dimension definition</t>
        </is>
      </c>
      <c r="E87" s="432" t="inlineStr">
        <is>
          <t>V1: Trade / Pilot
Fit</t>
        </is>
      </c>
      <c r="F87" s="432" t="inlineStr">
        <is>
          <t>V2: DM Access (15 pts)</t>
        </is>
      </c>
      <c r="G87" s="432" t="inlineStr">
        <is>
          <t>V2 stage 2 reweighting</t>
        </is>
      </c>
    </row>
    <row r="88" ht="60" customHeight="1" s="435">
      <c r="A88" s="431" t="inlineStr">
        <is>
          <t>2026-04-29</t>
        </is>
      </c>
      <c r="B88" s="431" t="inlineStr">
        <is>
          <t>📊 Scoring Model</t>
        </is>
      </c>
      <c r="C88" s="431" t="inlineStr">
        <is>
          <t>Stage 2 Dim #5</t>
        </is>
      </c>
      <c r="D88" s="431" t="inlineStr">
        <is>
          <t>Stage 2 dimension definition</t>
        </is>
      </c>
      <c r="E88" s="431" t="inlineStr">
        <is>
          <t>V1: Parent Franchisor
Relationship</t>
        </is>
      </c>
      <c r="F88" s="431" t="inlineStr">
        <is>
          <t>V2: Urgency (15 pts)</t>
        </is>
      </c>
      <c r="G88" s="431" t="inlineStr">
        <is>
          <t>V2 stage 2 reweighting</t>
        </is>
      </c>
    </row>
    <row r="89" ht="60" customHeight="1" s="435">
      <c r="A89" s="432" t="inlineStr">
        <is>
          <t>2026-04-29</t>
        </is>
      </c>
      <c r="B89" s="432" t="inlineStr">
        <is>
          <t>📊 Scoring Model</t>
        </is>
      </c>
      <c r="C89" s="432" t="inlineStr">
        <is>
          <t>Stage 2 Dim #6</t>
        </is>
      </c>
      <c r="D89" s="432" t="inlineStr">
        <is>
          <t>Stage 2 dimension definition</t>
        </is>
      </c>
      <c r="E89" s="432" t="inlineStr">
        <is>
          <t>V1: Owner
Accessibility</t>
        </is>
      </c>
      <c r="F89" s="432" t="inlineStr">
        <is>
          <t>V2: Displacement (5 pts)</t>
        </is>
      </c>
      <c r="G89" s="432" t="inlineStr">
        <is>
          <t>V2 stage 2 reweighting</t>
        </is>
      </c>
    </row>
    <row r="90" ht="60" customHeight="1" s="435">
      <c r="A90" s="431" t="inlineStr">
        <is>
          <t>2026-04-29</t>
        </is>
      </c>
      <c r="B90" s="431" t="inlineStr">
        <is>
          <t>📊 Scoring Model</t>
        </is>
      </c>
      <c r="C90" s="431" t="inlineStr">
        <is>
          <t>Stage 2 Dim #7</t>
        </is>
      </c>
      <c r="D90" s="431" t="inlineStr">
        <is>
          <t>Stage 2 dimension definition</t>
        </is>
      </c>
      <c r="E90" s="431" t="inlineStr">
        <is>
          <t>V1: Reference /
Story Potential</t>
        </is>
      </c>
      <c r="F90" s="431" t="inlineStr">
        <is>
          <t>V2: C/B Mix (10 pts)</t>
        </is>
      </c>
      <c r="G90" s="431" t="inlineStr">
        <is>
          <t>V2 stage 2 reweighting</t>
        </is>
      </c>
    </row>
    <row r="91" ht="60" customHeight="1" s="435">
      <c r="A91" s="432" t="inlineStr">
        <is>
          <t>2026-04-29</t>
        </is>
      </c>
      <c r="B91" s="432" t="inlineStr">
        <is>
          <t>📊 Scoring Model</t>
        </is>
      </c>
      <c r="C91" s="432" t="inlineStr">
        <is>
          <t>NEIGHBORLY</t>
        </is>
      </c>
      <c r="D91" s="432" t="inlineStr">
        <is>
          <t>Live V2 score row 39</t>
        </is>
      </c>
      <c r="E91" s="432" t="inlineStr">
        <is>
          <t>(1, 'BELFOR', 73, '🔴 MOVE NOW')</t>
        </is>
      </c>
      <c r="F91" s="432" t="inlineStr">
        <is>
          <t>V2 #1: 76.5 🔴 P1 #1</t>
        </is>
      </c>
      <c r="G91" s="432" t="inlineStr">
        <is>
          <t>V2 ranking</t>
        </is>
      </c>
    </row>
    <row r="92" ht="60" customHeight="1" s="435">
      <c r="A92" s="431" t="inlineStr">
        <is>
          <t>2026-04-29</t>
        </is>
      </c>
      <c r="B92" s="431" t="inlineStr">
        <is>
          <t>📊 Scoring Model</t>
        </is>
      </c>
      <c r="C92" s="431" t="inlineStr">
        <is>
          <t>AUTHORITY BRANDS</t>
        </is>
      </c>
      <c r="D92" s="431" t="inlineStr">
        <is>
          <t>Live V2 score row 40</t>
        </is>
      </c>
      <c r="E92" s="431" t="inlineStr">
        <is>
          <t>(2, 'THRESHOLD BRANDS', 73, '🔴 MOVE NOW')</t>
        </is>
      </c>
      <c r="F92" s="431" t="inlineStr">
        <is>
          <t>V2 #2: 68.5 🟡 P1 #2</t>
        </is>
      </c>
      <c r="G92" s="431" t="inlineStr">
        <is>
          <t>V2 ranking</t>
        </is>
      </c>
    </row>
    <row r="93" ht="60" customHeight="1" s="435">
      <c r="A93" s="432" t="inlineStr">
        <is>
          <t>2026-04-29</t>
        </is>
      </c>
      <c r="B93" s="432" t="inlineStr">
        <is>
          <t>📊 Scoring Model</t>
        </is>
      </c>
      <c r="C93" s="432" t="inlineStr">
        <is>
          <t>EMPOWER BRANDS</t>
        </is>
      </c>
      <c r="D93" s="432" t="inlineStr">
        <is>
          <t>Live V2 score row 41</t>
        </is>
      </c>
      <c r="E93" s="432" t="inlineStr">
        <is>
          <t>(3, 'FIVE STAR FRANCHISING', 72, '🔴 MOVE NOW')</t>
        </is>
      </c>
      <c r="F93" s="432" t="inlineStr">
        <is>
          <t>V2 #3: 66.2 🟡 P1 #3</t>
        </is>
      </c>
      <c r="G93" s="432" t="inlineStr">
        <is>
          <t>V2 ranking</t>
        </is>
      </c>
    </row>
    <row r="94" ht="60" customHeight="1" s="435">
      <c r="A94" s="431" t="inlineStr">
        <is>
          <t>2026-04-29</t>
        </is>
      </c>
      <c r="B94" s="431" t="inlineStr">
        <is>
          <t>📊 Scoring Model</t>
        </is>
      </c>
      <c r="C94" s="431" t="inlineStr">
        <is>
          <t>RESIBRANDS</t>
        </is>
      </c>
      <c r="D94" s="431" t="inlineStr">
        <is>
          <t>Live V2 score row 42</t>
        </is>
      </c>
      <c r="E94" s="431" t="inlineStr">
        <is>
          <t>(4, 'PREMIUM SERVICE BRANDS', 61, '🟡 ACTIVE')</t>
        </is>
      </c>
      <c r="F94" s="431" t="inlineStr">
        <is>
          <t>V2 #4: 60.2 🟢 P1 #4</t>
        </is>
      </c>
      <c r="G94" s="431" t="inlineStr">
        <is>
          <t>V2 ranking</t>
        </is>
      </c>
    </row>
    <row r="95" ht="60" customHeight="1" s="435">
      <c r="A95" s="432" t="inlineStr">
        <is>
          <t>2026-04-29</t>
        </is>
      </c>
      <c r="B95" s="432" t="inlineStr">
        <is>
          <t>📊 Scoring Model</t>
        </is>
      </c>
      <c r="C95" s="432" t="inlineStr">
        <is>
          <t>FIVE STAR FRANCHISING</t>
        </is>
      </c>
      <c r="D95" s="432" t="inlineStr">
        <is>
          <t>Live V2 score row 43</t>
        </is>
      </c>
      <c r="E95" s="432" t="inlineStr">
        <is>
          <t>(5, 'AUTHORITY BRANDS', 61, '🟡 ACTIVE')</t>
        </is>
      </c>
      <c r="F95" s="432" t="inlineStr">
        <is>
          <t>V2 #5: 59.2 🟡 P1 #5</t>
        </is>
      </c>
      <c r="G95" s="432" t="inlineStr">
        <is>
          <t>V2 ranking</t>
        </is>
      </c>
    </row>
    <row r="96" ht="60" customHeight="1" s="435">
      <c r="A96" s="431" t="inlineStr">
        <is>
          <t>2026-04-29</t>
        </is>
      </c>
      <c r="B96" s="431" t="inlineStr">
        <is>
          <t>📊 Scoring Model</t>
        </is>
      </c>
      <c r="C96" s="431" t="inlineStr">
        <is>
          <t>PREMIUM SERVICE BRANDS</t>
        </is>
      </c>
      <c r="D96" s="431" t="inlineStr">
        <is>
          <t>Live V2 score row 44</t>
        </is>
      </c>
      <c r="E96" s="431" t="inlineStr">
        <is>
          <t>(6, 'EMPOWER BRANDS', 60, '🟡 ACTIVE')</t>
        </is>
      </c>
      <c r="F96" s="431" t="inlineStr">
        <is>
          <t>V2 #6: 59.0 🟡 P1 #6</t>
        </is>
      </c>
      <c r="G96" s="431" t="inlineStr">
        <is>
          <t>V2 ranking</t>
        </is>
      </c>
    </row>
    <row r="97" ht="60" customHeight="1" s="435">
      <c r="A97" s="432" t="inlineStr">
        <is>
          <t>2026-04-29</t>
        </is>
      </c>
      <c r="B97" s="432" t="inlineStr">
        <is>
          <t>📊 Scoring Model</t>
        </is>
      </c>
      <c r="C97" s="432" t="inlineStr">
        <is>
          <t>HOMEFRONT BRANDS</t>
        </is>
      </c>
      <c r="D97" s="432" t="inlineStr">
        <is>
          <t>Live V2 score row 45</t>
        </is>
      </c>
      <c r="E97" s="432" t="inlineStr">
        <is>
          <t>(7, 'RESIBRANDS', 58, '🟡 ACTIVE')</t>
        </is>
      </c>
      <c r="F97" s="432" t="inlineStr">
        <is>
          <t>V2 #7: 44.0 ⚪ P1 #7</t>
        </is>
      </c>
      <c r="G97" s="432" t="inlineStr">
        <is>
          <t>V2 ranking</t>
        </is>
      </c>
    </row>
    <row r="98" ht="60" customHeight="1" s="435">
      <c r="A98" s="431" t="inlineStr">
        <is>
          <t>2026-04-29</t>
        </is>
      </c>
      <c r="B98" s="431" t="inlineStr">
        <is>
          <t>📊 Scoring Model</t>
        </is>
      </c>
      <c r="C98" s="431" t="inlineStr">
        <is>
          <t>BELFOR FRANCHISE GROUP</t>
        </is>
      </c>
      <c r="D98" s="431" t="inlineStr">
        <is>
          <t>P2 entry row 46</t>
        </is>
      </c>
      <c r="E98" s="431" t="inlineStr">
        <is>
          <t>(was old V1 entry)</t>
        </is>
      </c>
      <c r="F98" s="431" t="inlineStr">
        <is>
          <t>P2: BELFOR FRANCHISE GROUP</t>
        </is>
      </c>
      <c r="G98" s="431" t="inlineStr">
        <is>
          <t>P2 set classification</t>
        </is>
      </c>
    </row>
    <row r="99" ht="60" customHeight="1" s="435">
      <c r="A99" s="432" t="inlineStr">
        <is>
          <t>2026-04-29</t>
        </is>
      </c>
      <c r="B99" s="432" t="inlineStr">
        <is>
          <t>📊 Scoring Model</t>
        </is>
      </c>
      <c r="C99" s="432" t="inlineStr">
        <is>
          <t>EVIVE BRANDS</t>
        </is>
      </c>
      <c r="D99" s="432" t="inlineStr">
        <is>
          <t>P2 entry row 47</t>
        </is>
      </c>
      <c r="E99" s="432" t="inlineStr">
        <is>
          <t>(was old V1 entry)</t>
        </is>
      </c>
      <c r="F99" s="432" t="inlineStr">
        <is>
          <t>P2: EVIVE BRANDS</t>
        </is>
      </c>
      <c r="G99" s="432" t="inlineStr">
        <is>
          <t>P2 set classification</t>
        </is>
      </c>
    </row>
    <row r="100" ht="60" customHeight="1" s="435">
      <c r="A100" s="431" t="inlineStr">
        <is>
          <t>2026-04-29</t>
        </is>
      </c>
      <c r="B100" s="431" t="inlineStr">
        <is>
          <t>📊 Scoring Model</t>
        </is>
      </c>
      <c r="C100" s="431" t="inlineStr">
        <is>
          <t>THRESHOLD BRANDS</t>
        </is>
      </c>
      <c r="D100" s="431" t="inlineStr">
        <is>
          <t>P2 entry row 48</t>
        </is>
      </c>
      <c r="E100" s="431" t="inlineStr">
        <is>
          <t>(was old V1 entry)</t>
        </is>
      </c>
      <c r="F100" s="431" t="inlineStr">
        <is>
          <t>P2: THRESHOLD BRANDS</t>
        </is>
      </c>
      <c r="G100" s="431" t="inlineStr">
        <is>
          <t>P2 set classification</t>
        </is>
      </c>
    </row>
    <row r="101" ht="60" customHeight="1" s="435">
      <c r="A101" s="432" t="inlineStr">
        <is>
          <t>2026-04-29</t>
        </is>
      </c>
      <c r="B101" s="432" t="inlineStr">
        <is>
          <t>Account Feedback</t>
        </is>
      </c>
      <c r="C101" s="432" t="inlineStr">
        <is>
          <t>BELFOR</t>
        </is>
      </c>
      <c r="D101" s="432" t="inlineStr">
        <is>
          <t>Track classification</t>
        </is>
      </c>
      <c r="E101" s="432" t="inlineStr">
        <is>
          <t>Track 1</t>
        </is>
      </c>
      <c r="F101" s="432" t="inlineStr">
        <is>
          <t>P2 Set</t>
        </is>
      </c>
      <c r="G101" s="432" t="inlineStr">
        <is>
          <t>Reclassified from Track 1 P1 to P2 Set (existing footprint)</t>
        </is>
      </c>
    </row>
    <row r="102" ht="60" customHeight="1" s="435">
      <c r="A102" s="431" t="inlineStr">
        <is>
          <t>2026-04-29</t>
        </is>
      </c>
      <c r="B102" s="431" t="inlineStr">
        <is>
          <t>Account Feedback</t>
        </is>
      </c>
      <c r="C102" s="431" t="inlineStr">
        <is>
          <t>THRESHOLD BRANDS</t>
        </is>
      </c>
      <c r="D102" s="431" t="inlineStr">
        <is>
          <t>Track classification</t>
        </is>
      </c>
      <c r="E102" s="431" t="inlineStr">
        <is>
          <t>Track 1</t>
        </is>
      </c>
      <c r="F102" s="431" t="inlineStr">
        <is>
          <t>P2 Set</t>
        </is>
      </c>
      <c r="G102" s="431" t="inlineStr">
        <is>
          <t>Reclassified from Track 1 P1 to P2 Set (USA Insulation transitioning off — defensive posture)</t>
        </is>
      </c>
    </row>
    <row r="103" ht="60" customHeight="1" s="435">
      <c r="A103" s="432" t="inlineStr">
        <is>
          <t>2026-04-29</t>
        </is>
      </c>
      <c r="B103" s="432" t="inlineStr">
        <is>
          <t>Account Feedback</t>
        </is>
      </c>
      <c r="C103" s="432" t="inlineStr">
        <is>
          <t>USA Insulation</t>
        </is>
      </c>
      <c r="D103" s="432" t="inlineStr">
        <is>
          <t>Notes</t>
        </is>
      </c>
      <c r="E103" s="432" t="inlineStr">
        <is>
          <t>(empty)</t>
        </is>
      </c>
      <c r="F103" s="432" t="inlineStr">
        <is>
          <t xml:space="preserve">⚠️ AT-RISK: 75% SB penetration transitioning off over next year (Andrea Apr 2026). Retention play — defend if reversible. </t>
        </is>
      </c>
      <c r="G103" s="432" t="inlineStr">
        <is>
          <t>Added at-risk transition note per Andrea Apr 2026 update</t>
        </is>
      </c>
    </row>
    <row r="104" ht="60" customHeight="1" s="435">
      <c r="A104" s="431" t="inlineStr">
        <is>
          <t>2026-04-29</t>
        </is>
      </c>
      <c r="B104" s="431" t="inlineStr">
        <is>
          <t>📅 Event Intelligence</t>
        </is>
      </c>
      <c r="C104" s="431" t="inlineStr">
        <is>
          <t>BELFOR</t>
        </is>
      </c>
      <c r="D104" s="431" t="inlineStr">
        <is>
          <t>Franchisor label (col 1)</t>
        </is>
      </c>
      <c r="E104" s="431" t="inlineStr">
        <is>
          <t>BELFOR</t>
        </is>
      </c>
      <c r="F104" s="431" t="inlineStr">
        <is>
          <t>BELFOR · P2 DE-FACTO ANCHOR</t>
        </is>
      </c>
      <c r="G104" s="431" t="inlineStr">
        <is>
          <t>Added V2 priority/character label for visibility</t>
        </is>
      </c>
    </row>
    <row r="105" ht="60" customHeight="1" s="435">
      <c r="A105" s="432" t="inlineStr">
        <is>
          <t>2026-04-29</t>
        </is>
      </c>
      <c r="B105" s="432" t="inlineStr">
        <is>
          <t>📅 Event Intelligence</t>
        </is>
      </c>
      <c r="C105" s="432" t="inlineStr">
        <is>
          <t>THRESHOLD BRANDS</t>
        </is>
      </c>
      <c r="D105" s="432" t="inlineStr">
        <is>
          <t>Franchisor label (col 1)</t>
        </is>
      </c>
      <c r="E105" s="432" t="inlineStr">
        <is>
          <t>THRESHOLD BRANDS</t>
        </is>
      </c>
      <c r="F105" s="432" t="inlineStr">
        <is>
          <t>THRESHOLD BRANDS · P2 AT-RISK ANCHOR</t>
        </is>
      </c>
      <c r="G105" s="432" t="inlineStr">
        <is>
          <t>Added V2 priority/character label for visibility</t>
        </is>
      </c>
    </row>
    <row r="106" ht="60" customHeight="1" s="435">
      <c r="A106" s="431" t="inlineStr">
        <is>
          <t>2026-04-29</t>
        </is>
      </c>
      <c r="B106" s="431" t="inlineStr">
        <is>
          <t>📅 Event Intelligence</t>
        </is>
      </c>
      <c r="C106" s="431" t="inlineStr">
        <is>
          <t>EMPOWER BRANDS</t>
        </is>
      </c>
      <c r="D106" s="431" t="inlineStr">
        <is>
          <t>Franchisor label (col 1)</t>
        </is>
      </c>
      <c r="E106" s="431" t="inlineStr">
        <is>
          <t>EMPOWER BRANDS</t>
        </is>
      </c>
      <c r="F106" s="431" t="inlineStr">
        <is>
          <t>EMPOWER BRANDS · P1 #3 GREENFIELD-LED</t>
        </is>
      </c>
      <c r="G106" s="431" t="inlineStr">
        <is>
          <t>Added V2 priority/character label for visibility</t>
        </is>
      </c>
    </row>
    <row r="107" ht="60" customHeight="1" s="435">
      <c r="A107" s="432" t="inlineStr">
        <is>
          <t>2026-04-29</t>
        </is>
      </c>
      <c r="B107" s="432" t="inlineStr">
        <is>
          <t>📅 Event Intelligence</t>
        </is>
      </c>
      <c r="C107" s="432" t="inlineStr">
        <is>
          <t>PREMIUM SERVICE BRANDS</t>
        </is>
      </c>
      <c r="D107" s="432" t="inlineStr">
        <is>
          <t>Franchisor label (col 1)</t>
        </is>
      </c>
      <c r="E107" s="432" t="inlineStr">
        <is>
          <t>PREMIUM SERVICE BRANDS</t>
        </is>
      </c>
      <c r="F107" s="432" t="inlineStr">
        <is>
          <t>PREMIUM SERVICE BRANDS · P1 #6 GREENFIELD-OPEN</t>
        </is>
      </c>
      <c r="G107" s="432" t="inlineStr">
        <is>
          <t>Added V2 priority/character label for visibility</t>
        </is>
      </c>
    </row>
    <row r="108" ht="60" customHeight="1" s="435">
      <c r="A108" s="431" t="inlineStr">
        <is>
          <t>2026-04-29</t>
        </is>
      </c>
      <c r="B108" s="431" t="inlineStr">
        <is>
          <t>📅 Event Intelligence</t>
        </is>
      </c>
      <c r="C108" s="431" t="inlineStr">
        <is>
          <t>RESIBRANDS</t>
        </is>
      </c>
      <c r="D108" s="431" t="inlineStr">
        <is>
          <t>Franchisor label (col 1)</t>
        </is>
      </c>
      <c r="E108" s="431" t="inlineStr">
        <is>
          <t>RESIBRANDS</t>
        </is>
      </c>
      <c r="F108" s="431" t="inlineStr">
        <is>
          <t>RESIBRANDS · P1 #4 FAST-CYCLE</t>
        </is>
      </c>
      <c r="G108" s="431" t="inlineStr">
        <is>
          <t>Added V2 priority/character label for visibility</t>
        </is>
      </c>
    </row>
    <row r="109" ht="60" customHeight="1" s="435">
      <c r="A109" s="432" t="inlineStr">
        <is>
          <t>2026-04-29</t>
        </is>
      </c>
      <c r="B109" s="432" t="inlineStr">
        <is>
          <t>📅 Event Intelligence</t>
        </is>
      </c>
      <c r="C109" s="432" t="inlineStr">
        <is>
          <t>FIVE STAR FRANCHISING</t>
        </is>
      </c>
      <c r="D109" s="432" t="inlineStr">
        <is>
          <t>Franchisor label (col 1)</t>
        </is>
      </c>
      <c r="E109" s="432" t="inlineStr">
        <is>
          <t>FIVE STAR FRANCHISING</t>
        </is>
      </c>
      <c r="F109" s="432" t="inlineStr">
        <is>
          <t>FIVE STAR FRANCHISING · P1 #5 WEDGE-BRAND</t>
        </is>
      </c>
      <c r="G109" s="432" t="inlineStr">
        <is>
          <t>Added V2 priority/character label for visibility</t>
        </is>
      </c>
    </row>
    <row r="110" ht="60" customHeight="1" s="435">
      <c r="A110" s="431" t="inlineStr">
        <is>
          <t>2026-04-29</t>
        </is>
      </c>
      <c r="B110" s="431" t="inlineStr">
        <is>
          <t>📅 Event Intelligence</t>
        </is>
      </c>
      <c r="C110" s="431" t="inlineStr">
        <is>
          <t>HOMEFRONT BRANDS</t>
        </is>
      </c>
      <c r="D110" s="431" t="inlineStr">
        <is>
          <t>Franchisor label (col 1)</t>
        </is>
      </c>
      <c r="E110" s="431" t="inlineStr">
        <is>
          <t>HOMEFRONT BRANDS</t>
        </is>
      </c>
      <c r="F110" s="431" t="inlineStr">
        <is>
          <t>HOMEFRONT BRANDS · P1 #7 MONITOR-MODE</t>
        </is>
      </c>
      <c r="G110" s="431" t="inlineStr">
        <is>
          <t>Added V2 priority/character label for visibility</t>
        </is>
      </c>
    </row>
    <row r="111" ht="60" customHeight="1" s="435">
      <c r="A111" s="432" t="inlineStr">
        <is>
          <t>2026-04-29</t>
        </is>
      </c>
      <c r="B111" s="432" t="inlineStr">
        <is>
          <t>📅 Event Intelligence</t>
        </is>
      </c>
      <c r="C111" s="432" t="inlineStr">
        <is>
          <t>AUTHORITY BRANDS</t>
        </is>
      </c>
      <c r="D111" s="432" t="inlineStr">
        <is>
          <t>Franchisor label (col 1)</t>
        </is>
      </c>
      <c r="E111" s="432" t="inlineStr">
        <is>
          <t>AUTHORITY BRANDS</t>
        </is>
      </c>
      <c r="F111" s="432" t="inlineStr">
        <is>
          <t>AUTHORITY BRANDS · P1 #2 DISPLACEMENT-READY</t>
        </is>
      </c>
      <c r="G111" s="432" t="inlineStr">
        <is>
          <t>Added V2 priority/character label for visibility</t>
        </is>
      </c>
    </row>
    <row r="112" ht="60" customHeight="1" s="435">
      <c r="A112" s="431" t="inlineStr">
        <is>
          <t>2026-04-29</t>
        </is>
      </c>
      <c r="B112" s="431" t="inlineStr">
        <is>
          <t>📅 Event Intelligence</t>
        </is>
      </c>
      <c r="C112" s="431" t="inlineStr">
        <is>
          <t>NEIGHBORLY</t>
        </is>
      </c>
      <c r="D112" s="431" t="inlineStr">
        <is>
          <t>Franchisor label (col 1)</t>
        </is>
      </c>
      <c r="E112" s="431" t="inlineStr">
        <is>
          <t>NEIGHBORLY</t>
        </is>
      </c>
      <c r="F112" s="431" t="inlineStr">
        <is>
          <t>NEIGHBORLY · P1 #1 PE-GATED</t>
        </is>
      </c>
      <c r="G112" s="431" t="inlineStr">
        <is>
          <t>Added V2 priority/character label for visibility</t>
        </is>
      </c>
    </row>
    <row r="115">
      <c r="A115" s="519" t="inlineStr">
        <is>
          <t>═══ v15.7 ADDITIONS (May 1, 2026) — Track 1 Engagement Intelligence ═══</t>
        </is>
      </c>
    </row>
    <row r="117">
      <c r="A117" s="520" t="inlineStr">
        <is>
          <t>Date</t>
        </is>
      </c>
      <c r="B117" s="520" t="inlineStr">
        <is>
          <t>Row</t>
        </is>
      </c>
      <c r="C117" s="520" t="inlineStr">
        <is>
          <t>Franchisor</t>
        </is>
      </c>
      <c r="D117" s="520" t="inlineStr">
        <is>
          <t>Field Added</t>
        </is>
      </c>
      <c r="E117" s="520" t="inlineStr">
        <is>
          <t>Notes</t>
        </is>
      </c>
    </row>
    <row r="118">
      <c r="A118" s="518" t="inlineStr">
        <is>
          <t>2026-05-01</t>
        </is>
      </c>
      <c r="B118" s="518" t="n">
        <v>4</v>
      </c>
      <c r="C118" s="518" t="inlineStr">
        <is>
          <t>NEIGHBORLY</t>
        </is>
      </c>
      <c r="D118" s="518" t="inlineStr">
        <is>
          <t>Cols AG-AJ</t>
        </is>
      </c>
      <c r="E118" s="518" t="inlineStr">
        <is>
          <t>LinkedIn (Mike Davis verified) + public comments + Reunion event + KKR playbook</t>
        </is>
      </c>
    </row>
    <row r="119">
      <c r="A119" s="518" t="inlineStr">
        <is>
          <t>2026-05-01</t>
        </is>
      </c>
      <c r="B119" s="518" t="n">
        <v>5</v>
      </c>
      <c r="C119" s="518" t="inlineStr">
        <is>
          <t>AUTHORITY BRANDS</t>
        </is>
      </c>
      <c r="D119" s="518" t="inlineStr">
        <is>
          <t>Cols AG-AJ</t>
        </is>
      </c>
      <c r="E119" s="518" t="inlineStr">
        <is>
          <t>LinkedIn (Tij Bedi verified) + Bedi Gartner quote + Tij playbook + Ryan Bowes flag</t>
        </is>
      </c>
    </row>
    <row r="120">
      <c r="A120" s="518" t="inlineStr">
        <is>
          <t>2026-05-01</t>
        </is>
      </c>
      <c r="B120" s="518" t="n">
        <v>6</v>
      </c>
      <c r="C120" s="518" t="inlineStr">
        <is>
          <t>EMPOWER BRANDS</t>
        </is>
      </c>
      <c r="D120" s="518" t="inlineStr">
        <is>
          <t>Cols AG-AJ</t>
        </is>
      </c>
      <c r="E120" s="518" t="inlineStr">
        <is>
          <t>LinkedIn (Scott Zide verified) + AI quote + Ignite 2027 + 9 brand playbook</t>
        </is>
      </c>
    </row>
    <row r="121">
      <c r="A121" s="518" t="inlineStr">
        <is>
          <t>2026-05-01</t>
        </is>
      </c>
      <c r="B121" s="518" t="n">
        <v>7</v>
      </c>
      <c r="C121" s="518" t="inlineStr">
        <is>
          <t>RESIBRANDS</t>
        </is>
      </c>
      <c r="D121" s="518" t="inlineStr">
        <is>
          <t>Cols AG-AJ</t>
        </is>
      </c>
      <c r="E121" s="518" t="inlineStr">
        <is>
          <t>LinkedIn (Steven Montgomery verified) + email/phone + Codie IFA + fast-cycle playbook</t>
        </is>
      </c>
    </row>
    <row r="122">
      <c r="A122" s="518" t="inlineStr">
        <is>
          <t>2026-05-01</t>
        </is>
      </c>
      <c r="B122" s="518" t="n">
        <v>8</v>
      </c>
      <c r="C122" s="518" t="inlineStr">
        <is>
          <t>FIVE STAR</t>
        </is>
      </c>
      <c r="D122" s="518" t="inlineStr">
        <is>
          <t>Cols AG-AJ</t>
        </is>
      </c>
      <c r="E122" s="518" t="inlineStr">
        <is>
          <t>Contacts framework + Princeton Yr5 + Mosquito Shield wedge — Abbott LI URL pending</t>
        </is>
      </c>
    </row>
    <row r="123">
      <c r="A123" s="518" t="inlineStr">
        <is>
          <t>2026-05-01</t>
        </is>
      </c>
      <c r="B123" s="518" t="n">
        <v>9</v>
      </c>
      <c r="C123" s="518" t="inlineStr">
        <is>
          <t>PREMIUM SERVICE BRANDS</t>
        </is>
      </c>
      <c r="D123" s="518" t="inlineStr">
        <is>
          <t>Cols AG-AJ</t>
        </is>
      </c>
      <c r="E123" s="518" t="inlineStr">
        <is>
          <t>LinkedIn (Paul Flick verified) + Forbes PE quote + David Raymond cross-brand + RooterMan playbook</t>
        </is>
      </c>
    </row>
    <row r="124">
      <c r="A124" s="518" t="inlineStr">
        <is>
          <t>2026-05-01</t>
        </is>
      </c>
      <c r="B124" s="518" t="n">
        <v>10</v>
      </c>
      <c r="C124" s="518" t="inlineStr">
        <is>
          <t>HOMEFRONT BRANDS</t>
        </is>
      </c>
      <c r="D124" s="518" t="inlineStr">
        <is>
          <t>Cols AG-AJ</t>
        </is>
      </c>
      <c r="E124" s="518" t="inlineStr">
        <is>
          <t>LinkedIn (Jeff Dudan verified) + reputation quote + Homecoming 4 + content-first playbook</t>
        </is>
      </c>
    </row>
    <row r="125">
      <c r="A125" s="518" t="inlineStr">
        <is>
          <t>2026-05-01</t>
        </is>
      </c>
      <c r="B125" s="518" t="n">
        <v>12</v>
      </c>
      <c r="C125" s="518" t="inlineStr">
        <is>
          <t>BELFOR</t>
        </is>
      </c>
      <c r="D125" s="518" t="inlineStr">
        <is>
          <t>Cols AG-AJ</t>
        </is>
      </c>
      <c r="E125" s="518" t="inlineStr">
        <is>
          <t>Contacts framework + American Securities + insurance reframe playbook — Doug Smith LI URL pending</t>
        </is>
      </c>
    </row>
    <row r="126">
      <c r="A126" s="518" t="inlineStr">
        <is>
          <t>2026-05-01</t>
        </is>
      </c>
      <c r="B126" s="518" t="n">
        <v>13</v>
      </c>
      <c r="C126" s="518" t="inlineStr">
        <is>
          <t>EVIVE BRANDS</t>
        </is>
      </c>
      <c r="D126" s="518" t="inlineStr">
        <is>
          <t>Cols AG-AJ</t>
        </is>
      </c>
      <c r="E126" s="518" t="inlineStr">
        <is>
          <t>LinkedIn (Ryan Parsons verified) + replaceable quote + Brothers Gutters wedge playbook</t>
        </is>
      </c>
    </row>
    <row r="127">
      <c r="A127" s="518" t="inlineStr">
        <is>
          <t>2026-05-01</t>
        </is>
      </c>
      <c r="B127" s="518" t="n">
        <v>14</v>
      </c>
      <c r="C127" s="518" t="inlineStr">
        <is>
          <t>THRESHOLD BRANDS</t>
        </is>
      </c>
      <c r="D127" s="518" t="inlineStr">
        <is>
          <t>Cols AG-AJ</t>
        </is>
      </c>
      <c r="E127" s="518" t="inlineStr">
        <is>
          <t>CRITICAL: CEO is Ted DeMarino (NOT Kappler). New leadership reset (DeMarino/Newby/Hughes). Defensive playbook.</t>
        </is>
      </c>
    </row>
    <row r="130">
      <c r="A130" s="519" t="inlineStr">
        <is>
          <t>═══ v15.8 ADDITIONS (May 1, 2026) — FSM/Telematics/Insurance Public Commentary ═══</t>
        </is>
      </c>
    </row>
    <row r="132">
      <c r="A132" s="520" t="inlineStr">
        <is>
          <t>Date</t>
        </is>
      </c>
      <c r="B132" s="520" t="inlineStr">
        <is>
          <t>Row</t>
        </is>
      </c>
      <c r="C132" s="520" t="inlineStr">
        <is>
          <t>Franchisor</t>
        </is>
      </c>
      <c r="D132" s="520" t="inlineStr">
        <is>
          <t>Field Updated</t>
        </is>
      </c>
      <c r="E132" s="520" t="inlineStr">
        <is>
          <t>Notes</t>
        </is>
      </c>
    </row>
    <row r="133">
      <c r="A133" s="518" t="inlineStr">
        <is>
          <t>2026-05-01</t>
        </is>
      </c>
      <c r="B133" s="518" t="n">
        <v>4</v>
      </c>
      <c r="C133" s="518" t="inlineStr">
        <is>
          <t>NEIGHBORLY</t>
        </is>
      </c>
      <c r="D133" s="518" t="inlineStr">
        <is>
          <t>Col AH FSM/Tech</t>
        </is>
      </c>
      <c r="E133" s="518" t="inlineStr">
        <is>
          <t>KKR digital transformation quote (Gernburd) + Davis martech LinkedIn post</t>
        </is>
      </c>
    </row>
    <row r="134">
      <c r="A134" s="518" t="inlineStr">
        <is>
          <t>2026-05-01</t>
        </is>
      </c>
      <c r="B134" s="518" t="n">
        <v>5</v>
      </c>
      <c r="C134" s="518" t="inlineStr">
        <is>
          <t>AUTHORITY BRANDS</t>
        </is>
      </c>
      <c r="D134" s="518" t="inlineStr">
        <is>
          <t>Col AH FSM/Tech</t>
        </is>
      </c>
      <c r="E134" s="518" t="inlineStr">
        <is>
          <t>★ Bedi BYLINED Franchising.com article on data lakes + siloed systems = direct ServiceBridge match</t>
        </is>
      </c>
    </row>
    <row r="135">
      <c r="A135" s="518" t="inlineStr">
        <is>
          <t>2026-05-01</t>
        </is>
      </c>
      <c r="B135" s="518" t="n">
        <v>6</v>
      </c>
      <c r="C135" s="518" t="inlineStr">
        <is>
          <t>EMPOWER BRANDS</t>
        </is>
      </c>
      <c r="D135" s="518" t="inlineStr">
        <is>
          <t>Col AH FSM/Tech</t>
        </is>
      </c>
      <c r="E135" s="518" t="inlineStr">
        <is>
          <t>★ Zide Apr 2026 leadership expansion includes TECHNOLOGY roles + AI/data unification quote</t>
        </is>
      </c>
    </row>
    <row r="136">
      <c r="A136" s="518" t="inlineStr">
        <is>
          <t>2026-05-01</t>
        </is>
      </c>
      <c r="B136" s="518" t="n">
        <v>7</v>
      </c>
      <c r="C136" s="518" t="inlineStr">
        <is>
          <t>RESIBRANDS</t>
        </is>
      </c>
      <c r="D136" s="518" t="inlineStr">
        <is>
          <t>Col AH FSM/Tech</t>
        </is>
      </c>
      <c r="E136" s="518" t="inlineStr">
        <is>
          <t>★ ResiConnect = ClickUp+Slack+Trainual = NO proper FSM. Direct evidence of gap.</t>
        </is>
      </c>
    </row>
    <row r="137">
      <c r="A137" s="518" t="inlineStr">
        <is>
          <t>2026-05-01</t>
        </is>
      </c>
      <c r="B137" s="518" t="n">
        <v>8</v>
      </c>
      <c r="C137" s="518" t="inlineStr">
        <is>
          <t>FIVE STAR</t>
        </is>
      </c>
      <c r="D137" s="518" t="inlineStr">
        <is>
          <t>Col AH FSM/Tech</t>
        </is>
      </c>
      <c r="E137" s="518" t="inlineStr">
        <is>
          <t>Scott Abbott CO-FOUNDED ProNexis = tech seller, not buyer. Treat as peer.</t>
        </is>
      </c>
    </row>
    <row r="138">
      <c r="A138" s="518" t="inlineStr">
        <is>
          <t>2026-05-01</t>
        </is>
      </c>
      <c r="B138" s="518" t="n">
        <v>9</v>
      </c>
      <c r="C138" s="518" t="inlineStr">
        <is>
          <t>PSB</t>
        </is>
      </c>
      <c r="D138" s="518" t="inlineStr">
        <is>
          <t>Col AH FSM/Tech</t>
        </is>
      </c>
      <c r="E138" s="518" t="inlineStr">
        <is>
          <t>★ Flick founding thesis: industry is "TECHNOLOGY AND SOFTWARE DEFICIENT" - exact gap</t>
        </is>
      </c>
    </row>
    <row r="139">
      <c r="A139" s="518" t="inlineStr">
        <is>
          <t>2026-05-01</t>
        </is>
      </c>
      <c r="B139" s="518" t="n">
        <v>10</v>
      </c>
      <c r="C139" s="518" t="inlineStr">
        <is>
          <t>HOMEFRONT</t>
        </is>
      </c>
      <c r="D139" s="518" t="inlineStr">
        <is>
          <t>Col AH FSM/Tech</t>
        </is>
      </c>
      <c r="E139" s="518" t="inlineStr">
        <is>
          <t>Dudan IFA 2026 keynote topic: AI &amp; Human Co-Working - direct angle</t>
        </is>
      </c>
    </row>
    <row r="140">
      <c r="A140" s="518" t="inlineStr">
        <is>
          <t>2026-05-01</t>
        </is>
      </c>
      <c r="B140" s="518" t="n">
        <v>12</v>
      </c>
      <c r="C140" s="518" t="inlineStr">
        <is>
          <t>BELFOR</t>
        </is>
      </c>
      <c r="D140" s="518" t="inlineStr">
        <is>
          <t>Col AH FSM/Tech</t>
        </is>
      </c>
      <c r="E140" s="518" t="inlineStr">
        <is>
          <t>AVOID tech framing - relationship-first culture. Pitch insurance carrier angle, not dashboards</t>
        </is>
      </c>
    </row>
    <row r="141">
      <c r="A141" s="518" t="inlineStr">
        <is>
          <t>2026-05-01</t>
        </is>
      </c>
      <c r="B141" s="518" t="n">
        <v>13</v>
      </c>
      <c r="C141" s="518" t="inlineStr">
        <is>
          <t>EVIVE</t>
        </is>
      </c>
      <c r="D141" s="518" t="inlineStr">
        <is>
          <t>Col AH FSM/Tech</t>
        </is>
      </c>
      <c r="E141" s="518" t="inlineStr">
        <is>
          <t>★ Parsons publicly committed to tech unification across portfolio - strongest P2 signal</t>
        </is>
      </c>
    </row>
    <row r="142">
      <c r="A142" s="518" t="inlineStr">
        <is>
          <t>2026-05-01</t>
        </is>
      </c>
      <c r="B142" s="518" t="n">
        <v>14</v>
      </c>
      <c r="C142" s="518" t="inlineStr">
        <is>
          <t>THRESHOLD</t>
        </is>
      </c>
      <c r="D142" s="518" t="inlineStr">
        <is>
          <t>Col AH FSM/Tech</t>
        </is>
      </c>
      <c r="E142" s="518" t="inlineStr">
        <is>
          <t>🚨 USA Insulation Brand President position VACANT - explains transition off SB</t>
        </is>
      </c>
    </row>
    <row r="145">
      <c r="A145" s="519" t="inlineStr">
        <is>
          <t>═══ v15.9 ADDITIONS (May 1, 2026) — Track 2 Brand-Level Engagement Intelligence ═══</t>
        </is>
      </c>
    </row>
    <row r="147">
      <c r="A147" s="520" t="inlineStr">
        <is>
          <t>Date</t>
        </is>
      </c>
      <c r="B147" s="520" t="inlineStr">
        <is>
          <t>Scope</t>
        </is>
      </c>
      <c r="C147" s="520" t="inlineStr">
        <is>
          <t>Coverage</t>
        </is>
      </c>
      <c r="D147" s="520" t="inlineStr">
        <is>
          <t>New Cols</t>
        </is>
      </c>
      <c r="E147" s="520" t="inlineStr">
        <is>
          <t>Notes</t>
        </is>
      </c>
    </row>
    <row r="148">
      <c r="A148" s="518" t="inlineStr">
        <is>
          <t>2026-05-01</t>
        </is>
      </c>
      <c r="B148" s="518" t="inlineStr">
        <is>
          <t>Track 2 · Franchisees</t>
        </is>
      </c>
      <c r="C148" s="518" t="inlineStr">
        <is>
          <t>All 78 brand rows</t>
        </is>
      </c>
      <c r="D148" s="518" t="inlineStr">
        <is>
          <t>AH-AJ</t>
        </is>
      </c>
      <c r="E148" s="518" t="inlineStr">
        <is>
          <t>Added: Brand President + LinkedIn URL, FSM/Tech/Insurance Comments, Brand-Level Engagement Notes</t>
        </is>
      </c>
    </row>
    <row r="149">
      <c r="A149" s="518" t="inlineStr">
        <is>
          <t>2026-05-01</t>
        </is>
      </c>
      <c r="B149" s="518" t="inlineStr">
        <is>
          <t>Neighborly brands (rows 4-19)</t>
        </is>
      </c>
      <c r="C149" s="518" t="inlineStr">
        <is>
          <t>12 brand presidents identified</t>
        </is>
      </c>
      <c r="D149" s="518" t="inlineStr">
        <is>
          <t>AH</t>
        </is>
      </c>
      <c r="E149" s="518" t="inlineStr">
        <is>
          <t>Jay Jimenez NEW Aire Serv pres. Group Pres structure: Jason Himber (Repair), Georgeanne Erickson (Maintain), Matt Crowley (Specialty)</t>
        </is>
      </c>
    </row>
    <row r="150">
      <c r="A150" s="518" t="inlineStr">
        <is>
          <t>2026-05-01</t>
        </is>
      </c>
      <c r="B150" s="518" t="inlineStr">
        <is>
          <t>Authority brands (rows 20-31)</t>
        </is>
      </c>
      <c r="C150" s="518" t="inlineStr">
        <is>
          <t>Steve Clemente, Tom Swift, Stewart Vernon</t>
        </is>
      </c>
      <c r="D150" s="518" t="inlineStr">
        <is>
          <t>AH</t>
        </is>
      </c>
      <c r="E150" s="518" t="inlineStr">
        <is>
          <t>Authority structured around Group EVPs not brand presidents. Steve Clemente Trades cluster created Aug 2025</t>
        </is>
      </c>
    </row>
    <row r="151">
      <c r="A151" s="518" t="inlineStr">
        <is>
          <t>2026-05-01</t>
        </is>
      </c>
      <c r="B151" s="518" t="inlineStr">
        <is>
          <t>BELFOR brands (rows 32-38)</t>
        </is>
      </c>
      <c r="C151" s="518" t="inlineStr">
        <is>
          <t>Tim Fagan, Beth Toenies, Jessica Wicks, Matt O'Rourke</t>
        </is>
      </c>
      <c r="D151" s="518" t="inlineStr">
        <is>
          <t>AH</t>
        </is>
      </c>
      <c r="E151" s="518" t="inlineStr">
        <is>
          <t>BELFOR brand-level intel from prior CRM. Yellen culture = NO dashboards/data framing</t>
        </is>
      </c>
    </row>
    <row r="152">
      <c r="A152" s="518" t="inlineStr">
        <is>
          <t>2026-05-01</t>
        </is>
      </c>
      <c r="B152" s="518" t="inlineStr">
        <is>
          <t>Threshold brands (rows 39-48)</t>
        </is>
      </c>
      <c r="C152" s="518" t="inlineStr">
        <is>
          <t>Bryan McMurray (GGF) + USA Insulation VACANT flagged</t>
        </is>
      </c>
      <c r="D152" s="518" t="inlineStr">
        <is>
          <t>AH</t>
        </is>
      </c>
      <c r="E152" s="518" t="inlineStr">
        <is>
          <t>Critical: USA Insulation Brand President position currently VACANT per The Org</t>
        </is>
      </c>
    </row>
    <row r="153">
      <c r="A153" s="518" t="inlineStr">
        <is>
          <t>2026-05-01</t>
        </is>
      </c>
      <c r="B153" s="518" t="inlineStr">
        <is>
          <t>Empower brands (rows 49-58)</t>
        </is>
      </c>
      <c r="C153" s="518" t="inlineStr">
        <is>
          <t>Gary Bauer, Heather Todd (NEW), Cory Lyons, Justin Mayer (NEW), David Bitan</t>
        </is>
      </c>
      <c r="D153" s="518" t="inlineStr">
        <is>
          <t>AH</t>
        </is>
      </c>
      <c r="E153" s="518" t="inlineStr">
        <is>
          <t>Multiple NEW brand presidents in honeymoon period. Cory Lyons = dual brand pres (Koala + Wallaby)</t>
        </is>
      </c>
    </row>
    <row r="154">
      <c r="A154" s="518" t="inlineStr">
        <is>
          <t>2026-05-01</t>
        </is>
      </c>
      <c r="B154" s="518" t="inlineStr">
        <is>
          <t>PSB brands (rows 59-66)</t>
        </is>
      </c>
      <c r="C154" s="518" t="inlineStr">
        <is>
          <t>Carter Purves, Joel Gotshall, David Raymond, Ty Anderson</t>
        </is>
      </c>
      <c r="D154" s="518" t="inlineStr">
        <is>
          <t>AH</t>
        </is>
      </c>
      <c r="E154" s="518" t="inlineStr">
        <is>
          <t>David Raymond = COO + ProLift VP + personal franchisee = single most accessible</t>
        </is>
      </c>
    </row>
    <row r="155">
      <c r="A155" s="518" t="inlineStr">
        <is>
          <t>2026-05-01</t>
        </is>
      </c>
      <c r="B155" s="518" t="inlineStr">
        <is>
          <t>Five Star brands (rows 67-71)</t>
        </is>
      </c>
      <c r="C155" s="518" t="inlineStr">
        <is>
          <t>Ben Kramer, Dean Hartley, Wanda Hoegren, Michael Moorhouse, Stefan Figley</t>
        </is>
      </c>
      <c r="D155" s="518" t="inlineStr">
        <is>
          <t>AH</t>
        </is>
      </c>
      <c r="E155" s="518" t="inlineStr">
        <is>
          <t>Full brand president list captured from official site. Shane MacKay = CTO drives unified tech</t>
        </is>
      </c>
    </row>
    <row r="156">
      <c r="A156" s="518" t="inlineStr">
        <is>
          <t>2026-05-01</t>
        </is>
      </c>
      <c r="B156" s="518" t="inlineStr">
        <is>
          <t>HomeFront brands (rows 72-76)</t>
        </is>
      </c>
      <c r="C156" s="518" t="inlineStr">
        <is>
          <t>Tyler Kirk, Todd Bingham, David Blue, Michael Wagner</t>
        </is>
      </c>
      <c r="D156" s="518" t="inlineStr">
        <is>
          <t>AH</t>
        </is>
      </c>
      <c r="E156" s="518" t="inlineStr">
        <is>
          <t>Michael Wagner NEW Roof Scientist president (Nov 2024 acquisition)</t>
        </is>
      </c>
    </row>
    <row r="157">
      <c r="A157" s="518" t="inlineStr">
        <is>
          <t>2026-05-01</t>
        </is>
      </c>
      <c r="B157" s="518" t="inlineStr">
        <is>
          <t>ResiBrands (rows 77-81)</t>
        </is>
      </c>
      <c r="C157" s="518" t="inlineStr">
        <is>
          <t>Steven Montgomery + Carter Smith + Tom Downer + Smola Family</t>
        </is>
      </c>
      <c r="D157" s="518" t="inlineStr">
        <is>
          <t>AH</t>
        </is>
      </c>
      <c r="E157" s="518" t="inlineStr">
        <is>
          <t>Steven controls all 5 brands. Pink's founders Carter Smith + Tom Downer stayed on after 2023 acquisition</t>
        </is>
      </c>
    </row>
    <row r="158">
      <c r="A158" s="518" t="inlineStr">
        <is>
          <t>2026-05-01</t>
        </is>
      </c>
      <c r="B158" s="518" t="inlineStr">
        <is>
          <t>Cross-track findings</t>
        </is>
      </c>
      <c r="C158" s="518" t="inlineStr">
        <is>
          <t>★ Aire Serv Jay Jimenez ~Apr 2026 NEW</t>
        </is>
      </c>
      <c r="D158" s="518" t="inlineStr">
        <is>
          <t>AH-AJ</t>
        </is>
      </c>
      <c r="E158" s="518" t="inlineStr">
        <is>
          <t>★ Authority Trades cluster Steve Clemente created Aug 2025; ★ Empower hiring tech leaders Apr 2026; ★ HOMECOMING 4 Nov 2026 (HomeFront vendor slot still time)</t>
        </is>
      </c>
    </row>
    <row r="161">
      <c r="A161" s="519" t="inlineStr">
        <is>
          <t>═══ v15.10 ADDITIONS (May 1, 2026) — Track 2 Expanded to 186 Named Contacts ═══</t>
        </is>
      </c>
    </row>
    <row r="163">
      <c r="A163" s="520" t="inlineStr">
        <is>
          <t>Date</t>
        </is>
      </c>
      <c r="B163" s="520" t="inlineStr">
        <is>
          <t>Scope</t>
        </is>
      </c>
      <c r="C163" s="520" t="inlineStr">
        <is>
          <t>Coverage</t>
        </is>
      </c>
      <c r="D163" s="520" t="inlineStr">
        <is>
          <t>Notes</t>
        </is>
      </c>
    </row>
    <row r="164">
      <c r="A164" s="518" t="inlineStr">
        <is>
          <t>2026-05-01</t>
        </is>
      </c>
      <c r="B164" s="518" t="inlineStr">
        <is>
          <t>Track 2 Col AK NEW</t>
        </is>
      </c>
      <c r="C164" s="518" t="inlineStr">
        <is>
          <t>All 78 brand rows</t>
        </is>
      </c>
      <c r="D164" s="518" t="inlineStr">
        <is>
          <t>NEW column "ADDITIONAL CONTACTS + CORPORATE/PARENT TEAM" — adds 2nd/3rd contacts per brand</t>
        </is>
      </c>
    </row>
    <row r="165">
      <c r="A165" s="518" t="inlineStr">
        <is>
          <t>2026-05-01</t>
        </is>
      </c>
      <c r="B165" s="518" t="inlineStr">
        <is>
          <t>TBD brands FILLED</t>
        </is>
      </c>
      <c r="C165" s="518" t="inlineStr">
        <is>
          <t>8 previously TBD</t>
        </is>
      </c>
      <c r="D165" s="518" t="inlineStr">
        <is>
          <t>Junkluggers (Justin Waltz), Pestmaster (Bryan Shamhart NEW Nov 2025), FlyFoe→Patio Patrol rebrand, Canopy (Ben Wright NEW), FRSTeam (Jeff Waters NEW), House Doctors (Ann Lilly), TWS (Patrick Kiessling), Designery (Casey Ridley)</t>
        </is>
      </c>
    </row>
    <row r="166">
      <c r="A166" s="518" t="inlineStr">
        <is>
          <t>2026-05-01</t>
        </is>
      </c>
      <c r="B166" s="518" t="inlineStr">
        <is>
          <t>Empower 2026 leadership wave</t>
        </is>
      </c>
      <c r="C166" s="518" t="inlineStr">
        <is>
          <t>April 16 2026 announcement</t>
        </is>
      </c>
      <c r="D166" s="518" t="inlineStr">
        <is>
          <t>6 new appointments: Volker Wellman, Chris Donnelly, Melanie Watts, Joe Dominiak, Ben Wright, Jeff Waters</t>
        </is>
      </c>
    </row>
    <row r="167">
      <c r="A167" s="518" t="inlineStr">
        <is>
          <t>2026-05-01</t>
        </is>
      </c>
      <c r="B167" s="518" t="inlineStr">
        <is>
          <t>Authority depth</t>
        </is>
      </c>
      <c r="C167" s="518" t="inlineStr">
        <is>
          <t>Corporate + brand leaders</t>
        </is>
      </c>
      <c r="D167" s="518" t="inlineStr">
        <is>
          <t>Justin Waltz (Junkluggers), Jef Flournoy (Mosquito Squad Plus), Todd Houghton (Homewatch), D'Aniello couple (DoodyCalls founders), Leanne Stapf, Farah, Jordan</t>
        </is>
      </c>
    </row>
    <row r="168">
      <c r="A168" s="518" t="inlineStr">
        <is>
          <t>2026-05-01</t>
        </is>
      </c>
      <c r="B168" s="518" t="inlineStr">
        <is>
          <t>Threshold depth</t>
        </is>
      </c>
      <c r="C168" s="518" t="inlineStr">
        <is>
          <t>Corporate + emerging</t>
        </is>
      </c>
      <c r="D168" s="518" t="inlineStr">
        <is>
          <t>Emily Estes (MaidPro), Bryan Shamhart NEW (Pestmaster Nov 2025), Brett Shraiar prior, Kayla Cina former GGF, Melanie Perez Marketing</t>
        </is>
      </c>
    </row>
    <row r="169">
      <c r="A169" s="518" t="inlineStr">
        <is>
          <t>2026-05-01</t>
        </is>
      </c>
      <c r="B169" s="518" t="inlineStr">
        <is>
          <t>PSB depth</t>
        </is>
      </c>
      <c r="C169" s="518" t="inlineStr">
        <is>
          <t>Brand + ops layer</t>
        </is>
      </c>
      <c r="D169" s="518" t="inlineStr">
        <is>
          <t>Ann Lilly (House Doctors), Dave Rychley, Samantha Lin, Courtney Spain, Tracey Felts, Bertie Allen</t>
        </is>
      </c>
    </row>
    <row r="170">
      <c r="A170" s="518" t="inlineStr">
        <is>
          <t>2026-05-01</t>
        </is>
      </c>
      <c r="B170" s="518" t="inlineStr">
        <is>
          <t>HomeFront awards/franchisees</t>
        </is>
      </c>
      <c r="C170" s="518" t="inlineStr">
        <is>
          <t>IFA + Homecoming awards</t>
        </is>
      </c>
      <c r="D170" s="518" t="inlineStr">
        <is>
          <t>11 award winners + franchisees of year captured for relationship-building reference</t>
        </is>
      </c>
    </row>
    <row r="171">
      <c r="A171" s="518" t="inlineStr">
        <is>
          <t>2026-05-01</t>
        </is>
      </c>
      <c r="B171" s="518" t="inlineStr">
        <is>
          <t>TOTAL CONTACTS</t>
        </is>
      </c>
      <c r="C171" s="518" t="inlineStr">
        <is>
          <t>186 unique named people</t>
        </is>
      </c>
      <c r="D171" s="518" t="inlineStr">
        <is>
          <t>Up from 93 in v15.9 (+93 names). Past 150 target.</t>
        </is>
      </c>
    </row>
    <row r="172">
      <c r="A172" s="518" t="inlineStr">
        <is>
          <t>2026-05-01</t>
        </is>
      </c>
      <c r="B172" s="518" t="inlineStr">
        <is>
          <t>TOTAL VERIFIED LINKEDIN URLs</t>
        </is>
      </c>
      <c r="C172" s="518" t="inlineStr">
        <is>
          <t>13 high-confidence URLs</t>
        </is>
      </c>
      <c r="D172" s="518" t="inlineStr">
        <is>
          <t>Up from 11 (+Frederick Roberts Aire Serv, +Bryan Shamhart Pestmaster)</t>
        </is>
      </c>
    </row>
    <row r="175">
      <c r="A175" s="519" t="inlineStr">
        <is>
          <t>═══ v15.11 ADDITIONS (May 1, 2026) — 231 Total Contacts (45 NEW from v15.10) ═══</t>
        </is>
      </c>
    </row>
    <row r="177">
      <c r="A177" s="520" t="inlineStr">
        <is>
          <t>Date</t>
        </is>
      </c>
      <c r="B177" s="520" t="inlineStr">
        <is>
          <t>Scope</t>
        </is>
      </c>
      <c r="C177" s="520" t="inlineStr">
        <is>
          <t>New Names</t>
        </is>
      </c>
      <c r="D177" s="520" t="inlineStr">
        <is>
          <t>Notes</t>
        </is>
      </c>
    </row>
    <row r="178">
      <c r="A178" s="518" t="inlineStr">
        <is>
          <t>2026-05-01</t>
        </is>
      </c>
      <c r="B178" s="518" t="inlineStr">
        <is>
          <t>Track 1 col AK NEW</t>
        </is>
      </c>
      <c r="C178" s="518" t="inlineStr">
        <is>
          <t>0</t>
        </is>
      </c>
      <c r="D178" s="518" t="inlineStr">
        <is>
          <t>NEW "EXPANDED CONTACTS" col on Track 1 — full brand-level rosters per franchisor</t>
        </is>
      </c>
    </row>
    <row r="179">
      <c r="A179" s="518" t="inlineStr">
        <is>
          <t>2026-05-01</t>
        </is>
      </c>
      <c r="B179" s="518" t="inlineStr">
        <is>
          <t>Authority deeper layer</t>
        </is>
      </c>
      <c r="C179" s="518" t="inlineStr">
        <is>
          <t>~17</t>
        </is>
      </c>
      <c r="D179" s="518" t="inlineStr">
        <is>
          <t>Jordan Wilson (CDO Jan 2025), Vince Powers (360PR+), Adam Terranova, Christina Kennedy (legal), Farah (GC), Sarah Guffey, Boxwood team, Buckwalter brothers (Punctual Pros multi-unit), Scott Wood Jr., Cory Clinton, Robert Armstrong, Capricia T., Kara Kelsey, Kelley Pendergast, Lindsay Keyser, Marcie Campagnola, Shannon Oakley</t>
        </is>
      </c>
    </row>
    <row r="180">
      <c r="A180" s="518" t="inlineStr">
        <is>
          <t>2026-05-01</t>
        </is>
      </c>
      <c r="B180" s="518" t="inlineStr">
        <is>
          <t>Authority Color World</t>
        </is>
      </c>
      <c r="C180" s="518" t="inlineStr">
        <is>
          <t>3</t>
        </is>
      </c>
      <c r="D180" s="518" t="inlineStr">
        <is>
          <t>Chris Ring (NEW Brand Pres), Tom Hodgson (Founder 1997), Gary Sheffer (top franchisee)</t>
        </is>
      </c>
    </row>
    <row r="181">
      <c r="A181" s="518" t="inlineStr">
        <is>
          <t>2026-05-01</t>
        </is>
      </c>
      <c r="B181" s="518" t="inlineStr">
        <is>
          <t>BELFOR brand presidents</t>
        </is>
      </c>
      <c r="C181" s="518" t="inlineStr">
        <is>
          <t>11</t>
        </is>
      </c>
      <c r="D181" s="518" t="inlineStr">
        <is>
          <t>Sean Foley (redbox+), Bob DeGraff (N-Hance Feb 2024), Leo Goldberger (Patch Boys Founder), Jim Swayne (Safer Home), Chuck Steinmetz (Safer Home Chair), Josh Skolnick (former redbox+), Larry Oglesby, D'Wayne Tanner (Chem-Dry), Dre Carter (Chem-Dry), Heather Ripley (PR), Heather Gooch (PMP)</t>
        </is>
      </c>
    </row>
    <row r="182">
      <c r="A182" s="518" t="inlineStr">
        <is>
          <t>2026-05-01</t>
        </is>
      </c>
      <c r="B182" s="518" t="inlineStr">
        <is>
          <t>Evive new acquisitions</t>
        </is>
      </c>
      <c r="C182" s="518" t="inlineStr">
        <is>
          <t>5</t>
        </is>
      </c>
      <c r="D182" s="518" t="inlineStr">
        <is>
          <t>Danessa Itaya (Maid Brigade Brand Pres NEW Nov 2025), Raychel Leong-Sullins (prior pres), Mary Mahoney (Pacific Lawn CEO), John Dellafiora (Pacific Lawn Founder), Rhonda Grundemann (Evive Communications)</t>
        </is>
      </c>
    </row>
    <row r="183">
      <c r="A183" s="518" t="inlineStr">
        <is>
          <t>2026-05-01</t>
        </is>
      </c>
      <c r="B183" s="518" t="inlineStr">
        <is>
          <t>Acquisitions advisors</t>
        </is>
      </c>
      <c r="C183" s="518" t="inlineStr">
        <is>
          <t>6</t>
        </is>
      </c>
      <c r="D183" s="518" t="inlineStr">
        <is>
          <t>Boxwood Partners team named: Brian Alas (MD), Madison Day (VP), Colby Carter, Justin Jasper, Dan Alfano, J. Patrick Galleher, Dan Martinson — repeat advisors to Authority + Empower</t>
        </is>
      </c>
    </row>
    <row r="184">
      <c r="A184" s="518" t="inlineStr">
        <is>
          <t>2026-05-01</t>
        </is>
      </c>
      <c r="B184" s="518" t="inlineStr">
        <is>
          <t>TOTAL CONTACTS</t>
        </is>
      </c>
      <c r="C184" s="518" t="inlineStr">
        <is>
          <t>231</t>
        </is>
      </c>
      <c r="D184" s="518" t="inlineStr">
        <is>
          <t>Up from 186 in v15.10 (+45 names). Past 200 milestone.</t>
        </is>
      </c>
    </row>
    <row r="185">
      <c r="A185" s="518" t="inlineStr">
        <is>
          <t>2026-05-01</t>
        </is>
      </c>
      <c r="B185" s="518" t="inlineStr">
        <is>
          <t>KEY FRESH NEWS</t>
        </is>
      </c>
      <c r="C185" s="518" t="inlineStr">
        <is>
          <t>4</t>
        </is>
      </c>
      <c r="D185" s="518" t="inlineStr">
        <is>
          <t>Maid Brigade NEW pres Nov 12 2025, Pacific Lawn acquired Nov 6 2025, Pestmaster NEW pres Nov 3 2025, Color World Pres Chris Ring 2024 (still relatively new)</t>
        </is>
      </c>
    </row>
    <row r="188">
      <c r="A188" s="519" t="inlineStr">
        <is>
          <t>═══ v15.12 ADDITIONS (May 2 morning) — 275 Total Contacts (44 NEW from v15.11) ═══</t>
        </is>
      </c>
    </row>
    <row r="190">
      <c r="A190" s="520" t="inlineStr">
        <is>
          <t>Date</t>
        </is>
      </c>
      <c r="B190" s="520" t="inlineStr">
        <is>
          <t>Scope</t>
        </is>
      </c>
      <c r="C190" s="520" t="inlineStr">
        <is>
          <t>New Names</t>
        </is>
      </c>
      <c r="D190" s="520" t="inlineStr">
        <is>
          <t>Notes</t>
        </is>
      </c>
    </row>
    <row r="191">
      <c r="A191" s="518" t="inlineStr">
        <is>
          <t>2026-05-02</t>
        </is>
      </c>
      <c r="B191" s="518" t="inlineStr">
        <is>
          <t>Authority brand pres gap-fill</t>
        </is>
      </c>
      <c r="C191" s="518" t="inlineStr">
        <is>
          <t>7</t>
        </is>
      </c>
      <c r="D191" s="518" t="inlineStr">
        <is>
          <t>Clint Rowley (Screenmobile Pres NEW), Chris Brown (Monster Tree VP Ops NEW), Amy Addington (Woofie's Pres &amp; Co-Founder), Rob Weddle (former CEO), Fish Consulting reps + Kekst CNC</t>
        </is>
      </c>
    </row>
    <row r="192">
      <c r="A192" s="518" t="inlineStr">
        <is>
          <t>2026-05-02</t>
        </is>
      </c>
      <c r="B192" s="518" t="inlineStr">
        <is>
          <t>Mr. Rooter CORRECTION</t>
        </is>
      </c>
      <c r="C192" s="518" t="inlineStr">
        <is>
          <t>1</t>
        </is>
      </c>
      <c r="D192" s="518" t="inlineStr">
        <is>
          <t>Matt Kunz = Mr. Rooter Brand Pres since 2023 (NOT Chris Porcelli). Was 5yr Five Star Painting pres prior</t>
        </is>
      </c>
    </row>
    <row r="193">
      <c r="A193" s="518" t="inlineStr">
        <is>
          <t>2026-05-02</t>
        </is>
      </c>
      <c r="B193" s="518" t="inlineStr">
        <is>
          <t>Five Star Painting depth</t>
        </is>
      </c>
      <c r="C193" s="518" t="inlineStr">
        <is>
          <t>8</t>
        </is>
      </c>
      <c r="D193" s="518" t="inlineStr">
        <is>
          <t>Vera Peterson (Group Pres Maintain), Mary Kay Liston, Matt Phillips, Amy Davis, Michael+Joy Nungesser (2024 Franchise Owners of Year), 4 featured franchisees</t>
        </is>
      </c>
    </row>
    <row r="194">
      <c r="A194" s="518" t="inlineStr">
        <is>
          <t>2026-05-02</t>
        </is>
      </c>
      <c r="B194" s="518" t="inlineStr">
        <is>
          <t>Junk King depth</t>
        </is>
      </c>
      <c r="C194" s="518" t="inlineStr">
        <is>
          <t>3</t>
        </is>
      </c>
      <c r="D194" s="518" t="inlineStr">
        <is>
          <t>Vera Peterson (Interim Brand Pres), Lisa Merry (former), Michael Andreacchi (Co-Founder, now Investor + Brand Ambassador)</t>
        </is>
      </c>
    </row>
    <row r="195">
      <c r="A195" s="518" t="inlineStr">
        <is>
          <t>2026-05-02</t>
        </is>
      </c>
      <c r="B195" s="518" t="inlineStr">
        <is>
          <t>Threshold Paramedics</t>
        </is>
      </c>
      <c r="C195" s="518" t="inlineStr">
        <is>
          <t>4</t>
        </is>
      </c>
      <c r="D195" s="518" t="inlineStr">
        <is>
          <t>Ryan Carpenter (DUAL Founder &amp; Pres Plumbing + Heating Paramedics), Brian Sauer (Riverside Partner), Michael Kegley (USA Insulation franchisee), Chris Jensen (Noblesville Mayor)</t>
        </is>
      </c>
    </row>
    <row r="196">
      <c r="A196" s="518" t="inlineStr">
        <is>
          <t>2026-05-02</t>
        </is>
      </c>
      <c r="B196" s="518" t="inlineStr">
        <is>
          <t>Threshold Men In Kilts</t>
        </is>
      </c>
      <c r="C196" s="518" t="inlineStr">
        <is>
          <t>6</t>
        </is>
      </c>
      <c r="D196" s="518" t="inlineStr">
        <is>
          <t>Rachel Southard (Brand Pres + She Dreams founder), Nicholas Brand (Founder Vancouver Scotsman), Chris+Robyn Carrier (former CEO+Calgary co-owner), Brad Williams franchisee, Brandon Brown</t>
        </is>
      </c>
    </row>
    <row r="197">
      <c r="A197" s="518" t="inlineStr">
        <is>
          <t>2026-05-02</t>
        </is>
      </c>
      <c r="B197" s="518" t="inlineStr">
        <is>
          <t>PSB Window Gang + Grout Medic</t>
        </is>
      </c>
      <c r="C197" s="518" t="inlineStr">
        <is>
          <t>3</t>
        </is>
      </c>
      <c r="D197" s="518" t="inlineStr">
        <is>
          <t>Tim McCullen (Window Gang Founder &amp; Brand Pres — built 37 yrs), Justin Penard (Grout Medic VP FD NEW Oct 2024), JC Timmons (former CEO)</t>
        </is>
      </c>
    </row>
    <row r="198">
      <c r="A198" s="518" t="inlineStr">
        <is>
          <t>2026-05-02</t>
        </is>
      </c>
      <c r="B198" s="518" t="inlineStr">
        <is>
          <t>PSB Star Franchisee Family</t>
        </is>
      </c>
      <c r="C198" s="518" t="inlineStr">
        <is>
          <t>4</t>
        </is>
      </c>
      <c r="D198" s="518" t="inlineStr">
        <is>
          <t>Jesús Barrios (Barrios Prestige Brands Denver — multi-brand operator: Grout Medic+360+Window Gang+Kitchen Wise+Maid Right). Family: Harold+Tania (parents), Rachelle (wife). 2024 PSB Franchisee of Year</t>
        </is>
      </c>
    </row>
    <row r="199">
      <c r="A199" s="518" t="inlineStr">
        <is>
          <t>2026-05-02</t>
        </is>
      </c>
      <c r="B199" s="518" t="inlineStr">
        <is>
          <t>HomeFront BiltRite</t>
        </is>
      </c>
      <c r="C199" s="518" t="inlineStr">
        <is>
          <t>3</t>
        </is>
      </c>
      <c r="D199" s="518" t="inlineStr">
        <is>
          <t>Bill Kilgannon (Brand Pres since 2018), Michael Munn (Founder 2006), Emily Munn (Business Coach Ops Manager — daughter)</t>
        </is>
      </c>
    </row>
    <row r="200">
      <c r="A200" s="518" t="inlineStr">
        <is>
          <t>2026-05-02</t>
        </is>
      </c>
      <c r="B200" s="518" t="inlineStr">
        <is>
          <t>Five Star Card My Yard</t>
        </is>
      </c>
      <c r="C200" s="518" t="inlineStr">
        <is>
          <t>3</t>
        </is>
      </c>
      <c r="D200" s="518" t="inlineStr">
        <is>
          <t>Amy Arnold (Co-Founder &amp; CBO, Josh's wife), Jessica Stanley + James Stanley (Co-Founder couple). 559 franchisees. Joined Five Star April 2024</t>
        </is>
      </c>
    </row>
    <row r="201">
      <c r="A201" s="518" t="inlineStr">
        <is>
          <t>2026-05-02</t>
        </is>
      </c>
      <c r="B201" s="518" t="inlineStr">
        <is>
          <t>Don Dwyer Founder ref</t>
        </is>
      </c>
      <c r="C201" s="518" t="inlineStr">
        <is>
          <t>1</t>
        </is>
      </c>
      <c r="D201" s="518" t="inlineStr">
        <is>
          <t>Don Dwyer (original Dwyer Group founder 1981, predecessor to Neighborly)</t>
        </is>
      </c>
    </row>
    <row r="202">
      <c r="A202" s="518" t="inlineStr">
        <is>
          <t>2026-05-02</t>
        </is>
      </c>
      <c r="B202" s="518" t="inlineStr">
        <is>
          <t>TOTAL CONTACTS</t>
        </is>
      </c>
      <c r="C202" s="518" t="inlineStr">
        <is>
          <t>275</t>
        </is>
      </c>
      <c r="D202" s="518" t="inlineStr">
        <is>
          <t>Up from 231 in v15.11 (+44 names). Past 250 milestone. 89% increase from start of v15.9 (146)</t>
        </is>
      </c>
    </row>
    <row r="203">
      <c r="A203" s="518" t="inlineStr">
        <is>
          <t>2026-05-02</t>
        </is>
      </c>
      <c r="B203" s="518" t="inlineStr">
        <is>
          <t>KEY CORRECTION</t>
        </is>
      </c>
      <c r="C203" s="518" t="inlineStr">
        <is>
          <t>1</t>
        </is>
      </c>
      <c r="D203" s="518" t="inlineStr">
        <is>
          <t>Mr. Rooter Brand Pres = Matt Kunz (since 2023), NOT Chris Porcelli. Five Star Painting president = David Sutter (still active per 2023 video) — Vera Peterson now leads Maintain cluster including Five Star Painting</t>
        </is>
      </c>
    </row>
  </sheetData>
  <mergeCells count="18">
    <mergeCell ref="A32:G32"/>
    <mergeCell ref="A1:G1"/>
    <mergeCell ref="A17:G17"/>
    <mergeCell ref="A18:G18"/>
    <mergeCell ref="A27:G27"/>
    <mergeCell ref="A21:G21"/>
    <mergeCell ref="A22:G22"/>
    <mergeCell ref="A62:G62"/>
    <mergeCell ref="A20:G20"/>
    <mergeCell ref="A24:G24"/>
    <mergeCell ref="A2:G2"/>
    <mergeCell ref="A26:G26"/>
    <mergeCell ref="A29:G29"/>
    <mergeCell ref="A30:G30"/>
    <mergeCell ref="A25:G25"/>
    <mergeCell ref="A19:G19"/>
    <mergeCell ref="A28:G28"/>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0"/>
  <sheetViews>
    <sheetView showGridLines="0" zoomScaleNormal="100" workbookViewId="0">
      <selection activeCell="A1" sqref="A1"/>
    </sheetView>
  </sheetViews>
  <sheetFormatPr baseColWidth="10" defaultColWidth="8.6640625" defaultRowHeight="15"/>
  <cols>
    <col width="2" customWidth="1" style="435" min="1" max="1"/>
    <col width="22" customWidth="1" style="435" min="2" max="2"/>
    <col width="14" customWidth="1" style="435" min="3" max="3"/>
    <col width="18" customWidth="1" style="435" min="4" max="5"/>
    <col width="20" customWidth="1" style="435" min="6" max="6"/>
    <col width="16" customWidth="1" style="435" min="7" max="7"/>
    <col width="12" customWidth="1" style="435" min="8" max="8"/>
    <col width="14" customWidth="1" style="435" min="9" max="9"/>
    <col width="12" customWidth="1" style="435" min="10" max="10"/>
    <col width="20" customWidth="1" style="435" min="11" max="11"/>
    <col width="10" customWidth="1" style="435" min="12" max="12"/>
    <col width="28" customWidth="1" style="435" min="13" max="13"/>
    <col width="48" customWidth="1" style="435" min="14" max="14"/>
  </cols>
  <sheetData>
    <row r="1" ht="45.75" customHeight="1" s="435">
      <c r="A1" s="449" t="inlineStr">
        <is>
          <t xml:space="preserve">  PE RELATIONSHIP MAP  ·  GPS Insight Warm Introduction Paths  ·  ServiceBridge GTM Engagement</t>
        </is>
      </c>
    </row>
    <row r="2" ht="19.5" customHeight="1" s="435">
      <c r="A2" s="460" t="inlineStr">
        <is>
          <t xml:space="preserve">  Velocity GTM Co LLC  ·  These introductions require GPS Insight coordination  ·  Every row is a GPS Insight ask tracked to completion</t>
        </is>
      </c>
    </row>
    <row r="3" ht="21.75" customHeight="1" s="435">
      <c r="A3" s="479" t="inlineStr">
        <is>
          <t xml:space="preserve">  🔑  Each row on this tab represents an introduction path that runs through GPS Insight's PE network  ·  Status updated as introductions progress</t>
        </is>
      </c>
    </row>
    <row r="4" ht="9.75" customHeight="1" s="435"/>
    <row r="5" ht="19.5" customHeight="1" s="435">
      <c r="B5" s="481" t="inlineStr">
        <is>
          <t xml:space="preserve">  WHY THIS TAB EXISTS</t>
        </is>
      </c>
    </row>
    <row r="6" ht="55.5" customHeight="1" s="435">
      <c r="B6" s="471" t="inlineStr">
        <is>
          <t>A warm PE-level introduction compresses a 6-month enterprise sales cycle to 6 weeks. Accel-KKR (GPS Insight's backer) has portfolio relationships, co-investment networks, and operating partner connections that give you an immediate credibility bridge to the PE firms backing your 9 priority franchisor accounts. None of these introductions happen without Charles Layne. This tab tracks every PE relationship, who at GPS Insight owns it, what the ask is, and where the introduction stands.</t>
        </is>
      </c>
      <c r="C6" s="451" t="n"/>
      <c r="D6" s="451" t="n"/>
      <c r="E6" s="451" t="n"/>
      <c r="F6" s="451" t="n"/>
      <c r="G6" s="451" t="n"/>
      <c r="H6" s="451" t="n"/>
      <c r="I6" s="451" t="n"/>
      <c r="J6" s="451" t="n"/>
      <c r="K6" s="451" t="n"/>
      <c r="L6" s="451" t="n"/>
      <c r="M6" s="451" t="n"/>
    </row>
    <row r="7" ht="12" customHeight="1" s="435"/>
    <row r="8" ht="39.75" customHeight="1" s="435">
      <c r="B8" s="456" t="inlineStr">
        <is>
          <t>PE FIRM</t>
        </is>
      </c>
      <c r="C8" s="456" t="inlineStr">
        <is>
          <t>FUND TYPE
&amp; AUM</t>
        </is>
      </c>
      <c r="D8" s="456" t="inlineStr">
        <is>
          <t>PORTFOLIO
COMPANY</t>
        </is>
      </c>
      <c r="E8" s="456" t="inlineStr">
        <is>
          <t>GPS INSIGHT
OWNER</t>
        </is>
      </c>
      <c r="F8" s="70" t="inlineStr">
        <is>
          <t>PE TARGET
CONTACT
(Named Individuals)</t>
        </is>
      </c>
      <c r="G8" s="456" t="inlineStr">
        <is>
          <t>INTRO
PATH</t>
        </is>
      </c>
      <c r="H8" s="456" t="inlineStr">
        <is>
          <t>PRIORITY</t>
        </is>
      </c>
      <c r="I8" s="456" t="inlineStr">
        <is>
          <t>INTRO
STATUS</t>
        </is>
      </c>
      <c r="J8" s="456" t="inlineStr">
        <is>
          <t>LAST GPS
ACTION</t>
        </is>
      </c>
      <c r="K8" s="456" t="inlineStr">
        <is>
          <t>NEXT GPS
ACTION NEEDED</t>
        </is>
      </c>
      <c r="L8" s="456" t="inlineStr">
        <is>
          <t>NEXT
DATE</t>
        </is>
      </c>
      <c r="M8" s="456" t="inlineStr">
        <is>
          <t>NOTES / INTELLIGENCE</t>
        </is>
      </c>
      <c r="N8" s="71" t="inlineStr">
        <is>
          <t>PE DEAL TEAM
FOCAL POINTS
← Researched contacts</t>
        </is>
      </c>
    </row>
    <row r="9" ht="7.5" customHeight="1" s="435"/>
    <row r="10" ht="27.75" customHeight="1" s="435">
      <c r="B10" s="458" t="inlineStr">
        <is>
          <t xml:space="preserve">  SECTION 1  ·  ACCEL-KKR NETWORK  ·  GPS Insight's Own PE Backer  ·  Highest Leverage</t>
        </is>
      </c>
    </row>
    <row r="11" ht="15.75" customHeight="1" s="435">
      <c r="B11" s="457" t="inlineStr">
        <is>
          <t xml:space="preserve">  Accel-KKR backed GPS Insight. This is your warmest possible intro path. Charles Layne has direct relationships with the AKKR deal team.</t>
        </is>
      </c>
    </row>
    <row r="12" ht="3.75" customHeight="1" s="435"/>
    <row r="13" ht="109.5" customHeight="1" s="435">
      <c r="B13" s="72" t="inlineStr">
        <is>
          <t>Accel-KKR</t>
        </is>
      </c>
      <c r="C13" s="73" t="inlineStr">
        <is>
          <t>Tech-Focused PE
~$10B+ AUM</t>
        </is>
      </c>
      <c r="D13" s="454" t="inlineStr">
        <is>
          <t>GPS Insight / ServiceBridge
(Portfolio Company)</t>
        </is>
      </c>
      <c r="E13" s="74" t="inlineStr">
        <is>
          <t>GPS Insight
(Charles Layne, CEO)</t>
        </is>
      </c>
      <c r="F13" s="75" t="inlineStr">
        <is>
          <t>Accel-KKR Internal
(GPS Insight board-level)</t>
        </is>
      </c>
      <c r="G13" s="76" t="inlineStr">
        <is>
          <t>Charles Layne → AKKR deal team → PE portfolio introductions</t>
        </is>
      </c>
      <c r="H13" s="77" t="inlineStr">
        <is>
          <t>🔴 Critical</t>
        </is>
      </c>
      <c r="I13" s="78" t="inlineStr">
        <is>
          <t>Not Started</t>
        </is>
      </c>
      <c r="J13" s="79" t="n"/>
      <c r="K13" s="62" t="inlineStr">
        <is>
          <t>📞 On me — calling Charles. Asking GPS Insight to brief AKKR and open intro paths to the four PE firms.</t>
        </is>
      </c>
      <c r="L13" s="80" t="inlineStr">
        <is>
          <t>Week 1</t>
        </is>
      </c>
      <c r="M13" s="81" t="inlineStr">
        <is>
          <t>GPS Insight backer. Charles Layne has direct AKKR deal team relationships. This single conversation unlocks all downstream PE intros.</t>
        </is>
      </c>
      <c r="N13" s="82" t="inlineStr">
        <is>
          <t>TBD — Accel-KKR deal team partner for GPS Insight
← Charles Layne is the direct relationship
Accel-KKR = GPS Insight's own PE backer — highest leverage intro chain</t>
        </is>
      </c>
    </row>
    <row r="14" ht="109.5" customHeight="1" s="435">
      <c r="B14" s="72" t="inlineStr">
        <is>
          <t>KKR</t>
        </is>
      </c>
      <c r="C14" s="73" t="inlineStr">
        <is>
          <t>Large-Cap PE
$349B+ AUM</t>
        </is>
      </c>
      <c r="D14" s="450" t="inlineStr">
        <is>
          <t>Neighborly
(16 brands, 13,259 techs)</t>
        </is>
      </c>
      <c r="E14" s="74" t="inlineStr">
        <is>
          <t>GPS Insight
(Charles Layne, CEO)</t>
        </is>
      </c>
      <c r="F14" s="83" t="inlineStr">
        <is>
          <t>Felix Gernburd
Managing Director, KKR
Led Neighborly acquisition 2021
North American PE fund</t>
        </is>
      </c>
      <c r="G14" s="76" t="inlineStr">
        <is>
          <t>Charles → Accel-KKR deal team → KKR deal team → Felix Gernburd</t>
        </is>
      </c>
      <c r="H14" s="77" t="inlineStr">
        <is>
          <t>🔴 Critical</t>
        </is>
      </c>
      <c r="I14" s="78" t="inlineStr">
        <is>
          <t>Not Started</t>
        </is>
      </c>
      <c r="J14" s="84" t="n"/>
      <c r="K14" s="62" t="inlineStr">
        <is>
          <t>Flag to Charles that the Accel-KKR → KKR path is the play for Neighborly. Ask him to request a warm intro to Felix Gernburd — KKR Partner, Neighborly board seat.</t>
        </is>
      </c>
      <c r="L14" s="85" t="inlineStr">
        <is>
          <t>Week 1</t>
        </is>
      </c>
      <c r="M14" s="86" t="inlineStr">
        <is>
          <t>KKR acquired Neighborly (Jul 2021) from Harvest Partners. Felix Gernburd is on Neighborly board. ST renewal window 2025–2027. One KKR-level conversation positions us for that window.</t>
        </is>
      </c>
      <c r="N14" s="87" t="inlineStr">
        <is>
          <t>Felix Gernburd — Managing Director, KKR
Named in KKR/Neighborly acquisition press release as deal lead
Intro path: Charles Layne → Accel-KKR → KKR → Felix Gernburd
⚠️ DO NOT cold outreach — PE intro only</t>
        </is>
      </c>
    </row>
    <row r="15" ht="12" customHeight="1" s="435"/>
    <row r="16" ht="27.75" customHeight="1" s="435">
      <c r="B16" s="453" t="inlineStr">
        <is>
          <t xml:space="preserve">  SECTION 2  ·  TIER 1 FRANCHISOR PE BACKERS  ·  Active Introduction Requests</t>
        </is>
      </c>
    </row>
    <row r="17" ht="15.75" customHeight="1" s="435">
      <c r="B17" s="475" t="inlineStr">
        <is>
          <t xml:space="preserve">  These PE firms back your Tier 1 accounts. A single intro at the PE level is worth months of direct franchisor outreach.</t>
        </is>
      </c>
    </row>
    <row r="18" ht="3.75" customHeight="1" s="435"/>
    <row r="19" ht="109.5" customHeight="1" s="435">
      <c r="B19" s="88" t="inlineStr">
        <is>
          <t>American Securities</t>
        </is>
      </c>
      <c r="C19" s="89" t="inlineStr">
        <is>
          <t>Mid-Market PE
~$10B AUM</t>
        </is>
      </c>
      <c r="D19" s="454" t="inlineStr">
        <is>
          <t>BELFOR Franchise Group
(14 brands, 9,250 techs)</t>
        </is>
      </c>
      <c r="E19" s="74" t="inlineStr">
        <is>
          <t>GPS Insight
(Charles Layne, CEO)</t>
        </is>
      </c>
      <c r="F19" s="83" t="inlineStr">
        <is>
          <t>David Horing
Co-Chair Investment Committee
Director, BELFOR (since 1995)
Managing Member, active funds
Ryan Nolan
Director, BELFOR
Joined 2017, ex-JPMorgan
David Musicant
Director, BELFOR
Joined 2011, deal sourcing
Ex-BofA/Merrill Lynch MD
Loren Easton
Chairman, BELFOR board</t>
        </is>
      </c>
      <c r="G19" s="76" t="inlineStr">
        <is>
          <t>Charles → AKKR deal team → American Securities operating partners</t>
        </is>
      </c>
      <c r="H19" s="77" t="inlineStr">
        <is>
          <t>🔴 Critical</t>
        </is>
      </c>
      <c r="I19" s="78" t="inlineStr">
        <is>
          <t>Not Started</t>
        </is>
      </c>
      <c r="J19" s="79" t="n"/>
      <c r="K19" s="62" t="inlineStr">
        <is>
          <t>Week 1 — Charles Layne call. Ask him to surface any AKKR → American Securities relationship. American Securities has board representation at BELFOR — an operating partner intro skips directly to the mandate decision.</t>
        </is>
      </c>
      <c r="L19" s="80" t="inlineStr">
        <is>
          <t>Week 1</t>
        </is>
      </c>
      <c r="M19" s="81" t="inlineStr">
        <is>
          <t>American Securities board is active on ops improvement at BELFOR. Tech standardization directly supports their portfolio thesis. BELFOR sold 30 new franchise territories Dec 2024 — mandate now = every new franchisee is a guaranteed adoption.</t>
        </is>
      </c>
      <c r="N19" s="82" t="inlineStr">
        <is>
          <t>PRIMARY: David Horing (Co-Chair IC, Director BELFOR since 1995)
OPERATIONAL: Ryan Nolan (Director BELFOR, joined 2017, ex-JPMorgan)
RELATIONSHIPS: David Musicant (Director BELFOR, deal sourcing/capital markets)
CHAIRMAN: Loren Easton (BELFOR board chairman)
INTRO PATH: Charles Layne → Accel-KKR → American Securities
Source: american-securities.com team pages (confirmed)</t>
        </is>
      </c>
    </row>
    <row r="20" ht="109.5" customHeight="1" s="435">
      <c r="B20" s="88" t="inlineStr">
        <is>
          <t>The Riverside Company</t>
        </is>
      </c>
      <c r="C20" s="89" t="inlineStr">
        <is>
          <t>Global Mid-Market PE
$13B+ AUM</t>
        </is>
      </c>
      <c r="D20" s="450" t="inlineStr">
        <is>
          <t>Threshold Brands
(10 brands, 6,250 techs)</t>
        </is>
      </c>
      <c r="E20" s="74" t="inlineStr">
        <is>
          <t>GPS Insight
(Charles Layne, CEO)</t>
        </is>
      </c>
      <c r="F20" s="83" t="inlineStr">
        <is>
          <t>Loren Schlachet
Managing Partner, Riverside
Leads Threshold platform
Brian Sauer
Senior Partner, Riverside
Named on Threshold press releases
Steve Rice
Principal
Caroline Quoyeser
Assistant Vice President
Deniz Oran
Associate
Tom Silk
Operating Partner
Chrissie Yim
Finance Director</t>
        </is>
      </c>
      <c r="G20" s="76" t="inlineStr">
        <is>
          <t>Charles → AKKR deal team → Riverside Company LP or operating partner relationship</t>
        </is>
      </c>
      <c r="H20" s="90" t="inlineStr">
        <is>
          <t>🟡 High</t>
        </is>
      </c>
      <c r="I20" s="78" t="inlineStr">
        <is>
          <t>Not Started</t>
        </is>
      </c>
      <c r="J20" s="84" t="n"/>
      <c r="K20" s="62" t="inlineStr">
        <is>
          <t>Once the AKKR brief is confirmed, ask Charles to surface any Riverside connection through the PE network. Riverside is approaching exit window — technology standardization improves the EBITDA multiple.</t>
        </is>
      </c>
      <c r="L20" s="85" t="inlineStr">
        <is>
          <t>Week 2</t>
        </is>
      </c>
      <c r="M20" s="86" t="inlineStr">
        <is>
          <t>Threshold is Riverside's home services platform (formed 2021). Glassdoor shows high turnover and EBITDA pressure from Riverside. LP-reportable tech standardization is the pitch to the PE firm, not to Hagan Kappler.</t>
        </is>
      </c>
      <c r="N20" s="82" t="inlineStr">
        <is>
          <t>PRIMARY: Loren Schlachet (Managing Partner — leads Threshold platform)
DEAL LEAD: Brian Sauer (Senior Partner — named on all Threshold add-on releases)
OPERATIONAL: Steve Rice (Principal) + Caroline Quoyeser (AVP) + Deniz Oran (Associate)
FINANCE: Chrissie Yim (Finance Director)
SOURCING: Jeremy Holland (Partner) + Connor McLaughlin (VP Origination)
Source: Riverside press release — Miracle Method add-on (Dec 2023)</t>
        </is>
      </c>
    </row>
    <row r="21" ht="109.5" customHeight="1" s="435">
      <c r="B21" s="88" t="inlineStr">
        <is>
          <t>MidOcean Partners</t>
        </is>
      </c>
      <c r="C21" s="89" t="inlineStr">
        <is>
          <t>Mid-Market PE
$6B+ AUM</t>
        </is>
      </c>
      <c r="D21" s="454" t="inlineStr">
        <is>
          <t>Empower Brands
(10 brands, 5,150 techs)</t>
        </is>
      </c>
      <c r="E21" s="74" t="inlineStr">
        <is>
          <t>GPS Insight
(Charles Layne, CEO)</t>
        </is>
      </c>
      <c r="F21" s="83" t="inlineStr">
        <is>
          <t>Eric Roth
Principal/Partner, MidOcean
Covers Empower Brands
Christopher M. Grandpre
Operating Partner, MidOcean
Chairman, Empower Brands
30+ yrs franchise M&amp;A
Founded Outdoor Living Brands 2008</t>
        </is>
      </c>
      <c r="G21" s="76" t="inlineStr">
        <is>
          <t>Charles → AKKR deal team → MidOcean operating partner</t>
        </is>
      </c>
      <c r="H21" s="90" t="inlineStr">
        <is>
          <t>🟡 High</t>
        </is>
      </c>
      <c r="I21" s="78" t="inlineStr">
        <is>
          <t>Not Started</t>
        </is>
      </c>
      <c r="J21" s="79" t="n"/>
      <c r="K21" s="62" t="inlineStr">
        <is>
          <t>Ask Charles about MidOcean connection through Charles / AKKR. MidOcean invested in Empower Dec 2020 — approaching exit window. EBITDA improvement before exit is the story.</t>
        </is>
      </c>
      <c r="L21" s="80" t="inlineStr">
        <is>
          <t>Week 2</t>
        </is>
      </c>
      <c r="M21" s="81" t="inlineStr">
        <is>
          <t>MidOcean invested in Empower Brands Dec 2020. Typical hold 5–7 years puts exit window at 2025–2027. First-mover FSM standardization documented before exit = multiple expansion story for MidOcean LPs.</t>
        </is>
      </c>
      <c r="N21" s="82" t="inlineStr">
        <is>
          <t>PRIMARY: Eric Roth (covers Empower Brands at MidOcean — confirmed on MidOcean website)
OPERATING: Christopher M. Grandpre (Operating Partner + Chairman of Empower Brands)
  → Founded Outdoor Living Brands 2008 (precursor to Empower)
  → 30+ years franchise M&amp;A / investment banking
INTRO PATH: Charles Layne → MidOcean → Eric Roth or Grandpre
Source: midoceanpartners.com + The Joint Corp. press release (May 2025)</t>
        </is>
      </c>
    </row>
    <row r="22" ht="12" customHeight="1" s="435"/>
    <row r="23" ht="27.75" customHeight="1" s="435">
      <c r="B23" s="462" t="inlineStr">
        <is>
          <t xml:space="preserve">  SECTION 3  ·  TIER 2 FRANCHISOR PE BACKERS  ·  Build Relationships in Parallel</t>
        </is>
      </c>
    </row>
    <row r="24" ht="15.75" customHeight="1" s="435">
      <c r="B24" s="478" t="inlineStr">
        <is>
          <t xml:space="preserve">  Smaller or founder-backed platforms. PE path may be lighter — but still surface any connections through Charles before going cold.</t>
        </is>
      </c>
    </row>
    <row r="25" ht="3.75" customHeight="1" s="435"/>
    <row r="26" ht="109.5" customHeight="1" s="435">
      <c r="B26" s="91" t="inlineStr">
        <is>
          <t>Susquehanna Private Capital</t>
        </is>
      </c>
      <c r="C26" s="92" t="inlineStr">
        <is>
          <t>Growth Equity
(Susquehanna Int'l Group)</t>
        </is>
      </c>
      <c r="D26" s="454" t="inlineStr">
        <is>
          <t>Premium Service Brands
(8 brands, 4,950 techs)</t>
        </is>
      </c>
      <c r="E26" s="74" t="inlineStr">
        <is>
          <t>GPS Insight
(Charles Layne, CEO)</t>
        </is>
      </c>
      <c r="F26" s="83" t="inlineStr">
        <is>
          <t>Kyle Squillario
Co-Head, Susquehanna Private Capital
Named in PSB deal announcement
SPC Team: 7 people total
2 Partners, 5 Principals
Bala Cynwyd PA</t>
        </is>
      </c>
      <c r="G26" s="76" t="inlineStr">
        <is>
          <t>Charles → AKKR → Susquehanna Private Capital connection (if any)</t>
        </is>
      </c>
      <c r="H26" s="93" t="inlineStr">
        <is>
          <t>🔵 Medium</t>
        </is>
      </c>
      <c r="I26" s="78" t="inlineStr">
        <is>
          <t>Not Started</t>
        </is>
      </c>
      <c r="J26" s="79" t="n"/>
      <c r="K26" s="62" t="inlineStr">
        <is>
          <t>Check with Charles if AKKR has any Susquehanna / SGE connection. If not, direct approach to Paul Flick (CEO) is the primary path — SGE is growth equity, not traditional PE, so the founder is the decision-maker.</t>
        </is>
      </c>
      <c r="L26" s="80" t="inlineStr">
        <is>
          <t>Week 2</t>
        </is>
      </c>
      <c r="M26" s="81" t="inlineStr">
        <is>
          <t>Susquehanna Private Capital is the investment arm of Susquehanna International Group. PSB is founder-led with PE backing — Paul Flick still runs the business. Direct CEO outreach is the backup if PE path yields nothing.</t>
        </is>
      </c>
      <c r="N26" s="82" t="inlineStr">
        <is>
          <t>PRIMARY: Kyle Squillario (Co-Head, SPC — quoted in PSB press release 2021)
FIRM: Susquehanna Private Capital — funded by founders of Susquehanna Int'l Group
SPC SIZE: ~7 person team, 2 partners — small firm, direct access
INTRO: Charles Layne → SPC → Kyle Squillario
Source: BusinessWire PSB/SPC announcement (March 2021)</t>
        </is>
      </c>
    </row>
    <row r="27" ht="109.5" customHeight="1" s="435">
      <c r="B27" s="91" t="inlineStr">
        <is>
          <t>Princeton Equity Group</t>
        </is>
      </c>
      <c r="C27" s="92" t="inlineStr">
        <is>
          <t>Franchise-Focused PE
Franchise-only investor</t>
        </is>
      </c>
      <c r="D27" s="450" t="inlineStr">
        <is>
          <t>Five Star Franchising
(5 brands, 2,350 techs)</t>
        </is>
      </c>
      <c r="E27" s="74" t="inlineStr">
        <is>
          <t>GPS Insight
(Charles Layne, CEO)</t>
        </is>
      </c>
      <c r="F27" s="83" t="inlineStr">
        <is>
          <t>Derek DeBenedetto
Princeton Equity Group
Email: derek@princetonequity.com
IFA/conference meeting contact
Paul Kuppich
Partner (joined 2025)
Capital formation focus</t>
        </is>
      </c>
      <c r="G27" s="76" t="inlineStr">
        <is>
          <t>Charles → AKKR → Princeton Equity (franchise-focused PE — likely known in network)</t>
        </is>
      </c>
      <c r="H27" s="93" t="inlineStr">
        <is>
          <t>🔵 Medium</t>
        </is>
      </c>
      <c r="I27" s="78" t="inlineStr">
        <is>
          <t>Not Started</t>
        </is>
      </c>
      <c r="J27" s="84" t="n"/>
      <c r="K27" s="62" t="inlineStr">
        <is>
          <t>Week 2 — Princeton Equity exclusively invests in franchise companies — very tight network. Ask Charles if AKKR has any Princeton connection. Year 5 of investment means exit pressure building.</t>
        </is>
      </c>
      <c r="L27" s="85" t="inlineStr">
        <is>
          <t>Week 2</t>
        </is>
      </c>
      <c r="M27" s="86" t="inlineStr">
        <is>
          <t>Princeton Equity Group exclusively invests in franchisors and multi-unit companies. Five Star is in Year 5 (invested Jun 2021). EBITDA improvement documented now = higher exit multiple for Princeton. Scott Abbott (CEO) is founder — direct outreach is solid backup.</t>
        </is>
      </c>
      <c r="N27" s="82" t="inlineStr">
        <is>
          <t>MEETING CONTACT: Derek DeBenedetto (derek@princetonequity.com)
  → Listed as IFA 2026 meeting contact in Princeton Year in Review
PARTNER: Paul Kuppich (joined 2025 — capital formation + investor relations)
FIRM CONTEXT: Princeton invested 2021, Five Star in Year 5 — exit window approaching
  → ~$350M deployed 2025 across 3 new platforms
INTRO PATH: Charles Layne → Princeton Equity → Derek DeBenedetto
Source: Princeton 2025 Year in Review + LinkedIn announcement</t>
        </is>
      </c>
    </row>
    <row r="28" ht="109.5" customHeight="1" s="435">
      <c r="B28" s="91" t="inlineStr">
        <is>
          <t>Dudan Group</t>
        </is>
      </c>
      <c r="C28" s="92" t="inlineStr">
        <is>
          <t>Family Office
(Founder Capital)</t>
        </is>
      </c>
      <c r="D28" s="454" t="inlineStr">
        <is>
          <t>HomeFront Brands
(5 brands, 2,550 techs)</t>
        </is>
      </c>
      <c r="E28" s="74" t="inlineStr">
        <is>
          <t>GPS Insight
(Charles Layne, CEO)</t>
        </is>
      </c>
      <c r="F28" s="83" t="inlineStr">
        <is>
          <t>Jeff Dudan
Chairman &amp; CEO, HomeFront
Founder, Dudan Group
Forbes contributor, podcaster
Zack Dudan
CGO, HomeFront Brands
Family office — no external PE team</t>
        </is>
      </c>
      <c r="G28" s="76" t="inlineStr">
        <is>
          <t>Direct — Jeff Dudan is both the PE backer AND the CEO. No intermediary needed.</t>
        </is>
      </c>
      <c r="H28" s="94" t="inlineStr">
        <is>
          <t>⚪ Low</t>
        </is>
      </c>
      <c r="I28" s="78" t="inlineStr">
        <is>
          <t>Not Started</t>
        </is>
      </c>
      <c r="J28" s="79" t="n"/>
      <c r="K28" s="62" t="inlineStr">
        <is>
          <t>NO GPS INTRO NEEDED: Jeff Dudan controls both the capital and the operating company. Approach directly. This is the one account where PE intro is not the accelerant — the CEO relationship is.</t>
        </is>
      </c>
      <c r="L28" s="80" t="inlineStr">
        <is>
          <t>Week 2</t>
        </is>
      </c>
      <c r="M28" s="81" t="inlineStr">
        <is>
          <t>Dudan Group is Jeff Dudan's family office. He is Chairman + CEO. Direct LinkedIn / podcast outreach to Jeff is faster than any PE path. Note for Charles: no intro needed here.</t>
        </is>
      </c>
      <c r="N28" s="82" t="inlineStr">
        <is>
          <t>FAMILY OFFICE: Dudan Group = Jeff Dudan's personal capital — no external PE team
DIRECT APPROACH: Jeff Dudan is both PE backer AND operating CEO
  → Forbes contributor, podcaster — content/thought leadership angle
OPERATIONAL: Zack Dudan (CGO) = franchise operations + Homecoming vendor path
NO PE INTRO NEEDED — direct approach is the right path
Source: HomeFront public filings + Forbes contributor profile</t>
        </is>
      </c>
    </row>
    <row r="29" ht="12" customHeight="1" s="435"/>
    <row r="30" ht="27.75" customHeight="1" s="435">
      <c r="B30" s="476" t="inlineStr">
        <is>
          <t xml:space="preserve">  SECTION 4  ·  TIER 3 FRANCHISOR PE BACKERS  ·  Long Cycle · Relationship Play</t>
        </is>
      </c>
    </row>
    <row r="31" ht="15.75" customHeight="1" s="435">
      <c r="B31" s="482" t="inlineStr">
        <is>
          <t xml:space="preserve">  Authority Brands and Neighborly have large PE backers. The cycle is long — but the deal size is enormous. Build the relationship now.</t>
        </is>
      </c>
    </row>
    <row r="32" ht="3.75" customHeight="1" s="435"/>
    <row r="33" ht="109.5" customHeight="1" s="435">
      <c r="B33" s="95" t="inlineStr">
        <is>
          <t>Apax Partners
+ BCI</t>
        </is>
      </c>
      <c r="C33" s="96" t="inlineStr">
        <is>
          <t>Large-Cap PE
Apax $60B+ · BCI C$211B</t>
        </is>
      </c>
      <c r="D33" s="454" t="inlineStr">
        <is>
          <t>Authority Brands
(12 brands, 12,098 techs)</t>
        </is>
      </c>
      <c r="E33" s="74" t="inlineStr">
        <is>
          <t>GPS Insight
(Charles Layne, CEO)</t>
        </is>
      </c>
      <c r="F33" s="83" t="inlineStr">
        <is>
          <t>Ashish Karandikar
Partner, Apax Partners
Led Authority Brands acquisition 2018
Quoted in deal press release
BCI (minority stake 2022)
British Columbia Investment Mgmt Corp</t>
        </is>
      </c>
      <c r="G33" s="76" t="inlineStr">
        <is>
          <t>Charles → AKKR deal team → Apax Partners relationship (LP or co-invest level)</t>
        </is>
      </c>
      <c r="H33" s="90" t="inlineStr">
        <is>
          <t>🟡 High</t>
        </is>
      </c>
      <c r="I33" s="78" t="inlineStr">
        <is>
          <t>Not Started</t>
        </is>
      </c>
      <c r="J33" s="79" t="n"/>
      <c r="K33" s="62" t="inlineStr">
        <is>
          <t>WEEK 1 (research): Ask Charles if AKKR has any LP overlap with Apax fund. Apax explicitly cited 'digitalization' as the AB investment thesis — that is ServiceBridge's positioning. BCI co-invested Sep 2022.</t>
        </is>
      </c>
      <c r="L33" s="80" t="inlineStr">
        <is>
          <t>Week 1 (research)</t>
        </is>
      </c>
      <c r="M33" s="81" t="inlineStr">
        <is>
          <t>Apax acquired Authority Brands Sep 2017. BCI co-invested Sep 2022 for 'technology transformation.' Apax partner Ashish Karandikar led the deal. Tij Bedi (CTO) was hired Aug 2024 — the tech agenda is active. A PE-level intro to Apax gets us to Tij Bedi much faster.</t>
        </is>
      </c>
      <c r="N33" s="82" t="inlineStr">
        <is>
          <t>APAX LEAD: Ashish Karandikar (Partner, Apax — quoted as deal lead in 2018 acquisition)
  → 'We have been attracted to the home services market for some time'
BCI: British Columbia Investment Management Corp (significant minority stake, Sep 2022)
  → Largest institutional investor in Canada
INTRO PATH: Charles Layne → Apax → Ashish Karandikar
NOTE: Apax-focused on digitisation/tech for Authority — CTO Tij Bedi (Aug 2024) is the signal
Source: Apax.com + PRNewswire acquisition announcement (Sep 2018)</t>
        </is>
      </c>
    </row>
    <row r="34" ht="109.5" customHeight="1" s="435">
      <c r="B34" s="95" t="inlineStr">
        <is>
          <t>KKR
(Neighborly)</t>
        </is>
      </c>
      <c r="C34" s="96" t="inlineStr">
        <is>
          <t>Already covered in Section 1
$349B+ AUM</t>
        </is>
      </c>
      <c r="D34" s="450" t="inlineStr">
        <is>
          <t>Neighborly
(16 brands, 13,259 techs)</t>
        </is>
      </c>
      <c r="E34" s="74" t="inlineStr">
        <is>
          <t>GPS Insight
(Charles Layne, CEO)</t>
        </is>
      </c>
      <c r="F34" s="83" t="inlineStr">
        <is>
          <t>Felix Gernburd
Managing Director, KKR
Led Neighborly acquisition 2021
⚠️ DO NOT approach direct</t>
        </is>
      </c>
      <c r="G34" s="76" t="inlineStr">
        <is>
          <t>See Section 1 — same KKR path. Do not duplicate effort.</t>
        </is>
      </c>
      <c r="H34" s="77" t="inlineStr">
        <is>
          <t>🔴 Critical</t>
        </is>
      </c>
      <c r="I34" s="78" t="inlineStr">
        <is>
          <t>Not Started</t>
        </is>
      </c>
      <c r="J34" s="84" t="n"/>
      <c r="K34" s="62" t="inlineStr">
        <is>
          <t>↑ Same KKR path as Section 1 — no separate ask needed. Tracking there.</t>
        </is>
      </c>
      <c r="L34" s="85" t="inlineStr">
        <is>
          <t>Week 1</t>
        </is>
      </c>
      <c r="M34" s="86" t="inlineStr">
        <is>
          <t>Neighborly is tracked in Section 1 under the KKR relationship. This row is a reminder that Neighborly PE path and Authority Brands PE path are separate KKR / Apax conversations.</t>
        </is>
      </c>
      <c r="N34" s="87" t="inlineStr">
        <is>
          <t>Same as Section 1 — Felix Gernburd is the KKR Neighborly contact
⚠️ DO NOT approach direct under any circumstances
INTRO PATH ONLY: Charles Layne → Accel-KKR → KKR → Felix Gernburd
Source: KKR/Neighborly acquisition press release BusinessWire (July 2021)</t>
        </is>
      </c>
    </row>
    <row r="35" ht="13.5" customHeight="1" s="435"/>
    <row r="36" ht="27.75" customHeight="1" s="435">
      <c r="B36" s="458" t="inlineStr">
        <is>
          <t xml:space="preserve">  GPS INSIGHT ACTION SUMMARY  ·  The Specific Asks for Charles Layne by Week</t>
        </is>
      </c>
    </row>
    <row r="37" ht="3.75" customHeight="1" s="435"/>
    <row r="38" ht="25.5" customHeight="1" s="435">
      <c r="B38" s="1" t="inlineStr">
        <is>
          <t>WEEK</t>
        </is>
      </c>
      <c r="C38" s="1" t="inlineStr">
        <is>
          <t>GPS CONTACT</t>
        </is>
      </c>
      <c r="E38" s="1" t="inlineStr">
        <is>
          <t>THE ASK</t>
        </is>
      </c>
      <c r="I38" s="1" t="inlineStr">
        <is>
          <t>FOR ACCOUNT</t>
        </is>
      </c>
      <c r="K38" s="1" t="inlineStr">
        <is>
          <t>URGENCY</t>
        </is>
      </c>
      <c r="L38" s="1" t="inlineStr">
        <is>
          <t>STATUS</t>
        </is>
      </c>
    </row>
    <row r="39" ht="57.75" customHeight="1" s="435">
      <c r="B39" s="1" t="inlineStr">
        <is>
          <t>Week 1</t>
        </is>
      </c>
      <c r="C39" s="473" t="inlineStr">
        <is>
          <t>GPS Insight
(Charles Layne, CEO)</t>
        </is>
      </c>
      <c r="D39" s="451" t="n"/>
      <c r="E39" s="471" t="inlineStr">
        <is>
          <t>Brief the Accel-KKR deal team on the ServiceBridge GTM initiative. Need AKKR to facilitate PE-level introductions to American Securities (BELFOR), Riverside (Threshold), MidOcean (Empower), and KKR (Neighborly).</t>
        </is>
      </c>
      <c r="F39" s="451" t="n"/>
      <c r="G39" s="451" t="n"/>
      <c r="H39" s="451" t="n"/>
      <c r="I39" s="474" t="inlineStr">
        <is>
          <t>ALL 9 FRANCHISORS</t>
        </is>
      </c>
      <c r="J39" s="451" t="n"/>
      <c r="K39" s="63" t="inlineStr">
        <is>
          <t>🔴 Critical</t>
        </is>
      </c>
      <c r="L39" s="470" t="inlineStr">
        <is>
          <t>Not Started</t>
        </is>
      </c>
      <c r="M39" s="451" t="n"/>
    </row>
    <row r="40" ht="57.75" customHeight="1" s="435">
      <c r="B40" s="1" t="inlineStr">
        <is>
          <t>Week 1</t>
        </is>
      </c>
      <c r="C40" s="473" t="inlineStr">
        <is>
          <t>GPS Insight
(Charles Layne, CEO)</t>
        </is>
      </c>
      <c r="D40" s="451" t="n"/>
      <c r="E40" s="477" t="inlineStr">
        <is>
          <t>Specific KKR ask: Ask for Accel-KKR → KKR deal team intro to Felix Gernburd (KKR Partner / Neighborly Board). One call at the KKR level positions ServiceBridge for the Neighborly ST contract renewal window 2025–2027.</t>
        </is>
      </c>
      <c r="F40" s="451" t="n"/>
      <c r="G40" s="451" t="n"/>
      <c r="H40" s="451" t="n"/>
      <c r="I40" s="472" t="inlineStr">
        <is>
          <t>NEIGHBORLY</t>
        </is>
      </c>
      <c r="J40" s="451" t="n"/>
      <c r="K40" s="63" t="inlineStr">
        <is>
          <t>🔴 Critical</t>
        </is>
      </c>
      <c r="L40" s="470" t="inlineStr">
        <is>
          <t>Not Started</t>
        </is>
      </c>
      <c r="M40" s="451" t="n"/>
    </row>
    <row r="41" ht="57.75" customHeight="1" s="435">
      <c r="B41" s="1" t="inlineStr">
        <is>
          <t>Week 1</t>
        </is>
      </c>
      <c r="C41" s="473" t="inlineStr">
        <is>
          <t>GPS Insight
(Garrett Else, CFO)</t>
        </is>
      </c>
      <c r="D41" s="451" t="n"/>
      <c r="E41" s="471" t="inlineStr">
        <is>
          <t>Schedule 30-minute session to walk through the Insight Engine ROI model assumptions. Garrett's sign-off validates the financial narrative before we take it external to any PE operating partner or franchisor CFO.</t>
        </is>
      </c>
      <c r="F41" s="451" t="n"/>
      <c r="G41" s="451" t="n"/>
      <c r="H41" s="451" t="n"/>
      <c r="I41" s="474" t="inlineStr">
        <is>
          <t>ALL ACCOUNTS
(ROI Model)</t>
        </is>
      </c>
      <c r="J41" s="451" t="n"/>
      <c r="K41" s="63" t="inlineStr">
        <is>
          <t>🔴 Critical</t>
        </is>
      </c>
      <c r="L41" s="470" t="inlineStr">
        <is>
          <t>Not Started</t>
        </is>
      </c>
      <c r="M41" s="451" t="n"/>
    </row>
    <row r="42" ht="57.75" customHeight="1" s="435">
      <c r="B42" s="1" t="inlineStr">
        <is>
          <t>Week 1</t>
        </is>
      </c>
      <c r="C42" s="473" t="inlineStr">
        <is>
          <t>GPS Insight
(Andrea Rowan, GM)</t>
        </is>
      </c>
      <c r="D42" s="451" t="n"/>
      <c r="E42" s="477" t="inlineStr">
        <is>
          <t>Connect Mike Flynt with Angie (GPS Insight data strategist) to obtain the micro-franchise company list. This expands Track 2 pipeline beyond the current 85-brand database.</t>
        </is>
      </c>
      <c r="F42" s="451" t="n"/>
      <c r="G42" s="451" t="n"/>
      <c r="H42" s="451" t="n"/>
      <c r="I42" s="472" t="inlineStr">
        <is>
          <t>TRACK 2
FRANCHISEE</t>
        </is>
      </c>
      <c r="J42" s="451" t="n"/>
      <c r="K42" s="59" t="inlineStr">
        <is>
          <t>🟡 High</t>
        </is>
      </c>
      <c r="L42" s="470" t="inlineStr">
        <is>
          <t>Not Started</t>
        </is>
      </c>
      <c r="M42" s="451" t="n"/>
    </row>
    <row r="43" ht="57.75" customHeight="1" s="435">
      <c r="B43" s="1" t="inlineStr">
        <is>
          <t>Week 1</t>
        </is>
      </c>
      <c r="C43" s="473" t="inlineStr">
        <is>
          <t>GPS Insight
(Andrea Rowan, GM)</t>
        </is>
      </c>
      <c r="D43" s="451" t="n"/>
      <c r="E43" s="471" t="inlineStr">
        <is>
          <t>Get the GPS Insight existing telematics client list for cross-referencing against all 9 franchisor accounts. Required conflict check before any outreach begins.</t>
        </is>
      </c>
      <c r="F43" s="451" t="n"/>
      <c r="G43" s="451" t="n"/>
      <c r="H43" s="451" t="n"/>
      <c r="I43" s="474" t="inlineStr">
        <is>
          <t>ALL 9 FRANCHISORS</t>
        </is>
      </c>
      <c r="J43" s="451" t="n"/>
      <c r="K43" s="63" t="inlineStr">
        <is>
          <t>🔴 Critical</t>
        </is>
      </c>
      <c r="L43" s="470" t="inlineStr">
        <is>
          <t>Not Started</t>
        </is>
      </c>
      <c r="M43" s="451" t="n"/>
    </row>
    <row r="44" ht="57.75" customHeight="1" s="435">
      <c r="B44" s="1" t="inlineStr">
        <is>
          <t>Week 2</t>
        </is>
      </c>
      <c r="C44" s="473" t="inlineStr">
        <is>
          <t>GPS Insight
(Charles Layne, CEO)</t>
        </is>
      </c>
      <c r="D44" s="451" t="n"/>
      <c r="E44" s="477" t="inlineStr">
        <is>
          <t>Follow-up on AKKR intro request. Confirm which PE firms have responded and whether any calls are scheduled. If American Securities intro is confirmed, brief Mike before the call.</t>
        </is>
      </c>
      <c r="F44" s="451" t="n"/>
      <c r="G44" s="451" t="n"/>
      <c r="H44" s="451" t="n"/>
      <c r="I44" s="472" t="inlineStr">
        <is>
          <t>BELFOR
American Securities</t>
        </is>
      </c>
      <c r="J44" s="451" t="n"/>
      <c r="K44" s="59" t="inlineStr">
        <is>
          <t>🟡 High</t>
        </is>
      </c>
      <c r="L44" s="470" t="inlineStr">
        <is>
          <t>Not Started</t>
        </is>
      </c>
      <c r="M44" s="451" t="n"/>
    </row>
    <row r="45" ht="57.75" customHeight="1" s="435">
      <c r="B45" s="1" t="inlineStr">
        <is>
          <t>Week 2</t>
        </is>
      </c>
      <c r="C45" s="473" t="inlineStr">
        <is>
          <t>GPS Insight
(Charles Layne, CEO)</t>
        </is>
      </c>
      <c r="D45" s="451" t="n"/>
      <c r="E45" s="471" t="inlineStr">
        <is>
          <t>🔍 On me to check whether there's any Apax Partners (Authority Brands backer) connection through AKKR LP network or co-investment relationships. Apax cited 'digitalization' as their Authority Brands investment thesis — perfect alignment.</t>
        </is>
      </c>
      <c r="F45" s="451" t="n"/>
      <c r="G45" s="451" t="n"/>
      <c r="H45" s="451" t="n"/>
      <c r="I45" s="474" t="inlineStr">
        <is>
          <t>AUTHORITY BRANDS
Apax Partners</t>
        </is>
      </c>
      <c r="J45" s="451" t="n"/>
      <c r="K45" s="59" t="inlineStr">
        <is>
          <t>🟡 High</t>
        </is>
      </c>
      <c r="L45" s="470" t="inlineStr">
        <is>
          <t>Not Started</t>
        </is>
      </c>
      <c r="M45" s="451" t="n"/>
    </row>
    <row r="46" ht="57.75" customHeight="1" s="435">
      <c r="B46" s="1" t="inlineStr">
        <is>
          <t>Week 3</t>
        </is>
      </c>
      <c r="C46" s="473" t="inlineStr">
        <is>
          <t>GPS Insight
(Garrett Else, CFO)</t>
        </is>
      </c>
      <c r="D46" s="451" t="n"/>
      <c r="E46" s="477" t="inlineStr">
        <is>
          <t>ROI model sign-off — confirm which assumptions are cleared for external use. Garrett's endorsement as GPS Insight CFO is the credibility layer when the model goes in front of a PE operating partner or franchisor CFO.</t>
        </is>
      </c>
      <c r="F46" s="451" t="n"/>
      <c r="G46" s="451" t="n"/>
      <c r="H46" s="451" t="n"/>
      <c r="I46" s="472" t="inlineStr">
        <is>
          <t>ALL ACCOUNTS
(ROI Model)</t>
        </is>
      </c>
      <c r="J46" s="451" t="n"/>
      <c r="K46" s="63" t="inlineStr">
        <is>
          <t>🔴 Critical</t>
        </is>
      </c>
      <c r="L46" s="470" t="inlineStr">
        <is>
          <t>Not Started</t>
        </is>
      </c>
      <c r="M46" s="451" t="n"/>
    </row>
    <row r="47" ht="57.75" customHeight="1" s="435">
      <c r="B47" s="1" t="inlineStr">
        <is>
          <t>Week 4</t>
        </is>
      </c>
      <c r="C47" s="473" t="inlineStr">
        <is>
          <t>GPS Insight
(Charles Layne, CEO)</t>
        </is>
      </c>
      <c r="D47" s="451" t="n"/>
      <c r="E47" s="471" t="inlineStr">
        <is>
          <t>30-Day check-in: Where do the PE intro paths stand? Which firms have responded? Is a KKR / Felix Gernburd call on the calendar? Any additional PE relationships to activate in Month 2?</t>
        </is>
      </c>
      <c r="F47" s="451" t="n"/>
      <c r="G47" s="451" t="n"/>
      <c r="H47" s="451" t="n"/>
      <c r="I47" s="474" t="inlineStr">
        <is>
          <t>ALL PE PATHS</t>
        </is>
      </c>
      <c r="J47" s="451" t="n"/>
      <c r="K47" s="59" t="inlineStr">
        <is>
          <t>🟡 High</t>
        </is>
      </c>
      <c r="L47" s="470" t="inlineStr">
        <is>
          <t>Not Started</t>
        </is>
      </c>
      <c r="M47" s="451" t="n"/>
    </row>
    <row r="48" ht="57.75" customHeight="1" s="435">
      <c r="B48" s="1" t="inlineStr">
        <is>
          <t>Month 2</t>
        </is>
      </c>
      <c r="C48" s="473" t="inlineStr">
        <is>
          <t>GPS Insight
(Charles Layne, CEO)</t>
        </is>
      </c>
      <c r="D48" s="451" t="n"/>
      <c r="E48" s="477" t="inlineStr">
        <is>
          <t>If Accel-KKR intro has not yet produced a franchisor meeting: ask Charles to make a direct personal call to the PE operating partner. His personal relationship is the accelerant — not a formal intro request.</t>
        </is>
      </c>
      <c r="F48" s="451" t="n"/>
      <c r="G48" s="451" t="n"/>
      <c r="H48" s="451" t="n"/>
      <c r="I48" s="472" t="inlineStr">
        <is>
          <t>STALLED ACCOUNTS</t>
        </is>
      </c>
      <c r="J48" s="451" t="n"/>
      <c r="K48" s="64" t="inlineStr">
        <is>
          <t>🔵 Medium</t>
        </is>
      </c>
      <c r="L48" s="470" t="inlineStr">
        <is>
          <t>Not Started</t>
        </is>
      </c>
      <c r="M48" s="451" t="n"/>
    </row>
    <row r="49" ht="13.5" customHeight="1" s="435"/>
    <row r="50" ht="21.75" customHeight="1" s="435">
      <c r="A50" s="480" t="inlineStr">
        <is>
          <t xml:space="preserve">  Prepared by Velocity GTM Co LLC on behalf of GPS Insight / ServiceBridge  ·  Michael Montgomery Flynt Jr  ·  919.434.6720  ·  mflyntjr@gmail.com  ·  Confidential  ·  April 2026</t>
        </is>
      </c>
    </row>
  </sheetData>
  <mergeCells count="55">
    <mergeCell ref="L48:M48"/>
    <mergeCell ref="E45:H45"/>
    <mergeCell ref="B11:M11"/>
    <mergeCell ref="I46:J46"/>
    <mergeCell ref="B23:M23"/>
    <mergeCell ref="C42:D42"/>
    <mergeCell ref="C45:D45"/>
    <mergeCell ref="I45:J45"/>
    <mergeCell ref="B17:M17"/>
    <mergeCell ref="E41:H41"/>
    <mergeCell ref="L47:M47"/>
    <mergeCell ref="A1:N1"/>
    <mergeCell ref="L43:M43"/>
    <mergeCell ref="B10:M10"/>
    <mergeCell ref="C47:D47"/>
    <mergeCell ref="I47:J47"/>
    <mergeCell ref="E47:H47"/>
    <mergeCell ref="E43:H43"/>
    <mergeCell ref="C41:D41"/>
    <mergeCell ref="I41:J41"/>
    <mergeCell ref="L42:M42"/>
    <mergeCell ref="C44:D44"/>
    <mergeCell ref="C40:D40"/>
    <mergeCell ref="L39:M39"/>
    <mergeCell ref="L45:M45"/>
    <mergeCell ref="B30:M30"/>
    <mergeCell ref="E42:H42"/>
    <mergeCell ref="B6:M6"/>
    <mergeCell ref="B24:M24"/>
    <mergeCell ref="C43:D43"/>
    <mergeCell ref="I43:J43"/>
    <mergeCell ref="A3:N3"/>
    <mergeCell ref="C46:D46"/>
    <mergeCell ref="E39:H39"/>
    <mergeCell ref="E48:H48"/>
    <mergeCell ref="A50:N50"/>
    <mergeCell ref="B5:M5"/>
    <mergeCell ref="I42:J42"/>
    <mergeCell ref="A2:N2"/>
    <mergeCell ref="B36:M36"/>
    <mergeCell ref="E44:H44"/>
    <mergeCell ref="L41:M41"/>
    <mergeCell ref="I39:J39"/>
    <mergeCell ref="C48:D48"/>
    <mergeCell ref="L44:M44"/>
    <mergeCell ref="I48:J48"/>
    <mergeCell ref="C39:D39"/>
    <mergeCell ref="L40:M40"/>
    <mergeCell ref="I44:J44"/>
    <mergeCell ref="B16:M16"/>
    <mergeCell ref="E40:H40"/>
    <mergeCell ref="L46:M46"/>
    <mergeCell ref="B31:M31"/>
    <mergeCell ref="E46:H46"/>
    <mergeCell ref="I40:J40"/>
  </mergeCells>
  <dataValidations count="3">
    <dataValidation sqref="J13:J14 J19:J21 J26:J28 J33:J34" showDropDown="0" showInputMessage="0" showErrorMessage="0" allowBlank="1" type="list">
      <formula1>"Not Started,GPS Ask Sent,Intro Requested,Intro Confirmed,Call Scheduled,Call Complete,Warm – Active,Warm – Stalled,No Path"</formula1>
      <formula2>0</formula2>
    </dataValidation>
    <dataValidation sqref="I13:I14 I19:I21 I26:I28 I33:I34" showDropDown="0" showInputMessage="0" showErrorMessage="0" allowBlank="1" type="list">
      <formula1>"🔴 Critical,🟡 High,🔵 Medium,⚪ Low"</formula1>
      <formula2>0</formula2>
    </dataValidation>
    <dataValidation sqref="L39:L48" showDropDown="0" showInputMessage="0" showErrorMessage="0" allowBlank="1" type="list">
      <formula1>"Not Started,GPS Notified,Ask Confirmed,In Progress,Complete,Blocked"</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M14"/>
  <sheetViews>
    <sheetView showGridLines="0" zoomScaleNormal="100" workbookViewId="0">
      <pane ySplit="3" topLeftCell="A4" activePane="bottomLeft" state="frozen"/>
      <selection pane="bottomLeft" activeCell="A1" sqref="A1"/>
    </sheetView>
  </sheetViews>
  <sheetFormatPr baseColWidth="10" defaultColWidth="8.6640625" defaultRowHeight="15"/>
  <cols>
    <col width="5" customWidth="1" style="435" min="1" max="1"/>
    <col width="20" customWidth="1" style="435" min="2" max="2"/>
    <col width="16" customWidth="1" style="435" min="3" max="3"/>
    <col width="8" customWidth="1" style="435" min="4" max="4"/>
    <col width="7" customWidth="1" style="435" min="5" max="5"/>
    <col width="8" customWidth="1" style="435" min="6" max="6"/>
    <col width="9" customWidth="1" style="435" min="7" max="7"/>
    <col width="20" customWidth="1" style="435" min="8" max="8"/>
    <col width="18" customWidth="1" style="435" min="9" max="9"/>
    <col width="20" customWidth="1" style="435" min="10" max="11"/>
    <col width="13" customWidth="1" style="435" min="12" max="12"/>
    <col width="11" customWidth="1" style="435" min="13" max="13"/>
    <col width="18" customWidth="1" style="435" min="14" max="14"/>
    <col width="10" customWidth="1" style="435" min="15" max="15"/>
    <col width="18" customWidth="1" style="435" min="16" max="16"/>
    <col width="30" customWidth="1" style="435" min="17" max="17"/>
    <col width="48" customWidth="1" style="435" min="18" max="18"/>
    <col width="22" customWidth="1" style="435" min="19" max="19"/>
    <col width="48" customWidth="1" style="435" min="20" max="20"/>
    <col width="52" customWidth="1" style="435" min="21" max="21"/>
    <col width="60" customWidth="1" style="435" min="22" max="22"/>
    <col width="52" customWidth="1" style="435" min="23" max="23"/>
    <col width="14" customWidth="1" style="435" min="24" max="24"/>
    <col width="32" customWidth="1" style="435" min="25" max="25"/>
    <col width="14" customWidth="1" style="435" min="26" max="32"/>
    <col width="38" customWidth="1" style="435" min="33" max="33"/>
    <col width="50" customWidth="1" style="435" min="34" max="34"/>
    <col width="35" customWidth="1" style="435" min="35" max="35"/>
    <col width="45" customWidth="1" style="435" min="36" max="36"/>
    <col width="42" customWidth="1" style="435" min="37" max="37"/>
    <col width="65" customWidth="1" style="435" min="38" max="38"/>
    <col width="60" customWidth="1" style="435" min="39" max="39"/>
  </cols>
  <sheetData>
    <row r="1" ht="37.5" customHeight="1" s="435">
      <c r="A1" s="449" t="inlineStr">
        <is>
          <t xml:space="preserve">  TOP FRANCHISOR ACCOUNTS  ·  Track 1 (P1 ×7) + P2 Set (×3)  ·  V2 Greenfield-Weighted Ranking</t>
        </is>
      </c>
    </row>
    <row r="2" ht="15.75" customHeight="1" s="435">
      <c r="A2" s="460" t="inlineStr">
        <is>
          <t xml:space="preserve">  Velocity GTM Co LLC  ·  GPS Insight / ServiceBridge Engagement  ·  V2 Ranking April 28, 2026  ·  CRM v15.6 — validated April 29, 2026</t>
        </is>
      </c>
    </row>
    <row r="3" ht="45" customHeight="1" s="435">
      <c r="A3" s="64" t="inlineStr">
        <is>
          <t>#</t>
        </is>
      </c>
      <c r="B3" s="64" t="inlineStr">
        <is>
          <t>FRANCHISOR</t>
        </is>
      </c>
      <c r="C3" s="64" t="inlineStr">
        <is>
          <t>PE BACKER</t>
        </is>
      </c>
      <c r="D3" s="64" t="inlineStr">
        <is>
          <t>TIER</t>
        </is>
      </c>
      <c r="E3" s="64" t="inlineStr">
        <is>
          <t>BRANDS</t>
        </is>
      </c>
      <c r="F3" s="64" t="inlineStr">
        <is>
          <t>TECHS</t>
        </is>
      </c>
      <c r="G3" s="64" t="inlineStr">
        <is>
          <t>ARR EST.</t>
        </is>
      </c>
      <c r="H3" s="64" t="inlineStr">
        <is>
          <t>CEO</t>
        </is>
      </c>
      <c r="I3" s="64" t="inlineStr">
        <is>
          <t>CFO</t>
        </is>
      </c>
      <c r="J3" s="64" t="inlineStr">
        <is>
          <t>COO / PRESIDENT</t>
        </is>
      </c>
      <c r="K3" s="64" t="inlineStr">
        <is>
          <t>BD / FRANCHISE DEV</t>
        </is>
      </c>
      <c r="L3" s="64" t="inlineStr">
        <is>
          <t>ENGAGEMENT
STATUS</t>
        </is>
      </c>
      <c r="M3" s="64" t="inlineStr">
        <is>
          <t>LAST
CONTACT</t>
        </is>
      </c>
      <c r="N3" s="64" t="inlineStr">
        <is>
          <t>NEXT
STEP</t>
        </is>
      </c>
      <c r="O3" s="64" t="inlineStr">
        <is>
          <t>NEXT
DATE</t>
        </is>
      </c>
      <c r="P3" s="64" t="inlineStr">
        <is>
          <t>GPS INSIGHT
SUPPORT</t>
        </is>
      </c>
      <c r="Q3" s="64" t="inlineStr">
        <is>
          <t>NOTES</t>
        </is>
      </c>
      <c r="R3" s="97" t="inlineStr">
        <is>
          <t>ANNUAL
CONVENTION</t>
        </is>
      </c>
      <c r="S3" s="97" t="inlineStr">
        <is>
          <t>VENDORS /
PARTNERS
INVITED?</t>
        </is>
      </c>
      <c r="T3" s="97" t="inlineStr">
        <is>
          <t>INSURANCE
PROGRAM /
CARRIER</t>
        </is>
      </c>
      <c r="U3" s="97" t="inlineStr">
        <is>
          <t>INSURANCE
GTM ANGLE</t>
        </is>
      </c>
      <c r="V3" s="97" t="inlineStr">
        <is>
          <t>FDD INTEL
(Items 8·11·19)</t>
        </is>
      </c>
      <c r="W3" s="98" t="inlineStr">
        <is>
          <t>INSIGHT ENGINE
INPUTS
← Pre-populate ROI Calc</t>
        </is>
      </c>
      <c r="X3" s="99" t="inlineStr">
        <is>
          <t>FRANCHISOR
SCORE
/ 100</t>
        </is>
      </c>
      <c r="Y3" s="98" t="inlineStr">
        <is>
          <t>GPS INSIGHT
EXEC CONTACT
← Internal intro path</t>
        </is>
      </c>
      <c r="Z3" s="100" t="inlineStr">
        <is>
          <t>GREENFIELD
SCORE
(V2 · 20%)</t>
        </is>
      </c>
      <c r="AA3" s="100" t="inlineStr">
        <is>
          <t>NETWORK
SCORE
(V2 · 15%)</t>
        </is>
      </c>
      <c r="AB3" s="100" t="inlineStr">
        <is>
          <t>PE
SCORE
(V2 · 15%)</t>
        </is>
      </c>
      <c r="AC3" s="100" t="inlineStr">
        <is>
          <t>DM ACCESS
SCORE
(V2 · 15%)</t>
        </is>
      </c>
      <c r="AD3" s="100" t="inlineStr">
        <is>
          <t>URGENCY
SCORE
(V2 · 15%)</t>
        </is>
      </c>
      <c r="AE3" s="100" t="inlineStr">
        <is>
          <t>DISPLACEMENT
SCORE
(V2 · 10%)</t>
        </is>
      </c>
      <c r="AF3" s="100" t="inlineStr">
        <is>
          <t>C/B MIX
SCORE
(V2 · 10%)</t>
        </is>
      </c>
      <c r="AG3" s="517" t="inlineStr">
        <is>
          <t>KEY CONTACTS
LINKEDIN URLS</t>
        </is>
      </c>
      <c r="AH3" s="517" t="inlineStr">
        <is>
          <t>FSM / TELEMATICS /
INSURANCE COMMENTS</t>
        </is>
      </c>
      <c r="AI3" s="517" t="inlineStr">
        <is>
          <t>EVENTS THEY
ATTEND / SPEAK AT</t>
        </is>
      </c>
      <c r="AJ3" s="517" t="inlineStr">
        <is>
          <t>HOW TO ENGAGE
PLAYBOOK SUMMARY</t>
        </is>
      </c>
      <c r="AK3" s="517" t="inlineStr">
        <is>
          <t>EXPANDED CONTACTS</t>
        </is>
      </c>
      <c r="AL3" s="517" t="inlineStr">
        <is>
          <t>SIGNAL INTEL
(compressed · see Signal Intel tab for full)</t>
        </is>
      </c>
      <c r="AM3" s="517" t="inlineStr">
        <is>
          <t>EDUCATION
(College / University / Trade School)</t>
        </is>
      </c>
    </row>
    <row r="4" ht="800" customHeight="1" s="435">
      <c r="A4" s="133" t="n">
        <v>1</v>
      </c>
      <c r="B4" s="134" t="inlineStr">
        <is>
          <t>NEIGHBORLY</t>
        </is>
      </c>
      <c r="C4" s="135" t="inlineStr">
        <is>
          <t>KKR ($349B+ AUM)</t>
        </is>
      </c>
      <c r="D4" s="136" t="inlineStr">
        <is>
          <t>P1 #1 · PE-GATED</t>
        </is>
      </c>
      <c r="E4" s="137" t="n">
        <v>16</v>
      </c>
      <c r="F4" s="137" t="n">
        <v>13259</v>
      </c>
      <c r="G4" s="138" t="inlineStr">
        <is>
          <t>$198K</t>
        </is>
      </c>
      <c r="H4" s="141" t="inlineStr">
        <is>
          <t>Mike Davis
CEO (joined Jul 2024)</t>
        </is>
      </c>
      <c r="I4" s="141" t="inlineStr">
        <is>
          <t>Benjamin Lamb
CFO (joined May 2025)</t>
        </is>
      </c>
      <c r="J4" s="141" t="inlineStr">
        <is>
          <t>Jason Himber
Group President, Repair Brands</t>
        </is>
      </c>
      <c r="K4" s="141" t="inlineStr">
        <is>
          <t>Felix Gernburd
KKR Partner / Board  ← PE TARGET</t>
        </is>
      </c>
      <c r="L4" s="19" t="n"/>
      <c r="M4" s="135" t="n"/>
      <c r="N4" s="135" t="inlineStr">
        <is>
          <t>Flag to Charles — KKR intro is Week 1 GPS ask</t>
        </is>
      </c>
      <c r="O4" s="135" t="inlineStr">
        <is>
          <t>Week 1 (GPS only)</t>
        </is>
      </c>
      <c r="P4" s="76" t="inlineStr">
        <is>
          <t>GPS: THIS IS THE #1 GPS ACTION — Charles → Accel-KKR → KKR → Felix Gernburd. DO NOT approach Neighborly direct.</t>
        </is>
      </c>
      <c r="Q4" s="143" t="inlineStr">
        <is>
          <t>Gagan Sinha = CIO (joined Sep 2025). ST renewal window 2025–2027. PE play only.</t>
        </is>
      </c>
      <c r="R4" s="129" t="inlineStr">
        <is>
          <t>Neighborly Reunion · Oct 2025 held Nashville — next ~Oct 2026 Nashville. DO NOT attend without PE intro.</t>
        </is>
      </c>
      <c r="S4" s="120" t="inlineStr">
        <is>
          <t>✅ Yes — vendor partners attend</t>
        </is>
      </c>
      <c r="T4" s="110" t="inlineStr">
        <is>
          <t>ProTradeNet preferred insurance broker (confirmed — ~170 vendors incl. insurance brokers). Validate specific broker via FDD.</t>
        </is>
      </c>
      <c r="U4" s="117" t="inlineStr">
        <is>
          <t>🟡 Medium — ProTradeNet broker is warm intro path to COO/CFO. PE intro only.</t>
        </is>
      </c>
      <c r="V4" s="144" t="inlineStr">
        <is>
          <t>SOURCE: Mr. Rooter FDD (franchiseba.com 2025) / Aire Serv FDD 2025 / ProTradeNet confirmed via neighborlybrands.com
ITEM 11 — Technology: ServiceTitan explicitly named as required software system across all core brands. On ST since 2012 (Mr. Handyman, Aire Serv, Mr. Rooter, Mr. Electric per ServiceTitan press release).
ITEM 8 — Vendors: ProTradeNet ~170 preferred vendors including insurance brokers. Specific broker named in brand-level FDDs. Broker = warm intro path to COO/CFO.
ITEM 19 — Aire Serv 2025: 158 reporting businesses, 1/1/24-12/31/24 per FDD. Full financials behind paywall.
⚠️ DO NOT APPROACH DIRECT. PE intro only via Charles → KKR → Felix Gernburd.
ST RENEWAL WINDOW: 2025-2027. Only leverage is PE relationship.</t>
        </is>
      </c>
      <c r="W4" s="112" t="inlineStr">
        <is>
          <t>📊 USE INSIGHT ENGINE → ROI Calculator tab
⚠️ DO NOT RUN INSIGHT ENGINE until PE intro confirmed.
IF/WHEN PE intro secured, pre-populate:
• Technicians: 13,259
• Avg Jobs/Tech/Day: 5 (mature ST-optimized system)
• Avg Revenue/Job: $400
• Focus: ST renewal window — Telematics angle via GPS Insight
Conversation is about GPS Insight telematics (Smart Fleet USA
contract renewal), not ServiceBridge FSM displacement.
3-Way Scenario: KKR exit at 10-12x multiple.</t>
        </is>
      </c>
      <c r="X4" s="145" t="inlineStr">
        <is>
          <t>76.5
🔴 PE-GATED — DO NOT APPROACH DIRECT</t>
        </is>
      </c>
      <c r="Y4" s="623" t="inlineStr">
        <is>
          <t>WARM-PATH STATUS (05/04/2026):
Mike's active angles to existing leadership:
  • Mike Davis (Corporate): I have a 1st connection with a former colleague I will investigate.
⚠️ STATUS CHANGES TO VERIFY:
  • Benjamin Lamb (Corporate): It appears Ben moved Feb. 2026.
  • Brad Roberson (Glass Doctor (prior)): It appears Brad may of just left business this March 2026
Full alumni intel: see Alumni Crossover GPS Insight v19 + Signal Intel tab v19 update.
Becky-Mike touch plan in development for warm-anchor outreach sequencing.</t>
        </is>
      </c>
      <c r="Z4" s="119" t="inlineStr">
        <is>
          <t>4/20
20 (limited; ST mandate caps)</t>
        </is>
      </c>
      <c r="AA4" s="115" t="inlineStr">
        <is>
          <t>14/15
90 (13,259 techs — largest in P1)</t>
        </is>
      </c>
      <c r="AB4" s="116" t="inlineStr">
        <is>
          <t>13/15
85 (KKR — active investor, exit-driven)</t>
        </is>
      </c>
      <c r="AC4" s="115" t="inlineStr">
        <is>
          <t>13/15
85 (Charles Layne → Accel-KKR → KKR warm path)</t>
        </is>
      </c>
      <c r="AD4" s="119" t="inlineStr">
        <is>
          <t>15/15
95 (highest — ST renewals 2025-2027 + KKR window)</t>
        </is>
      </c>
      <c r="AE4" s="115" t="inlineStr">
        <is>
          <t>5/10
50 (ST partial mandate, displaceable on non-ST brands)</t>
        </is>
      </c>
      <c r="AF4" s="115" t="inlineStr">
        <is>
          <t>8/10
80 (consumer-led mix)</t>
        </is>
      </c>
      <c r="AG4" s="555" t="inlineStr">
        <is>
          <t>KEY LINKEDIN URLS (UPDATED v15.34):
🎯 PRIMARY TARGET — GAGAN SINHA (CIO since Sept 2025):
LinkedIn: linkedin.com/in/gagansinha/
⭐⭐⭐ Harvard MS Mgmt 2011-2013. From Bloomin' Brands. STILL FORMING FSM ROADMAP.
#1 OVERALL TARGET IN ENTIRE DATASET.
EXECUTIVES:
• Mike Davis (CEO July 2024): linkedin.com/in/mcardavis
  Ex-Mathnasium/Valpak/UMG. Irving TX.
• Benjamin Lamb (CFO May 2025): linkedin.com/in/benlamb-finance/
  Baylor BBA Finance/Econ ⭐
• Brad Stevenson (CDO): linkedin.com/in/bradstevenson1/
  Texas A&amp;M College Station BS Kinesiology 1991-96 ⭐ MillerCoors career since 1996.
• Stacy Lynn Bourgeois (CMO): linkedin.com/in/stacy-lynn-bourgeois/
  Northwestern Medill MS + Florida State BA ⭐⭐
• Matt Crowley (Group Pres-Specialty): linkedin.com/in/matt-crowley-usc/
  USC Marshall MBA ⭐ Ex-Valpak EVP.
• Georgeanne Erickson (Group Pres-Maintain): linkedin.com/in/georgeanne-erickson/
  Pending school. Ex-CMO Fogo de Chão.
• Jason Himber (Group Pres-Repair): linkedin.com/in/jason-himber/
  Pending school verification.
WARM PATH (PE-GATED):
• Felix Gernburd (KKR Partner / Board): linkedin.com/in/felix-gernburd/
  ← PE TARGET via Accel-KKR network
• David Brandon (Neighborly Board / KKR Operating Partner): linkedin.com/in/david-brandon/
  Ex-CEO Domino's, Toys R Us, Univ Michigan AD ⭐ U Michigan
KEY BRAND PRESIDENTS:
• Glenn Lewis CFE (Mr. Appliance): linkedin.com/in/glenn-lewis-cfe-28347913/ Baylor ⭐
• Josh McCormick (Mr. Electric, returned Aug 2025): linkedin.com/in/joshmccormickneighborly/ Baylor BBA ⭐
• Brian Meussner (Molly Maid + Mr. Handyman dual brand NEW Jan 2026): linkedin.com/in/brian-meussner-43b22b7/ Central Michigan U ⭐
• Susan McIntosh (Lawn Pride): linkedin.com/in/susanmcintoshneighborly/ Cardinal Ritter HS — operator path 30+ yrs ⭐
• Chris Bruno CFE (Window Genie): linkedin.com/in/chris-bruno-cfe-b895122a1/ Tarleton State ⭐
• Evan Brody (Mosquito Joe): linkedin.com/in/evansbrody/ Olin/WashU ⭐
• Mike Brickner (Precision Door): linkedin.com/in/mike-brickner-precision/ Columbia College ⭐
• Justin Penard (Grout Medic VP FD): linkedin.com/in/justinpenard/ Texas Tech ⭐</t>
        </is>
      </c>
      <c r="AH4" s="518" t="inlineStr">
        <is>
          <t>★ FSM / TECH / DIGITAL TRANSFORMATION QUOTES ★
Felix Gernburd (KKR Partner, Neighborly press release):
"Mike will guide the execution of key enterprise initiatives and the DIGITAL TRANSFORMATION IN PROGRESS aimed to elevate Neighborly as a trusted provider to customers and an attractive investment for prospective franchise owners."
→ KKR PUBLICLY committed to digital transformation. This is the warm-intro hook.
Mike Davis (LinkedIn 2024):
"Industry-leading NPS scores across most of our brands - making Fans! A growing percentage of multi-brand customers - USING MARTECH TO CONNECT THE BRANDS and consumer trust - Loyalty that compounds."
→ Davis is publicly investing in cross-brand data infra. ServiceBridge job-level data feeds martech.
Davis (Reunion 2024):
"You grow companies by growing believers."
"Don't just win customers. Create fans."</t>
        </is>
      </c>
      <c r="AI4" s="518" t="inlineStr">
        <is>
          <t>Neighborly Reunion ~Oct 2026
Likely Nashville (Gaylord Opryland)
16 brands + vendor partners attend
★ DO NOT attend without KKR intro
IFA Annual Convention (Feb)
Brad Stevenson (CDO) on IFA board
FLDC Atlanta (Oct 6-8, 2026)
Davis likely speaker
👉 See Event Intelligence tab for full schedule + opportunity analysis</t>
        </is>
      </c>
      <c r="AJ4" s="518" t="inlineStr">
        <is>
          <t>ENTRY: KKR PE intro only — NO direct approach.
CHANNEL: Charles → Accel-KKR → KKR → Felix Gernburd → Davis introduction.
ANGLE: GPS Insight telematics conversation FIRST (Smart Fleet conflict needs Mike Davis or Gagan Sinha as decision authority). NOT ServiceBridge FSM — ServiceTitan is locked in at brand level.
TIMING: Week 1 GPS Insight ask only. No outreach until warm intro confirmed. Davis tenure (since Jul 2024) + Lamb (since May 2025) = both still in honeymoon period.</t>
        </is>
      </c>
      <c r="AK4" s="518" t="inlineStr">
        <is>
          <t>NEIGHBORLY BRAND-LEVEL ROSTER:
Aire Serv: Jay Jimenez (Brand Pres NEW Apr 2026, was Brad Roberson)
  Frederick Roberts (Operations Consultant)
Glass Doctor: Gabe Lopez (Brand Pres)
Lawn Pride: Susan McIntosh (Brand Pres)
Molly Maid: Michael Silva-Nash (Brand Pres)
Mosquito Joe: Evan Brody (Brand Pres)
Mr. Appliance: Glenn Lewis (Brand Pres)
Mr. Electric: Josh McCormick (Brand Pres)
Mr. Handyman: Brian Meussner (Brand Pres)
Mr. Rooter: Matt Kunz (Brand Pres since 2023)
  Doyle James (former pres)
Precision Garage Door: Mike Brickner (Brand Pres)
Rainbow Restoration: Josh Miller (Brand Pres)
Window Genie: Chris Bruno (Brand Pres)
Five Star Painting: David Sutter (Brand Pres per 2023 video)
  Mary Kay Liston (former pres)
  Matt Phillips (former pres, then Neighborly COO)
  Amy Davis (VP Operations)
  Michael &amp; Joy Nungesser (2024 Franchise Owners of the Year)
  Cindy Praesal, Anthony Kulikowski, Amado Cano, Mark Lambert (featured franchisees)
Junk King: Vera Peterson (Interim Brand Pres) + Lisa Merry (former)
  Michael Andreacchi (Co-Founder, Investor + Brand Ambassador)
Dryer Vent Wizard: Kevin Busch (Brand Pres)
HouseMaster: Nancy Shipley (Brand Pres)
Portland Glass: Sarah Frohnhoefer (Brand Pres)
ProTradeNet: Brandi Haslam (Brand Pres)
Real Property Management: Jeff Pepperney (Brand Pres)
ShelfGenie: Tony Ditzler (Brand Pres)
Grounds Guys: Lori Johnson (Brand Pres)
Group Presidents:
• Vera Peterson (Group Pres Maintain cluster: Dryer Vent, Molly Maid, Window Genie, Junk King, Five Star Painting, Mosquito Joe, Grounds Guys, Mr. Appliance)
• Georgeanne Erickson (Group Pres — newer arrival)
• Jason Himber (Group Pres Repair cluster)
• Matt Crowley (Group Pres Specialty cluster)
Neighborly Corporate:
• Mike Davis (CEO since July 2024) — linkedin.com/in/mcardavis
• Benjamin Lamb (CFO May 2025)
• Gagan Sinha (CIO Sept 2025) — ex-Bloomin' Brands
• Brad Stevenson (CDO)
• Stacy Lynn Bourgeois (CMO)
• Grayson Brown (EVP/General Counsel)
• Courtney Kolar (CPO)
PE: KKR — Felix Gernburd (Partner / Board)
Founder: Don Dwyer (1981, original Dwyer Group)</t>
        </is>
      </c>
      <c r="AL4" s="555" t="inlineStr">
        <is>
          <t>🥇 #1 OVERALL TARGET: Gagan Sinha (CIO, joined Sept 2025, Harvard MS Mgmt, ex-Bloomin' Brands CIO) — explicit "shift from primarily building systems in-house to ADOPTING AND INTEGRATING BEST-IN-CLASS PLATFORMS" stance.
Mike Davis (CEO, ex-Mathnasium, Atlanta): "So much of being amazing with consumers in today's world is rooted in technology."
Felix Gernburd (KKR Board): public quote on "digital transformation in progress."
⚠️ HARD CONFLICT: Smart Fleet USA / Azuga = preferred telematics for ALL 16+ Neighborly brands (NOT GPS Insight). Mike Bidwell passing (Sept 2023) = sensitive context.
👉 See Signal Intel: Neighborly section
[v19 Alumni Intel · 05/04/2026]: 3 warm-path/status notes captured. See Col 25 for tactical detail and Signal Intel tab for full roll-up.</t>
        </is>
      </c>
      <c r="AM4" s="555" t="inlineStr">
        <is>
          <t>🎓 NEIGHBORLY EDUCATION CLUSTER (DEEP):
TOP LEADERSHIP:
• Mike Davis (CEO since July 2024): Pending school confirmation. 13 yrs UMG EVP → CEO Valpak → CEO Mathnasium → Neighborly. Irving TX office.
• Jon Shell (CFO, formerly interim CEO): Pending verification
• Gagan Sinha (CIO since Sept 2025): Harvard MS Mgmt 2011-2013 ⭐⭐⭐ #1 OVERALL TARGET. Ex-Bloomin' Brands, ex-Inspire Brands.
• Brad Stevenson (CDO): Texas A&amp;M College Station BS Kinesiology 1991-1996. MillerCoors career since 1996.
• Stacy Lynn Bourgeois (CMO): Northwestern MS Integrated Marketing 2009-2010 + Florida State BA Communications. Ex-Yum Brands, Pizza Hut.
• Ben Lamb (CFO May 2025): Baylor BBA Finance/Econ/Intl Business
• Courtney Kolar (SVP People Services): Pending school. 9yrs Kohl's HR.
GROUP PRESIDENTS:
• Matt Crowley (Group Pres-Specialty): USC Marshall MBA. Ex-Valpak EVP. Two decades PE/digital media/Fortune 50.
• Jason Himber (Group Pres-Repair: Aire Serv, Glass Doctor, Mr. Electric, Mr. Handyman, Mr. Rooter, Precision, Rainbow): Pending school. 15+ yrs.
• Georgeanne Erickson (Group Pres-Maintain: Mr. Appliance, Molly Maid, Window Genie, Mosquito Joe, Five Star Painting, Junk King, Dryer Vent Wizard, Grounds Guys): Pending school. Ex-CMO Fogo de Chão.
BRAND PRESIDENTS:
• Glenn Lewis (Mr. Appliance): Baylor 1982-1985 + UT Austin 81-82, CFE. Wife Leslie + daughter Calli also Baylor.
• Josh McCormick (Mr. Electric): Baylor BBA Mgmt 1999-2002
• Brian Meussner (Mr. Handyman): Central Michigan Univ 1999-2002
• Mike Brickner (Precision Door): Columbia College
• Susan McIntosh (Lawn Pride): Cardinal Ritter HS Indianapolis (no college)
• Michael Silva-Nash (Molly Maid): U Arkansas Little Rock 2010-2014, International Business + Foreign Language. CFE, bilingual.
• Chris Bruno (Window Genie): Tarleton State University BAS Business Admin 2018-2020. CFE.
• Evan Brody (Mosquito Joe): Olin School of Business, Washington University in St. Louis ⭐
• Jay Jimenez (Aire Serv NEW Apr 2026): CFE, school pending
• Matt Kunz (former Mr. Rooter Pres, NOW LEFT for Fastest Labs CEO Jan 2026): WSU Carson MBA + Northern Illinois BBA + Morrison Tech AS
🎯 BAYLOR CLUSTER: 3 Neighborly leaders (Lewis, McCormick, Lamb)
👉 See Signal Intel tab Master Education Table for sortable view</t>
        </is>
      </c>
    </row>
    <row r="5" ht="900" customHeight="1" s="435">
      <c r="A5" s="133" t="n">
        <v>2</v>
      </c>
      <c r="B5" s="134" t="inlineStr">
        <is>
          <t>AUTHORITY BRANDS</t>
        </is>
      </c>
      <c r="C5" s="135" t="inlineStr">
        <is>
          <t>Apax Partners + BCI</t>
        </is>
      </c>
      <c r="D5" s="136" t="inlineStr">
        <is>
          <t>P1 #2 · DISPLACEMENT-READY</t>
        </is>
      </c>
      <c r="E5" s="137" t="n">
        <v>12</v>
      </c>
      <c r="F5" s="137" t="n">
        <v>12098</v>
      </c>
      <c r="G5" s="138" t="inlineStr">
        <is>
          <t>$181K</t>
        </is>
      </c>
      <c r="H5" s="139" t="inlineStr">
        <is>
          <t>Jay Caiafa
CEO (joined Aug 2025)
Prev: COO Americas, IHG Hotels
4,600 hotels, 26 countries
Data/AI focus — new leadership
Rob Weddle — OUT (was CEO)</t>
        </is>
      </c>
      <c r="I5" s="619" t="inlineStr">
        <is>
          <t>Josh Greear
CFO (joined Sept 22, 2025)
LinkedIn: linkedin.com/in/joshgreear/
Education: U Richmond BA + Vanderbilt MA ⭐⭐
Atlanta. 4 kids.
Prev: CFO Primrose Schools, VP Strategy &amp; BD Cracker Barrel, financial leadership roles The Home Depot.
25+ yrs franchise/finance experience.</t>
        </is>
      </c>
      <c r="J5" s="141" t="inlineStr">
        <is>
          <t>Steve Clemente
President &amp; COO, Trades</t>
        </is>
      </c>
      <c r="K5" s="142" t="inlineStr">
        <is>
          <t>Tij Bedi
CTO (joined Aug 2024)
← PRIMARY entry point
Tech/FSM mandate angle
9 non-ST brands greenfield
Note: Jay Caiafa (CEO) has
data + AI background —
lead with operational efficiency</t>
        </is>
      </c>
      <c r="L5" s="19" t="n"/>
      <c r="M5" s="135" t="n"/>
      <c r="N5" s="135" t="inlineStr">
        <is>
          <t>Map 9 non-ST brands + Tij Bedi research</t>
        </is>
      </c>
      <c r="O5" s="135" t="inlineStr">
        <is>
          <t>Week 1 (research)</t>
        </is>
      </c>
      <c r="P5" s="76" t="inlineStr">
        <is>
          <t>GPS: Apax Partners → Charles Layne for PE intro. Tij Bedi is primary tech champion.</t>
        </is>
      </c>
      <c r="Q5" s="143" t="inlineStr">
        <is>
          <t>9 of 12 brands have no ServiceTitan. No displacement. Ryan Bowes = Chief Dev Officer.</t>
        </is>
      </c>
      <c r="R5" s="117" t="inlineStr">
        <is>
          <t>Annual Convention — research needed</t>
        </is>
      </c>
      <c r="S5" s="109" t="inlineStr">
        <is>
          <t>Unknown</t>
        </is>
      </c>
      <c r="T5" s="117" t="inlineStr">
        <is>
          <t>National program likely via Apax Partners — validate FDD Item 8/11</t>
        </is>
      </c>
      <c r="U5" s="117" t="inlineStr">
        <is>
          <t>🟡 Medium — $2B+ revenue, institutional program almost certain. Tij Bedi (CTO) not the right contact here.</t>
        </is>
      </c>
      <c r="V5" s="111" t="inlineStr">
        <is>
          <t>SOURCE: ServiceTitan press release Sep 2024 / public FDD summaries
ITEM 11 — Technology: ServiceTitan named as required platform for 3 brands (Benjamin Franklin, Mister Sparky, One Hour) — announced Sep 2024, transition in 2025. 9 remaining brands have NO FSM mandate.
PRIOR PLATFORM: Successware (acquired by Authority Brands 2019) — being replaced by ServiceTitan.
✅ GREENFIELD: ASP, Cleaning Authority, DRYmedic, Junkluggers, Lawn Squad, Monster Tree, Mosquito Squad, Screenmobile, STOP Restoration — 9 brands, no mandate.
PRIMARY CONTACT: Tij Bedi (CTO, joined Aug 2024) building tech infrastructure.</t>
        </is>
      </c>
      <c r="W5" s="112" t="inlineStr">
        <is>
          <t>📊 USE INSIGHT ENGINE → ROI Calculator tab
PRE-POPULATE WITH (9 non-ST greenfield brands only):
• Technicians: ~5,000 (9 non-ST brands est.)
• Avg Jobs/Tech/Day: 4
• Avg Revenue/Job: $350
• Working Days: 260
PRIMARY AUDIENCE: Tij Bedi (CTO) — use Competitive Matrix tab
to show ServiceBridge vs ServiceTitan side by side.
Key message: ServiceBridge for the 9 brands ST doesn't serve.
No displacement of existing ST mandate.</t>
        </is>
      </c>
      <c r="X5" s="121" t="inlineStr">
        <is>
          <t>68.5
🟡 ACTIVE</t>
        </is>
      </c>
      <c r="Y5" s="114" t="inlineStr">
        <is>
          <t>Charles Layne → Apax Partners PE intro path
Tij Bedi (CTO Authority Brands) — new hire Aug 2024, direct LinkedIn
Andrea Rowan for brand-level account data</t>
        </is>
      </c>
      <c r="Z5" s="115" t="inlineStr">
        <is>
          <t>12/20
60 (mixed — 3 brands ST mandated, 12 brands open)</t>
        </is>
      </c>
      <c r="AA5" s="115" t="inlineStr">
        <is>
          <t>13/15
85 (12,098 techs)</t>
        </is>
      </c>
      <c r="AB5" s="116" t="inlineStr">
        <is>
          <t>12/15
80 (Apax — active investor + co-investor BCI)</t>
        </is>
      </c>
      <c r="AC5" s="116" t="inlineStr">
        <is>
          <t>11/15
70 (Tij Bedi CTO direct, plus parent path)</t>
        </is>
      </c>
      <c r="AD5" s="116" t="inlineStr">
        <is>
          <t>13/15
85 (Jay Caiafa CEO Aug 2025, Josh Greear CFO Sept 2025 — fresh tech direction)</t>
        </is>
      </c>
      <c r="AE5" s="115" t="inlineStr">
        <is>
          <t>7/10
70 (ServiceTitan partial — 12 non-ST brands displaceable)</t>
        </is>
      </c>
      <c r="AF5" s="115" t="inlineStr">
        <is>
          <t>7/10
70 (mix B2B + consumer)</t>
        </is>
      </c>
      <c r="AG5" s="555" t="inlineStr">
        <is>
          <t>KEY LINKEDIN URLS (UPDATED v15.34):
• Jay Caiafa (CEO Aug 2025): linkedin.com/in/jay-caiafa-65580a1/
  USAFA Captain + Duke Law JD + Duke Fuqua MBA ⭐⭐⭐ TRIPLE
• Josh Greear (CFO Sept 2025): linkedin.com/in/joshgreear/
  U Richmond BA + Vanderbilt MA ⭐⭐
• Steve Clemente (Pres &amp; COO Trades Dec 2025): linkedin.com/in/steve-clemente-trade-brands/
  UCF + Webster Master's ⭐⭐
• Ryan Bowes (Chief Growth Officer Feb 2026): linkedin.com/in/ryan-bowes/
  Clemson BS+MS Real Estate ⭐
• Tij Bedi (CTO since Aug 2024): linkedin.com/in/tijbedi/ ← PRIMARY tech entry
• Stewart Vernon (EVP Emerging Brands): linkedin.com/in/stewart-vernon-asp/
  College of Charleston (Macon GA hometown, Stratford Academy) ⭐
• Tom Swift (EVP Outdoor Brands): linkedin.com/in/tom-swift-597a2018/
  Presbyterian + Mercer Law + UFlorida LLM Tax + CFP ⭐⭐
• Justin Waltz (Junkluggers Pres): linkedin.com/in/justinwaltz/
• Rob White (Monster Tree Pres): linkedin.com/in/robthewhitewa/
  Virginia Tech BS Finance + VCU MBA ⭐
• Farah Bhayani (CLO): SMU BBA + JD ⭐</t>
        </is>
      </c>
      <c r="AH5" s="518" t="inlineStr">
        <is>
          <t>★ FSM / TECH / DIGITAL TRANSFORMATION QUOTES ★
Tij Bedi (CTO) — Franchising.com BYLINED ARTICLE 2025:
"Historically, franchise platforms have grappled with SILOED SYSTEMS across the network and even within each brand. Today, many home service brands are BREAKING DOWN THESE BARRIERS by integrating data from various systems into centralized DATA LAKES. These data-driven decisions enable franchisees to identify trends before they become issues and OPTIMIZE OPERATIONS, improving resource allocation, marketing effectiveness, and customer satisfaction."
→ DIRECT MATCH for ServiceBridge value prop. He literally wrote the pitch. Reference this article in the LinkedIn DM to him.
"As we look to the future, technology will play an increasingly central role in the home service industry."
Bedi (Gartner Peer Community):
"Better understanding of vision, growth strategy at every level in organization and collaborative decisioning allows empowered and high performing teams contributing to growth and efficiency."</t>
        </is>
      </c>
      <c r="AI5" s="518" t="inlineStr">
        <is>
          <t>Authority Brands Annual Convention
🔍 Date/location TBD - research needed
Almost certain to exist at $1-2B revenue scale
FLDC Atlanta (Oct 6-8, 2026)
Caiafa likely C-suite attendee
IFA Annual (Feb 2027)
👉 See Event Intelligence tab for full schedule + opportunity analysis</t>
        </is>
      </c>
      <c r="AJ5" s="518" t="inlineStr">
        <is>
          <t>ENTRY: Tij Bedi (CTO) tech champion — direct LinkedIn approach appropriate. He just joined to build tech for 9 brands with NO FSM mandate.
HOOK: "You just joined to build tech infrastructure for 9 brands with no FSM mandate. ServiceBridge is the fastest path to get there."
CHANNEL:
1. LinkedIn to Tij Bedi (direct)
2. Competitive Matrix as conversation starter
3. GPS → Apax Partners intro via Charles (parallel)
DISPLACEMENT NOTE: Authority has active ServiceTitan partnership (2024). 9 non-ST brands are greenfield. Caiafa + Greear (CFO Sep 2025) + Clemente are &lt;1yr in role = window open.
TIMING: Week 2-3</t>
        </is>
      </c>
      <c r="AK5" s="518" t="inlineStr">
        <is>
          <t>AUTHORITY BRAND-LEVEL ROSTER (UPDATED):
Trades Cluster (Steve Clemente):
• Benjamin Franklin Plumbing — Steve Clemente direct oversight
  Punctual Pros multi-unit franchisees: Matt + Aaron Buckwalter (Central PA)
  Jonathan Marlow (Broad Sky Partners — Punctual Pros backer)
  Kelley Pendergast (BFP franchisee)
  Scott Wood Jr. (BFP+OHHAC franchisee Omaha — veteran-supporter)
  Cory Clinton (BFP GM Indianapolis), Robert Armstrong (Ops Mgr N.Colorado)
• One Hour Heating &amp; Air Conditioning — Steve Clemente direct
• Mister Sparky Electric — Steve Clemente direct
• DRYmedic Restoration — Steve Clemente direct
  Lindsay Keyser (DRYmedic franchisee feature)
• STOP Restoration — Steve Clemente direct
Outdoor Cluster (Tom Swift):
• Mosquito Squad Plus — Jef Flournoy (Brand Pres, 20yr anniversary brand enhancement)
  Capricia T. (franchisee feature)
• Monster Tree Service — Chris Brown (VP Operations, NEW summer 2024 — former franchisee)
• DoodyCalls — Jacob + Susan D'Aniello (Co-Founders)
  Kara Kelsey (DoodyCalls franchisee feature)
• Screenmobile — Clint Rowley (Brand Pres NEW late 2024)
• Lawn Squad — Tom Swift oversight, brand pres TBD
Emerging Cluster (Stewart Vernon):
• ASP — Stewart Vernon (Founder/EVP)
• Cleaning Authority — founding brand, corporate-led
  Shannon Oakley (TCA franchisee Spokane+Bellevue)
• Color World Painting — Chris Ring (Brand Pres NEW)
  Tom Hodgson (Founder 1997)
  Gary Sheffer (top franchisee Birmingham AL)
• Junkluggers — Justin Waltz (Brand Pres Jan 2024)
  Josh Cohen (Founder, departed)
• Homewatch CareGivers — Todd Houghton (Brand Pres)
• Woofie's — Amy Addington (President &amp; Co-Founder)
  Marcie Campagnola (Woofie's franchisee feature)
Authority Corporate:
• Jay Caiafa (CEO Aug 2025)
• Josh Greear (CFO Sept 2025)
• Steve Clemente (Pres COO Trades Aug 2025)
• Tij Bedi (CTO)
• Jordan Wilson (CDO since Jan 2025)
• Ryan Bowes (CGTO Feb 2026)
• Leanne Stapf (EVP)
• Stewart Vernon (EVP Emerging)
• Tom Swift (EVP Outdoor)
• Adam Terranova (Sr Director Marketing)
• Farah ___ (General Counsel May 2025)
PE: Apax Partners — Ashish Karandikar (Partner / Board)
Former CEOs: Rob Weddle, Craig Donaldson
PR: 360PR+ (Vince Powers EVP) + Fish Consulting (Sarah Guffey, Joshua Morris, Brendan Maguire, Nikki Rode)
Crisis comms: Kekst CNC (Todd Fogarty)
Legal: Foley Lardner (Christina Kennedy)
M&amp;A advisor: Boxwood Partners (Brian Alas MD, Patrick Galleher Partner)</t>
        </is>
      </c>
      <c r="AL5" s="555" t="inlineStr">
        <is>
          <t>🥇 PRIMARY: Jay Caiafa (CEO Aug 2025, USAFA Captain + Duke Law JD + Duke Fuqua MBA, 9mo in role, IHG bio "drove innovation through data and AI" across 4,600 hotels). Atlanta. Wife Meredith, 3 sons.
Josh Greear (CFO Sept 2025, U Richmond + Vanderbilt, ex-Primrose CFO).
🎯 STRONG: Ryan Bowes (CGTO Feb 2026, Clemson BS+MS, oversees BuyMax GPO platform + franchise dev).
Steve Clemente (Pres/COO Trade Brands Dec 2025, ex-Primrose President — oversees Benjamin Franklin, One Hour, Mister Sparky, DRYmedic).
⚠️ ServiceTitan partnership = displacement story, not greenfield.
👉 See Signal Intel: Authority Brands section</t>
        </is>
      </c>
      <c r="AM5" s="555" t="inlineStr">
        <is>
          <t>🎓 AUTHORITY BRANDS EDUCATION CLUSTER (DEEP):
EXECUTIVES:
• Jay Caiafa (CEO Aug 2025): USAFA Captain + Duke Law JD + Duke Fuqua MBA ⭐⭐⭐ TRIPLE
• Josh Greear (CFO Sept 2025): U Richmond BA + Vanderbilt MA. 4 kids, Atlanta. Ex-Cracker Barrel + Home Depot.
• Steve Clemente (Pres/COO Trade Brands Dec 2025): UCF BS Liberal Studies + Webster University Master's. 30+ yrs Dick's, Target, Nebraska Book, Primrose Schools President.
• Ryan Bowes (CGTO Feb 2026): Clemson BS+MS Real Estate Dev/Finance. Ex-IHG, Marriott, Starwood, FirstKey Homes CIO.
• Farah Bhayani (CLO): SMU BBA Real Estate Finance + JD
• Stewart Vernon (EVP Emerging Brands, ASP Founder): College of Charleston (corp comms). Macon GA, Stratford Academy. Wife Shannon.
• Tom Swift (EVP overseeing Mosquito Squad+Monster Tree+DoodyCalls+Screenmobile, since June 2023): Presbyterian College BA + Mercer Law JD 2001-2003 + UFlorida LLM (Master Tax Law) + CFP. Macon/Bibb County GA.
BRAND PRESIDENTS:
• Justin Waltz (Junkluggers Pres): Towson University. Started 1-800-GOT-JUNK truck driver 2005.
• Rob White (Monster Tree Service Brand Pres Nov 2023): Virginia Tech BS Business Finance + VCU MBA. Ex-Rainbow Restoration Pres.
• Todd Houghton (Homewatch CareGivers Pres): Illinois State BS Econ/Business
🎯 DUKE + MACON GA CLUSTER: Caiafa = dual Duke alum. Vernon + Swift both Macon GA roots
👉 See Signal Intel tab Master Education Table for sortable view</t>
        </is>
      </c>
    </row>
    <row r="6" ht="700" customHeight="1" s="435">
      <c r="A6" s="101" t="n">
        <v>3</v>
      </c>
      <c r="B6" s="102" t="inlineStr">
        <is>
          <t>EMPOWER BRANDS</t>
        </is>
      </c>
      <c r="C6" s="103" t="inlineStr">
        <is>
          <t>MidOcean Partners</t>
        </is>
      </c>
      <c r="D6" s="1" t="inlineStr">
        <is>
          <t>P1 #3 · GREENFIELD-LED</t>
        </is>
      </c>
      <c r="E6" s="104" t="n">
        <v>10</v>
      </c>
      <c r="F6" s="104" t="n">
        <v>5150</v>
      </c>
      <c r="G6" s="105" t="inlineStr">
        <is>
          <t>$77K</t>
        </is>
      </c>
      <c r="H6" s="106" t="inlineStr">
        <is>
          <t>Scott Zide
CEO</t>
        </is>
      </c>
      <c r="I6" s="106" t="inlineStr">
        <is>
          <t>Michael Borreca
SVP &amp; CFO</t>
        </is>
      </c>
      <c r="J6" s="620" t="inlineStr">
        <is>
          <t>Tom Welter
COO + President Residential (joined Dec 2022)
LinkedIn: linkedin.com/in/thomaslwelter/
Education: University of Nebraska-Lincoln BS Business Admin ⭐⭐
🏈 NFL alumni (Arizona Cardinals) + CoSIDA First Team Academic All-American
30 yrs ops: Avis → Yum/Taco Bell (125 corp + 325 fr) → 24 Hour Fitness → KB Home → Byrider → Lift Brands COO → Empower.</t>
        </is>
      </c>
      <c r="K6" s="106" t="inlineStr">
        <is>
          <t>R. Scott Sutton
Chief Dev Officer</t>
        </is>
      </c>
      <c r="L6" s="19" t="n"/>
      <c r="M6" s="103" t="n"/>
      <c r="N6" s="103" t="inlineStr">
        <is>
          <t>JAN-PRO brand wedge + CEO outreach</t>
        </is>
      </c>
      <c r="O6" s="103" t="inlineStr">
        <is>
          <t>Week 1</t>
        </is>
      </c>
      <c r="P6" s="76" t="inlineStr">
        <is>
          <t>GPS: MidOcean → Charles Layne for PE intro before approaching Scott Zide</t>
        </is>
      </c>
      <c r="Q6" s="107" t="inlineStr">
        <is>
          <t>Gary Bauer (JAN-PRO Brand President) is brand-level wedge. EBITDA before exit window.</t>
        </is>
      </c>
      <c r="R6" s="108" t="inlineStr">
        <is>
          <t>Ignite · Feb 10–12 (just held — next ~Feb 2027, Orlando)</t>
        </is>
      </c>
      <c r="S6" s="120" t="inlineStr">
        <is>
          <t>✅ Yes — 85 vendors attended</t>
        </is>
      </c>
      <c r="T6" s="117" t="inlineStr">
        <is>
          <t>Preferred broker via MidOcean PE (likely) — validate FDD Item 8/11</t>
        </is>
      </c>
      <c r="U6" s="117" t="inlineStr">
        <is>
          <t>🟡 Medium — CFO Michael Borreca owns this. MidOcean institutional.</t>
        </is>
      </c>
      <c r="V6" s="118" t="inlineStr">
        <is>
          <t>SOURCE: FDD Exchange 2025 / franchiseba.com / assettfranchise.com
JAN-PRO ITEM 8 — Technology: Proprietary software mandated. Technology fee: up to $60/month per franchisee.
JAN-PRO ITEM 19: 11,265 unit franchises. Regional developer investment $130K-$421.5K.
⚠️ CONFLICT FLAG: JAN-PRO has proprietary FSM with fee already built in. Confirm gap vs ServiceBridge before outreach on JAN-PRO specifically.
✅ GREENFIELD: 9 non-JAN-PRO brands (Archadeck, Bumble, Canopy, Conserva, FRSTeam, Koala, OLP, Superior Fence, Wallaby) — no FSM named in FDD. These are the entry point with Scott Zide.</t>
        </is>
      </c>
      <c r="W6" s="112" t="inlineStr">
        <is>
          <t>📊 USE INSIGHT ENGINE → ROI Calculator tab
PRE-POPULATE WITH (9 non-JAN-PRO greenfield brands):
• Technicians: ~3,500 (excl. JAN-PRO)
• Avg Jobs/Tech/Day: 3.5
• Avg Revenue/Job: $350
• Working Days: 260
⚠️ EXCLUDE JAN-PRO from model — proprietary FSM conflict.
Run separate scenario for the 9 greenfield brands only.
MidOcean exit window framing: EBITDA uplift × 8x multiple
= enterprise value story for Scott Zide + Michael Borreca.</t>
        </is>
      </c>
      <c r="X6" s="121" t="inlineStr">
        <is>
          <t>66.2
🟡 ACTIVE</t>
        </is>
      </c>
      <c r="Y6" s="624" t="inlineStr">
        <is>
          <t>WARM-PATH STATUS (05/04/2026):
Mike's active angles to existing leadership:
  • Ben Wright (Canopy Lawn Care): I will be working an angle to get connected through existing relationships
  • Hunt Davis (Canopy Lawn Care): I will be working an angle to get connected through existing relationships
⚠️ STATUS CHANGES TO VERIFY:
  • Russ Jundt (Corporate / Conserva Founder): Retired
Full alumni intel: see Alumni Crossover GPS Insight v19 + Signal Intel tab v19 update.
Becky-Mike touch plan in development for warm-anchor outreach sequencing.</t>
        </is>
      </c>
      <c r="Z6" s="115" t="inlineStr">
        <is>
          <t>18/20
90 (highest — ServiceMinder partial, most brands open)</t>
        </is>
      </c>
      <c r="AA6" s="116" t="inlineStr">
        <is>
          <t>8/15
55 (5,150 techs — mid-tier)</t>
        </is>
      </c>
      <c r="AB6" s="116" t="inlineStr">
        <is>
          <t>12/15
80 (MidOcean Year 3-4, building toward exit)</t>
        </is>
      </c>
      <c r="AC6" s="115" t="inlineStr">
        <is>
          <t>12/15
80 (Scott Zide CEO + Gary Bauer JAN-PRO brand wedge)</t>
        </is>
      </c>
      <c r="AD6" s="115" t="inlineStr">
        <is>
          <t>9/15
60 (mid-term, not immediate)</t>
        </is>
      </c>
      <c r="AE6" s="115" t="inlineStr">
        <is>
          <t>3/10
30 (ServiceMinder 2-4x partial)</t>
        </is>
      </c>
      <c r="AF6" s="115" t="inlineStr">
        <is>
          <t>4/10
40 (Commercial 70%+ — weaker consumer fit)</t>
        </is>
      </c>
      <c r="AG6" s="555" t="inlineStr">
        <is>
          <t>KEY LINKEDIN URLS (UPDATED v15.34):
• Scott Zide (CEO): linkedin.com/in/scott-zide-974b1914/
  University of Kansas BA. Ex-Mr. Goodcents franchisee at age 23.
• Tom Welter (COO + Pres Residential): linkedin.com/in/thomaslwelter/
  ⭐⭐ U Nebraska-Lincoln + NFL alumni Arizona Cardinals
• Russ Jundt (Pres National Accounts; Conserva Founder): linkedin.com/in/russjundt/
  Saint John's University (MN) BA Business Mgmt ⭐
• R. Scott Sutton (CDO Dec 2022): linkedin.com/in/rscottsuttoncfe/
  U Oklahoma BA. CFE + CMAA ⭐
• Michael Borreca (SVP &amp; CFO): linkedin.com/in/michael-borreca/
  Ex-FOCUS Brands VP CorpFinance, KPMG career origin.
• Justin Mayer (OLP Brand Pres): linkedin.com/in/justin-mayer-a620003a/
  USNA BS Econ + UVA Darden MBA + USMC ⭐⭐⭐ TRIPLE
• Heather Todd (Conserva Brand Pres): linkedin.com/in/heather-todd-cfe/
  UNLV College of Business + CFE ⭐
• Jack O'Connell (Archadeck Pres): linkedin.com/in/jack-o-connell-95928b2a/
  Penn State + ex-PGA Golf Professional Country Club of Virginia ⭐
• Cory Lyons (Koala/Wallaby): linkedin.com/in/cory-lyons-6a9ab919/
  Rochester Community Tech College (trade-school path)
• Hunt Davis (Canopy CEO): linkedin.com/in/huntdavis/
  🎯🎯🎯 NC STATE ⭐⭐⭐ Cary NC HQ
• Ben Wright (Canopy Pres): linkedin.com/in/benjamin-wright-43613729/
  🎯🎯🎯 NC STATE ⭐⭐⭐ Landscaping/Horticulture</t>
        </is>
      </c>
      <c r="AH6" s="518" t="inlineStr">
        <is>
          <t>★ FSM / TECH / DIGITAL TRANSFORMATION QUOTES ★
Scott Zide (CEO) — Franchising.com 2024 interview:
"We've started a STRATEGIC INITIATIVE TO UNITE DATA AND AI ACROSS OUR BRANDS. This integration is critical for deepening our insights and enhancing our predictive capabilities, empowering us to make informed, strategic decisions. Adopting AI is not just about keeping up with the times; it's about setting a new standard in EFFICIENCY AND INNOVATION within our industry."
"I've challenged our franchisees to EMBRACE TECHNOLOGY and create a more frictionless experience for customers."
→ Direct match. ServiceBridge IS the data-unification layer across 9 brands.
Zide (Franchising.com):
"First and foremost we live in a digital world. FRANCHISORS ARE GOING TO HAVE TO INVEST IN AND EMPLOY TECHNOLOGY so they can focus on the customer experience."
Zide (Apr 2026 leadership announcement):
"We've expanded our leadership bench across marketing, operations, TECHNOLOGY and brand leadership roles. Continued investment in franchisee support and PLATFORM INNOVATION across our portfolio."
→ Hiring tech leaders NOW. Time-sensitive entry window.
Empower deployed EOS (Entrepreneurial Operating System) for corporate + franchisees — process-driven culture.</t>
        </is>
      </c>
      <c r="AI6" s="518" t="inlineStr">
        <is>
          <t>Empower Ignite 2027
~Feb 2027, Orlando likely
1,100+ attendees, 85 vendor partners ✅
Build vendor relationship NOW for Ignite
Zide active on FLDC + IFA stages
Featured in Franchise Times 2024 cover
BizCom client = press-friendly
👉 See Event Intelligence tab for full schedule + opportunity analysis</t>
        </is>
      </c>
      <c r="AJ6" s="518" t="inlineStr">
        <is>
          <t>ENTRY: 9 greenfield brands + MidOcean exit window.
HOOK: "You have 9 brands with no FSM mandate and a PE exit window opening. That math works in both our favors."
CHANNEL:
1. LinkedIn to Scott Zide (sent Apr 8 — follow up)
2. Email with 3-Way Scenario (9 non-JAN-PRO brands)
3. Gary Bauer brand wedge on JAN-PRO separately
4. MidOcean PE intro via Charles (parallel)
WHY FIT: Zide's public AI commentary signals openness to operational tech investment. ServiceBridge is the natural fit for the operational side of his AI thesis.
TIMING: Week 2</t>
        </is>
      </c>
      <c r="AK6" s="518" t="inlineStr">
        <is>
          <t>EMPOWER BRAND-LEVEL ROSTER:
JAN-PRO: Gary Bauer (Brand Pres)
  Volker Wellman (SVP Operations, 2026 NEW)
  $705.6M sys sales 2024 (Empower's largest)
Archadeck Outdoor Living: Michael Reeder (Brand Pres)
Bumble Roofing: David Bitan (Founder &amp; Brand Pres)
  Katie Lepper (Director Franchise Dev, 2025 NEW)
Canopy Lawn Care: Ben Wright (Brand Pres NEW 2026)
Conserva Irrigation: Heather Todd (Brand Pres NEW Feb 2025)
  Russ Jundt (Founder, now Empower National Accounts)
  Stacy Parkelj (Director Franchise Operations)
FRSTeam: Jeff Waters (Brand Pres NEW 2026)
  Holly Murry (prior Brand Pres)
Koala Insulation: Cory Lyons (DUAL Brand Pres + Wallaby Windows)
  Steve Griffith (Director Franchise Dev, 2025 NEW)
Outdoor Lighting Perspectives: Justin Mayer (Brand Pres NEW Apr 2025)
  Rich Young (prior pres)
Superior Fence &amp; Rail: Joe Dominiak (Brand Leader NEW 2026)
Wallaby Windows: Cory Lyons (DUAL Brand Pres — same as Koala)
Empower Corporate:
• Scott Zide (CEO &amp; Co-Founder — Mosquito Squad founder) — linkedin.com/in/scott-zide-974b1914/
• Michael Borreca (SVP &amp; CFO)
• Thomas Welter (Group Pres Residential)
• R. Scott Sutton (CDO)
• Joel Marr (CIO Chief Incubation Officer — oversaw Bumble+Canopy+Wallaby+Koala acquisitions)
• Chris Donnelly (VP Information Technology, 2026 NEW)
• Melanie Watts (VP Brand Marketing, 2026 NEW)
• Brandon Yarnell (National Accounts Sales Manager Conserva + OLP)
PE: MidOcean Partners
Original platform: Outdoor Living Brands + Lynx Franchising rebrand 2022
Acquisition advisor: Boxwood Partners (J. Patrick Galleher MD, Dan Martinson VP)</t>
        </is>
      </c>
      <c r="AL6" s="555" t="inlineStr">
        <is>
          <t>🥇 PRIMARY: Scott Zide (CEO since 2022, U Kansas, started as Mr. Goodcents franchisee at 23, Richmond VA). Direct Nov 2025 quote: "data warehouse stores info across all brands... technology automation improves speed of response, proposal and service times." ACG Richmond keynote Nov 2024. IFPG Summit 2024 keynote.
🎯 STRONG: Justin Mayer (OLP Brand Pres April 2025, USNA BS Econ Dean's List + UVA Darden MBA Top 10, USMC veteran, ex-DuPont Global Sales Director).
Heather Todd (Conserva Irrigation Brand Pres Feb 2025, internal promotion).
👉 See Signal Intel: Empower Brands section
[v19 Alumni Intel · 05/04/2026]: 3 warm-path/status notes captured. See Col 25 for tactical detail and Signal Intel tab for full roll-up.</t>
        </is>
      </c>
      <c r="AM6" s="555" t="inlineStr">
        <is>
          <t>🎓 EMPOWER BRANDS EDUCATION CLUSTER (DEEP, V15.29 expanded):
EXECUTIVES:
• Scott Zide (CEO): University of Kansas BA. Ex-Mr. Goodcents franchisee at age 23. Richmond VA HQ.
• Tom Welter (COO + Pres Residential, since Dec 2022): University of Nebraska-Lincoln BS Business Administration ⭐⭐ CoSIDA First Team Academic All-American + NFL alumni (Arizona Cardinals)! 30 yrs ops: Avis → Yum/Taco Bell (125 corp + 325 fr) → 24 Hour Fitness → KB Home → Byrider → Lift Brands COO.
• R. Scott Sutton (CDO since Dec 2022): U Oklahoma BA. CFE + CMAA. Native Chesapeake VA. Wife Linda. Atlanta.
• Russ Jundt (Pres National Accounts &amp; Residential Home Service Brands): Saint John's University BA Business Management ⭐. Minneapolis MN. Conserva Founder.
• Heather Burns (CHRO): Pending. Target/Berkeley/BJ's prior.
• Michael Borrecca (CFO): Pending school. Ex-FOCUS Brands VP CorpFinance, KPMG career origin.
BRAND PRESIDENTS:
• Justin Mayer (OLP): USNA BS Econ (GPA 3.69, Dean's List, Honors) + UVA Darden MBA + USMC veteran ⭐⭐⭐ TRIPLE
• Heather Todd (Conserva, promoted Feb 2025): UNLV College of Business. CFE. Richmond VA.
• Cory Lyons (Koala Insulation Aug 2023 + Wallaby Windows mid-2025): Rochester Community and Technical College. Trade-school path. Melbourne FL.
• Jack O'Connell (Archadeck Outdoor Living, Brand Pres in Training Oct 2024): Penn State University BS ⭐. Richmond VA. Ex-VP LL Flooring B2B + PGA Golf Professional!
• Michael Reeder (Archadeck legacy Brand Leader): University of Houston ⭐. 15 yrs Archadeck franchisee owner ($2MM+).
• Ben Wright (Canopy Lawn Care): 🎯🎯🎯 NC STATE University ⭐⭐⭐ Major: Landscaping/Horticulture. North Carolina-based.
• Hunt Davis (Canopy Founder/CEO): NC State University BS ⭐⭐⭐ Cary NC. Ex-investment banker.
• David Bitan (Bumble Roofing Founder/Brand Pres): Education pending. 16 yrs home services. LA. Co-founded AID Home Remodeling.
• Jeff Waters + Shelly Waters (FRSTeam): Education pending. 2024 FRSTeam Franchisee of the Year, Tulsa OK.
• Gary Bauer (JAN-PRO): Coe College. 30+ yrs ServiceMaster.
🎯🎯🎯 NC STATE WOLFPACK CLUSTER: Hunt Davis + Ben Wright BOTH NC State alums at Canopy Lawn Care, Cary NC HQ — Mike's backyard. STRONGEST WARM-INTRO PATH IN ENTIRE DATASET.
🎯 RICHMOND VA HQ + UVA DARDEN cluster (Mayer + Kappler-historical)
🎯 NEBRASKA cluster: Tom Welter + Brett Ponton (Servpro)
👉 See Signal Intel for Master Education Table sortable view</t>
        </is>
      </c>
    </row>
    <row r="7" ht="380" customHeight="1" s="435">
      <c r="A7" s="122" t="n">
        <v>4</v>
      </c>
      <c r="B7" s="123" t="inlineStr">
        <is>
          <t>RESIBRANDS</t>
        </is>
      </c>
      <c r="C7" s="124" t="inlineStr">
        <is>
          <t>Angel / Codie Sanchez</t>
        </is>
      </c>
      <c r="D7" s="39" t="inlineStr">
        <is>
          <t>P1 #4 · FAST-CYCLE</t>
        </is>
      </c>
      <c r="E7" s="56" t="n">
        <v>5</v>
      </c>
      <c r="F7" s="56" t="n">
        <v>2550</v>
      </c>
      <c r="G7" s="125" t="inlineStr">
        <is>
          <t>$38K</t>
        </is>
      </c>
      <c r="H7" s="126" t="inlineStr">
        <is>
          <t>Steven Montgomery
Founder &amp; CEO</t>
        </is>
      </c>
      <c r="I7" s="126" t="inlineStr">
        <is>
          <t>(None confirmed)
Lean team</t>
        </is>
      </c>
      <c r="J7" s="621" t="inlineStr">
        <is>
          <t>Allan Alarcon
Co-Founder &amp; Chief Growth Officer (also Brand Pres of Action Exteriors NEW 2025)
LinkedIn: linkedin.com/in/allan-alarcon-20b703229/
Education: Master's Commission Bible Institute ⭐
Round Rock TX. Co-founded ResiBrands 2022 with Steven Montgomery.
Trained by Montgomery as professional painter; long-time friend Jay Nielsen serves as Chief Development Officer.
Per Steven's LinkedIn: "About to hit 800 units. Brand 6 coming."
🆕 Codie Sanchez joined as co-owner 2024 (popular finance/business personality, Contrarian Thinking founder).</t>
        </is>
      </c>
      <c r="K7" s="126" t="inlineStr">
        <is>
          <t>Steven Montgomery
(handles directly)</t>
        </is>
      </c>
      <c r="L7" s="19" t="n"/>
      <c r="M7" s="124" t="n"/>
      <c r="N7" s="124" t="inlineStr">
        <is>
          <t>Direct LinkedIn to Steven Montgomery</t>
        </is>
      </c>
      <c r="O7" s="124" t="inlineStr">
        <is>
          <t>Week 2</t>
        </is>
      </c>
      <c r="P7" s="76" t="n"/>
      <c r="Q7" s="127" t="inlineStr">
        <is>
          <t>Founder-backed. No PE committee. One conversation closes this. $1.67/tech/day message.</t>
        </is>
      </c>
      <c r="R7" s="129" t="inlineStr">
        <is>
          <t>No confirmed annual event (emerging brand)</t>
        </is>
      </c>
      <c r="S7" s="109" t="inlineStr">
        <is>
          <t>Unknown</t>
        </is>
      </c>
      <c r="T7" s="129" t="inlineStr">
        <is>
          <t>Franchisees self-direct — lean founder operation, no group program likely</t>
        </is>
      </c>
      <c r="U7" s="108" t="inlineStr">
        <is>
          <t>🟢 Low</t>
        </is>
      </c>
      <c r="V7" s="130" t="inlineStr">
        <is>
          <t>SOURCE: Public company info / IFA 2026
ITEM 11 — Technology: ResiConnect handles inbound scheduling only. No full FSM disclosed in any publicly available FDD summary.
ITEM 19 — Unit Economics: FDD not publicly analyzed. Angel/founder-backed — lean disclosure likely.
APPROACH: Steven Montgomery directly accessible. No FDD deep-dive needed before first conversation.</t>
        </is>
      </c>
      <c r="W7" s="112" t="inlineStr">
        <is>
          <t>📊 USE INSIGHT ENGINE → ROI Calculator tab
PRE-POPULATE WITH:
• Technicians: 2,550
• Avg Jobs/Tech/Day: 5 (painting model — volume-based)
• Avg Revenue/Job: $200
• Working Days: 260
FOUNDER PITCH: $1.67/tech/day message.
Run Insight Engine conservative scenario only — 
Steven Montgomery responds to simplicity, not PE math.
Total: 2,550 techs × $1.67/day × 260 days = ~$1.1M annual value</t>
        </is>
      </c>
      <c r="X7" s="121" t="inlineStr">
        <is>
          <t>60.2
🟢 ACTIVE</t>
        </is>
      </c>
      <c r="Y7" s="625" t="inlineStr">
        <is>
          <t>WARM-PATH STATUS (05/04/2026):
Mike's active angles to existing leadership:
  • Steven Montgomery (Corporate / That 1 Painter): I have a mutual connection.  Investigating
👥 TEAM ASSIGNMENTS:
  • Carter Smith (Pink's Window Services): Garrett-  this looks like your guy.
Full alumni intel: see Alumni Crossover GPS Insight v19 + Signal Intel tab v19 update.
Becky-Mike touch plan in development for warm-anchor outreach sequencing.</t>
        </is>
      </c>
      <c r="Z7" s="119" t="inlineStr">
        <is>
          <t>17/20
85 (ResiConnect = scheduling only, paper for ops)</t>
        </is>
      </c>
      <c r="AA7" s="116" t="inlineStr">
        <is>
          <t>7/15
45 (2,550 techs — smallest)</t>
        </is>
      </c>
      <c r="AB7" s="119" t="inlineStr">
        <is>
          <t>6/15
40 (Angel/founder, no PE pressure)</t>
        </is>
      </c>
      <c r="AC7" s="115" t="inlineStr">
        <is>
          <t>14/15
90 (Kevin Luu direct, fast decision velocity)</t>
        </is>
      </c>
      <c r="AD7" s="119" t="inlineStr">
        <is>
          <t>11/15
75 (entrepreneurial — moves fast)</t>
        </is>
      </c>
      <c r="AE7" s="119" t="inlineStr">
        <is>
          <t>7/10
70 (mostly greenfield)</t>
        </is>
      </c>
      <c r="AF7" s="115" t="inlineStr">
        <is>
          <t>8/10
75 (consumer-led)</t>
        </is>
      </c>
      <c r="AG7" s="518" t="inlineStr">
        <is>
          <t>Steven Montgomery (Founder &amp; CEO)
linkedin.com/in/steven-montgomery-7a452846/
Twitter: @realsjmonty
Email: steven@resibrands.com
Phone: +1 (512) 270-0161
Allan Alarcon (Co-Founder)
Search: 'Allan Alarcon ResiBrands'
Codie Sanchez (Co-Owner since 2024)
Public figure - direct LinkedIn search</t>
        </is>
      </c>
      <c r="AH7" s="518" t="inlineStr">
        <is>
          <t>★ FSM / TECH STACK QUOTES + GAP EVIDENCE ★
ResiBrands.com (their official tech stack):
"ResiConnect powers your business with smart, scalable tech. From tools like TRAINUAL, CLICKUP, AND SLACK to our flexible national scheduling system, we streamline operations and communication at every level."
→ DIRECT EVIDENCE OF FSM GAP. ClickUp + Slack + Trainual = no proper FSM dispatch. ResiConnect is a lead/scheduling layer, NOT field service execution.
Steven Montgomery (LinkedIn):
"A Franchise System, by definition, is supposed to mean that an average employee on an average day can be successful. Handing out a printed manual and telling an owner to hustle is not a franchise system."
→ This IS the ServiceBridge value prop. He's predisposed.
"6 brands, 800 units, on the precipice of greatness."
Direct: steven@resibrands.com / +1 (512) 270-0161</t>
        </is>
      </c>
      <c r="AI7" s="518" t="inlineStr">
        <is>
          <t>No confirmed annual convention
(Steven directly accessible — no event needed)
Codie Sanchez = IFA 2026 Main Stage Speaker
Use her IFA appearance as icebreaker
Springboard franchise conferences (attended)
PCA Expo (March) — That 1 Painter vertical
👉 See Event Intelligence tab for full schedule + opportunity analysis</t>
        </is>
      </c>
      <c r="AJ7" s="518" t="inlineStr">
        <is>
          <t>ENTRY: Founder-accessible, fastest path to close.
HOOK: "$1.67 per tech per day to go fully paperless. For 2,550 techs, that's your whole operation digitized."
CHANNEL:
1. Call scheduled Apr 15 (Steven replied positive)
2. Send Insight Engine conservative scenario before call
3. Pilot proposal on first or second call
WHY FIT: Steven's public quote on franchise systems ("average employee on average day can be successful") IS the ServiceBridge value prop. He's predisposed.
TIMING: 🔥 THIS WEEK</t>
        </is>
      </c>
      <c r="AK7" s="555" t="inlineStr">
        <is>
          <t>RESIBRANDS BRAND-LEVEL ROSTER (UPDATED v15.34):
That 1 Painter: Steven Montgomery (Founder &amp; CEO)
LinkedIn: linkedin.com/in/steven-montgomery-7a452846/
Calvary Chapel U DROPOUT to launch That 1 Painter ⭐ Operator path.
GarageUp: Steven Montgomery oversight. Co-founder Allan Alarcon.
Pink's Window Services: Carter Smith + Tom Downer (Co-founders)
LinkedIn (Carter): linkedin.com/in/cartersmith7/
Carter: Baylor University ⭐ — led Baylor's largest mens service org (170 members), $20K/yr Mission Waco fundraise.
Tom Downer (Co-founder): pending direct verification.
Action Exteriors: The Smola Family (Founders) + Allan Alarcon (Brand Pres NEW 2025)
LinkedIn (Allan): linkedin.com/in/allan-alarcon-20b703229/
Joined ResiBrands 2025. Formerly Action Roofing (3-generation family-owned).
NATIONAL PARTNERSHIP w/ Cornerstone Building Brands (#1 US window manufacturer) — launching window/siding program.
Monty's Handyman: Steven Montgomery (Founder &amp; Franchisor)
4th brand. "Every home deserves care."
Brand 6 (TBD): Coming soon per Steven's LinkedIn.
CO-OWNER: Codie Sanchez (joined 2024)
Famous for Contrarian Thinking + Main Street Money biz portfolio.
Adds significant amplification + capital partner network.</t>
        </is>
      </c>
      <c r="AL7" s="555" t="inlineStr">
        <is>
          <t>🥇 PRIMARY: Steven Montgomery (Founder/CEO, Calvary Chapel BA 2017, Austin TX, son of professional painter). Built $12 → $100M company. 4.5 yrs in franchising, 6 brands, ~800 territories. Coaches son's soccer team (Eagles, age 8).
Codie Sanchez (Co-Owner 2024, Contrarian Thinking founder, big public megaphone).
Carter Smith (Pink's Co-Founder, Baylor — 4th Baylor connection).
⚠️ COMPETITIVE FLAG: ResiConnect (appointment center) + ResiCreative (creative agency) = internal tools, NOT full FSM (no dispatch/routing/telematics).
👉 See Signal Intel: ResiBrands section
[v19 Alumni Intel · 05/04/2026]: 3 warm-path/status notes captured. See Col 25 for tactical detail and Signal Intel tab for full roll-up.</t>
        </is>
      </c>
      <c r="AM7" s="555" t="inlineStr">
        <is>
          <t>🎓 RESIBRANDS EDUCATION CLUSTER:
• Steven Montgomery (Founder/CEO): Calvary Chapel University BA (DROPPED OUT to launch That 1 Painter full-time). Junk mail delivery in Australia pre-painting. Father was professional painter. Moved to Austin 2009. Wife Emily.
• Allan Alarcon (Co-Founder, Garage Up): Pending verification
• Carter Smith (Pink's Co-Founder): Baylor (led Baylor's largest mens service org, 170 members; $20K annual fundraise to Mission Waco)
• Brandon Downer (Pink's Co-Founder): Finance background, pending verification
• Codie Sanchez (Co-Owner since 2024): Wharton/finance pedigree. Notable thought leader (Contrarian Thinking).
• 6 brands: That 1 Painter, GarageUp, Pink's Window Services, Varsity Exteriors, Action Exteriors, Monty's Handyman
🎯 BAYLOR CLUSTER: Carter Smith joins Baylor cluster
👉 See Signal Intel tab Master Education Table for sortable view</t>
        </is>
      </c>
    </row>
    <row r="8" ht="600" customHeight="1" s="435">
      <c r="A8" s="122" t="n">
        <v>5</v>
      </c>
      <c r="B8" s="123" t="inlineStr">
        <is>
          <t>FIVE STAR FRANCHISING</t>
        </is>
      </c>
      <c r="C8" s="124" t="inlineStr">
        <is>
          <t>Princeton Equity Group</t>
        </is>
      </c>
      <c r="D8" s="39" t="inlineStr">
        <is>
          <t>P1 #5 · WEDGE-BRAND</t>
        </is>
      </c>
      <c r="E8" s="56" t="n">
        <v>5</v>
      </c>
      <c r="F8" s="56" t="n">
        <v>2350</v>
      </c>
      <c r="G8" s="125" t="inlineStr">
        <is>
          <t>$35K</t>
        </is>
      </c>
      <c r="H8" s="126" t="inlineStr">
        <is>
          <t>Scott Abbott
CEO &amp; Co-Founder</t>
        </is>
      </c>
      <c r="I8" s="126" t="inlineStr">
        <is>
          <t>Steve White
CFO</t>
        </is>
      </c>
      <c r="J8" s="126" t="inlineStr">
        <is>
          <t>Chad Jones
COO &amp; Co-Founder</t>
        </is>
      </c>
      <c r="K8" s="126" t="inlineStr">
        <is>
          <t>Michael Moorhouse
Brand President, Mosquito Shield</t>
        </is>
      </c>
      <c r="L8" s="19" t="n"/>
      <c r="M8" s="124" t="n"/>
      <c r="N8" s="124" t="inlineStr">
        <is>
          <t>Mosquito Shield brand wedge + CEO outreach</t>
        </is>
      </c>
      <c r="O8" s="124" t="inlineStr">
        <is>
          <t>Week 2</t>
        </is>
      </c>
      <c r="P8" s="76" t="n"/>
      <c r="Q8" s="127" t="inlineStr">
        <is>
          <t>Princeton Equity Year 5. EBITDA story lands immediately. Greenfield — no incumbent.</t>
        </is>
      </c>
      <c r="R8" s="108" t="inlineStr">
        <is>
          <t>Home Services Summit (HSS) · Jan 14–17 (just held — next ~Jan 2027, Las Vegas)</t>
        </is>
      </c>
      <c r="S8" s="120" t="inlineStr">
        <is>
          <t>✅ Yes — vendor partners attend</t>
        </is>
      </c>
      <c r="T8" s="117" t="inlineStr">
        <is>
          <t>Preferred broker likely via Princeton Equity — validate FDD</t>
        </is>
      </c>
      <c r="U8" s="117" t="inlineStr">
        <is>
          <t>🟡 Medium — Year 5 PE. CFO Steve White owns.</t>
        </is>
      </c>
      <c r="V8" s="118" t="inlineStr">
        <is>
          <t>SOURCE: Public FDD summaries — full FDD not yet pulled
ITEM 11 — Technology: ProNexis named as 24/7 sales support system. No FSM platform mandated in publicly available analysis.
ACTION: Pull California or Wisconsin FDD for Items 8 and 11 before scripting.
KNOWN: Princeton Equity Year 5. CFO Steve White owns the numbers conversation.</t>
        </is>
      </c>
      <c r="W8" s="112" t="inlineStr">
        <is>
          <t>📊 USE INSIGHT ENGINE → ROI Calculator tab
PRE-POPULATE WITH:
• Technicians: 2,350
• Avg Jobs/Tech/Day: 4
• Avg Revenue/Job: $300
• Working Days: 260
Princeton Equity Year 5 → exit window framing.
Run 3-Way Scenario with 8x multiple for Steve White (CFO).
Mosquito Shield wedge: seasonal route model, strong FSM fit.
FieldRoutes conflict risk — verify Mosquito Shield before model.</t>
        </is>
      </c>
      <c r="X8" s="113" t="inlineStr">
        <is>
          <t>59.2
🟡 ACTIVE</t>
        </is>
      </c>
      <c r="Y8" s="132" t="inlineStr">
        <is>
          <t>No current GPS Insight relationship
Princeton Equity → Charles Layne path for PE intro
Scott Abbott direct on LinkedIn — Five Star CEO accessible</t>
        </is>
      </c>
      <c r="Z8" s="115" t="inlineStr">
        <is>
          <t>14/20
70 (mixed — FieldRoutes possible at Mosquito Shield)</t>
        </is>
      </c>
      <c r="AA8" s="116" t="inlineStr">
        <is>
          <t>7/15
45 (2,350 techs)</t>
        </is>
      </c>
      <c r="AB8" s="115" t="inlineStr">
        <is>
          <t>9/15
60 (Princeton Equity)</t>
        </is>
      </c>
      <c r="AC8" s="116" t="inlineStr">
        <is>
          <t>11/15
75 (Mosquito Shield wedge to Five Star CEO Scott Abbott)</t>
        </is>
      </c>
      <c r="AD8" s="115" t="inlineStr">
        <is>
          <t>9/15
60 (mid-term)</t>
        </is>
      </c>
      <c r="AE8" s="115" t="inlineStr">
        <is>
          <t>5/10
50 (FieldRoutes possible)</t>
        </is>
      </c>
      <c r="AF8" s="115" t="inlineStr">
        <is>
          <t>7/10
70 (consumer-led)</t>
        </is>
      </c>
      <c r="AG8" s="555" t="inlineStr">
        <is>
          <t>KEY LINKEDIN URLS (UPDATED v15.34):
• Scott Abbott (CEO &amp; Co-Founder): linkedin.com/in/dscottabbott
  BYU Marriott MBA 2005-07 + U Manitoba BS (Canadian) ⭐⭐
  Spanish Fork UT. Princeton Equity Group portfolio (year 5).
• Chad Jones (COO &amp; Co-Founder): linkedin.com/in/chadrobertjones/
  MacEwan U Edmonton Bachelor Commerce 1997-98 ⭐ Canadian
  Met Abbott age 11 LDS chapel Winnipeg.
• Steve White (CFO): linkedin.com/in/steve-white-fivestar/
  Pending school verification.
• Dean Hartley (Five Star Bath Solutions + Five Star Flooring Brand Pres):
  LinkedIn: linkedin.com/in/dean-hartley-5ab12711/
  University of Michigan BA + Oxford studies ⭐⭐ Multi-unit operator. Rochester MI. Scaled FSBS to 400 locations.
• Michael Moorhouse (Mosquito Shield Brand Pres):
  LinkedIn: linkedin.com/in/michael-moorhouse-mosquito-shield/
  Holyoke Community College ⭐ North Attleboro MA.
• Stefan Figley (1-800-Packouts Brand Pres):
  LinkedIn: linkedin.com/in/stefanfigley/
  Texas Christian University ⭐ CFE. Dallas-Fort Worth.
• Ben Kramer (Bio-One Brand Pres NEW Aug 2025):
  LinkedIn: linkedin.com/in/benkramer-fivestar/
  Case Western Reserve ⭐ Greenwood Village CO.
  Previously FRSTeam Pres at Empower (competitor poach).
• Wanda Hoegren CFE (Gotcha Covered Brand Pres NEW July 2025):
  LinkedIn: linkedin.com/in/wanda-hoegren/
  CFE. Restaurant industry origin. School pending.
• William Thomas (Chief of Staff): close partner to Abbott.</t>
        </is>
      </c>
      <c r="AH8" s="518" t="inlineStr">
        <is>
          <t>★ FSM / TECH / INSURANCE QUOTES — TECH-FLUENT CEO ★
CRITICAL CONTEXT: Scott Abbott CO-FOUNDED ProNexis (2012), a lead management technology platform. He sells tech to 60+ home service brands. He's not a tech buyer — he's a tech seller. Treat as PEER, not prospect.
Five Star About page:
"ProNexis was introduced to help home service brands grow quickly through ON-DEMAND TECHNOLOGY, proven growth solutions, and execution excellence."
Scott Abbott (Fordify Live podcast):
"From the franchisee-first approach to the INTEGRATION OF TECHNOLOGY in streamlining operations and enhancing customer service..."
ProNexis on Mosquito Shield + 60+ brands = tech-friendly.
Verified LinkedIn: linkedin.com/in/dscottabbott</t>
        </is>
      </c>
      <c r="AI8" s="518" t="inlineStr">
        <is>
          <t>Home Services Summit (HSS) 2027
~Jan 2027, Las Vegas likely
~1,000 attendees, vendor partners attend ✅
Just missed Jan 2026 — target as exhibitor
Pest control vertical events for Mosquito Shield
FLDC Atlanta (Oct 2026) — Abbott likely attends
👉 See Event Intelligence tab for full schedule + opportunity analysis</t>
        </is>
      </c>
      <c r="AJ8" s="518" t="inlineStr">
        <is>
          <t>ENTRY: Princeton Equity Year 5 + Mosquito Shield brand wedge.
HOOK: "Princeton Equity is in Year 5. Before exit, your EBITDA story needs to include operational leverage. ServiceBridge is that leverage."
CHANNEL:
1. LinkedIn to Scott Abbott
2. Brand wedge via Michael Moorhouse (Mosquito Shield)
3. CFO Steve White on numbers
4. Verify FieldRoutes on Mosquito Shield first
TIMING: Week 2</t>
        </is>
      </c>
      <c r="AK8" s="518" t="inlineStr">
        <is>
          <t>FIVE STAR BRAND-LEVEL ROSTER:
Bio-One: Ben Kramer (Brand Pres)
  (Note: Danessa Itaya was prior Bio-One pres — left for Maid Brigade Nov 2025)
Card My Yard: Josh Arnold (Co-Founder &amp; Brand Pres) + Amy Arnold (Co-Founder &amp; CBO, Josh's wife)
  Jessica Stanley + James Stanley (Co-Founder couple)
  559 franchisees in 46 states + Canada at acquisition
  Founded 2014 Austin TX, joined Five Star April 2024
Five Star Bath Solutions + Five Star Flooring: Dean Hartley (DUAL Brand Pres)
Gotcha Covered: Wanda Hoegren (Brand Pres)
Mosquito Shield: Michael Moorhouse (Brand Pres)
1-800-Packouts: Stefan Figley (Brand Pres)
  Tim Williamson CPC (NEW VP Operations)
Five Star Corporate:
• Scott Abbott (CEO &amp; Co-Founder, also CO-FOUNDED ProNexis tech) — linkedin.com/in/dscottabbott
• Chad Jones (COO &amp; Co-Founder)
• Steve White (CFO)
• J. Andrew Mengason (CRO)
• Matt Morrison (CLO)
• Shane MacKay (CTO — drives unified tech across brands)
• Ben Fox (CGO — leads ProNexis + Customer Experience)
• Colt Florence (CDO)
• Lucas Hatten (VP Franchise Dev Marketing)
• Missy Wright (VP Franchise Dev)
• Jacob Hanika (VP Franchise Dev)
PE: Princeton Equity Group (Year 5 hold, 2021 invest)</t>
        </is>
      </c>
      <c r="AL8" s="555" t="inlineStr">
        <is>
          <t>🥇 PRIMARY: Scott Abbott (CEO/Co-Founder, Springville UT). Princeton Equity partnered 2021 (5 yrs in). Active speaker at IFA, IFPG, ACG. Just acquired Five Star Flooring April 2026 ($75B industry).
Chad Jones (Co-Founder/COO, painting roots).
🎯 STRONG: Dean Hartley (Five Star Bath Solutions Brand Pres, multi-unit operator origin, HSS 2026 "Brand President of Year," approaching 400 locations).
⚠️ COMPETITIVE FLAG: ProNexis (24/7 sales support tool) built in-house — NOT FSM. Gap: dispatch, routing, telematics.
HSS at Caesars Palace Vegas (Jan 14-17 2026, ~1,000 attendees) = key event.
👉 See Signal Intel: Five Star section</t>
        </is>
      </c>
      <c r="AM8" s="555" t="inlineStr">
        <is>
          <t>🎓 FIVE STAR EDUCATION CLUSTER (DEEP):
• Scott Abbott (CEO/Co-Founder): BYU Marriott School MBA 2005-2007 (Marketing/Entrepreneurship) + University of Manitoba BS Mgmt ⭐⭐ Canadian + BYU. Spanish Fork UT.
• Chad Jones (COO/Co-Founder): MacEwan University Bachelor of Commerce 1997-1998 ⭐ Canadian/Edmonton Alberta. Best friend of Abbott since age 11 (LDS chapel Winnipeg). Was running basement renovation company at 2003 wedding when Five Star Painting concept born.
• Steve White (CFO): Pending verification
• Andrew Mengason (Chief Growth Officer): Pending verification
• Matt (Legal counsel): Pending verification
BRAND PRESIDENTS:
• Dean Hartley (Five Star Bath): Multi-unit operator origin, no degree confirmed. HSS 2026 Brand Pres of Year.
• Michael Moorhouse (Mosquito Shield): Pending verification
• Wanda Hoegren (Gotcha Covered): Pending verification
• Stefan Figley (1-800-Packouts): Pending verification
• Ben Kramer (Bio-One): Pending verification
🎯 BYU + EDMONTON-WINNIPEG-CANADIAN cluster (2 Canadian leaders + Manitoba/MacEwan tie)
👉 See Signal Intel tab Master Education Table for sortable view</t>
        </is>
      </c>
    </row>
    <row r="9" ht="700" customHeight="1" s="435">
      <c r="A9" s="122" t="n">
        <v>6</v>
      </c>
      <c r="B9" s="123" t="inlineStr">
        <is>
          <t>PREMIUM SERVICE BRANDS</t>
        </is>
      </c>
      <c r="C9" s="124" t="inlineStr">
        <is>
          <t>Susquehanna Private Capital</t>
        </is>
      </c>
      <c r="D9" s="39" t="inlineStr">
        <is>
          <t>P1 #6 · GREENFIELD-OPEN</t>
        </is>
      </c>
      <c r="E9" s="56" t="n">
        <v>8</v>
      </c>
      <c r="F9" s="56" t="n">
        <v>4950</v>
      </c>
      <c r="G9" s="125" t="inlineStr">
        <is>
          <t>$74K</t>
        </is>
      </c>
      <c r="H9" s="126" t="inlineStr">
        <is>
          <t>Paul Flick
Founder &amp; CEO</t>
        </is>
      </c>
      <c r="I9" s="621" t="inlineStr">
        <is>
          <t>(VP Finance — name TBD)
Per PSB org structure, finance leadership operates under VP Finance role
LinkedIn: pending direct verification (search 'PSB Premium Service Brands VP Finance')
PSB lean executive team — finance reports through CEO Paul Flick + COO Roxanne Conrad.
Garrett Else (GPS Insight CFO) is the analog target from our side.</t>
        </is>
      </c>
      <c r="J9" s="126" t="inlineStr">
        <is>
          <t>Roxanne Conrad
COO</t>
        </is>
      </c>
      <c r="K9" s="126" t="inlineStr">
        <is>
          <t>Gabe Colon
EVP Performance</t>
        </is>
      </c>
      <c r="L9" s="19" t="n"/>
      <c r="M9" s="124" t="n"/>
      <c r="N9" s="124" t="inlineStr">
        <is>
          <t>RooterMan brand president outreach</t>
        </is>
      </c>
      <c r="O9" s="124" t="inlineStr">
        <is>
          <t>Week 2</t>
        </is>
      </c>
      <c r="P9" s="76" t="n"/>
      <c r="Q9" s="127" t="inlineStr">
        <is>
          <t>RooterMan brand president (name TBD) is 300-loc plumbing wedge into PSB portfolio.</t>
        </is>
      </c>
      <c r="R9" s="117" t="inlineStr">
        <is>
          <t>Annual Convention — research needed</t>
        </is>
      </c>
      <c r="S9" s="109" t="inlineStr">
        <is>
          <t>Unknown</t>
        </is>
      </c>
      <c r="T9" s="117" t="inlineStr">
        <is>
          <t>Validate via FDD Item 8/11 — Susquehanna PE backed</t>
        </is>
      </c>
      <c r="U9" s="117" t="inlineStr">
        <is>
          <t>🟡 Medium — validate before outreach</t>
        </is>
      </c>
      <c r="V9" s="118" t="inlineStr">
        <is>
          <t>SOURCE: State registries — FDD not yet pulled
ACTION: Pull Wisconsin or California FDD for Items 8, 11, 19 before outreach.
KNOWN: RooterMan = 300 plumbing locations. PSB backed by Susquehanna Private Capital.</t>
        </is>
      </c>
      <c r="W9" s="112" t="inlineStr">
        <is>
          <t>📊 USE INSIGHT ENGINE → ROI Calculator tab
PRE-POPULATE WITH:
• Technicians: 4,950
• Avg Jobs/Tech/Day: 4
• Avg Revenue/Job: $300 (painting/cleaning/plumbing mix)
• Working Days: 260
RooterMan wedge: 300 locations, plumbing dispatch.
Run Insight Engine at brand level first (RooterMan) → 
then scale to full PSB network for CFO conversation.</t>
        </is>
      </c>
      <c r="X9" s="121" t="inlineStr">
        <is>
          <t>59.0
🟡 ACTIVE</t>
        </is>
      </c>
      <c r="Y9" s="128" t="inlineStr">
        <is>
          <t>Andrea Rowan (GM, ServiceBridge) — day-to-day contact
Verify GPS Insight telematics customers in PSB network via Andrea
Paul Flick direct path — no PE intro needed</t>
        </is>
      </c>
      <c r="Z9" s="119" t="inlineStr">
        <is>
          <t>17/20
85 (RooterMan dominates — paper-based)</t>
        </is>
      </c>
      <c r="AA9" s="116" t="inlineStr">
        <is>
          <t>8/15
50 (4,950 techs)</t>
        </is>
      </c>
      <c r="AB9" s="116" t="inlineStr">
        <is>
          <t>6/15
40 (Susquehanna — less active)</t>
        </is>
      </c>
      <c r="AC9" s="119" t="inlineStr">
        <is>
          <t>9/15
60 (Paul Flick CEO — verify warm path)</t>
        </is>
      </c>
      <c r="AD9" s="119" t="inlineStr">
        <is>
          <t>8/15
50 (mid-term)</t>
        </is>
      </c>
      <c r="AE9" s="119" t="inlineStr">
        <is>
          <t>7/10
70 (mostly greenfield)</t>
        </is>
      </c>
      <c r="AF9" s="115" t="inlineStr">
        <is>
          <t>7/10
70 (consumer-led)</t>
        </is>
      </c>
      <c r="AG9" s="555" t="inlineStr">
        <is>
          <t>KEY LINKEDIN URLS (UPDATED v15.34):
• Paul Flick (Founder &amp; CEO): linkedin.com/in/paul-e-flick-0a15186
  University of Windsor BA Political Science 1988-1991 ⭐ Canadian
  Charlottesville VA. Daughter Anne (Trisomy 18) → Kids Lift nonprofit.
  Forbes contributor.
• Roxanne Conrad (COO): linkedin.com/in/roxanneconrad/
  Pending school verification.
• Gabe Colon (EVP Performance): linkedin.com/in/gabecolon/
  Pending school verification.
• David Raymond (PSB COO + ProLift VP Operations + Rubbish Works/ProLift dual-brand franchisee):
  LinkedIn: linkedin.com/in/davidraymond3/
  Saint Leo University 2009-2011 + USMC Tank Crewman veteran ⭐
• Justin Penard (Grout Medic VP Franchise Dev):
  LinkedIn: linkedin.com/in/justinpenard/
  Texas Tech University ⭐ Dallas.
• Travis Nicolette MBA (NEW ProLift Brand Pres): MBA</t>
        </is>
      </c>
      <c r="AH9" s="518" t="inlineStr">
        <is>
          <t>★ FSM / TECH FOUNDING THESIS ★
Paul Flick (Founder &amp; CEO) — IdeaMensch interview:
"The idea came from taking a fragmented industry that is CUSTOMER SERVICE DEFICIENT, TECHNOLOGY AND SOFTWARE DEFICIENT and making it a better customer experience."
→ This IS PSB's founding thesis. ServiceBridge sits in the exact gap he founded the company to fill.
Flick (citybiz Q&amp;A 2025):
"Customers are looking for home service providers who can offer certainty and deliver on their promises. We provide that certainty through our CALL CENTER, TECHNOLOGY, and properly trained franchise partners."
Flick (Forbes):
"You can use the private equity funds to fuel growth, make TECHNOLOGY INVESTMENTS, or bolster marketing efforts."
David Raymond (COO, Scaling Secrets podcast):
"Leverage a single client acquisition across multiple brands. Bring in a customer for your painting platform, you can target that customer for garage doors, housekeeping, or another home service project."
→ Cross-brand customer thesis = exactly what ServiceBridge job-level data enables.</t>
        </is>
      </c>
      <c r="AI9" s="518" t="inlineStr">
        <is>
          <t>PSB Annual Convention
🔍 Date/location TBD - research needed
Atlanta training session referenced (recurring)
IFA Annual (Feb)
Forbes Business Council events
👉 See Event Intelligence tab for full schedule + opportunity analysis</t>
        </is>
      </c>
      <c r="AJ9" s="518" t="inlineStr">
        <is>
          <t>ENTRY: RooterMan 300-location plumbing brand wedge.
HOOK: "RooterMan is 300 locations of emergency plumbing dispatch — that's exactly what ServiceBridge was built for."
CHANNEL:
1. Find RooterMan brand president name (TBD)
2. LinkedIn to brand president
3. Escalate to Paul Flick (CEO) with full PSB ROI model
WHY FIT: David Raymond's cross-brand customer thesis = exactly the cross-brand data ServiceBridge enables. Flick's PE/tech investment quote signals openness.
TIMING: Week 2-3</t>
        </is>
      </c>
      <c r="AK9" s="518" t="inlineStr">
        <is>
          <t>PSB BRAND-LEVEL ROSTER:
RooterMan: Carter Purves (Brand Leader)
360 Painting: Joel Gotshall (VP) — original PSB brand 2006
ProLift Garage Doors: David Raymond (VP Ops + ProLift VP + COO + personal franchisee)
  Kyle Christie (VP Franchise Dev ProLift + Rubbish Works)
Maid Right: Ty Anderson (VP)
  Brad Knieriem (VP Franchise Dev Maid Right + Window Gang)
Window Gang: Tim McCullen (Founder &amp; Brand Pres — built 37 yrs, sold to PSB 2023)
  229 locations across 1,600 towns in 15 states at sale
Rubbish Works: David Raymond (personally franchisee)
  Kyle Christie (VP Franchise Dev)
The Grout Medic: Justin Penard (VP Franchise Dev NEW Oct 2024)
  JC Timmons (former CEO, transition)
House Doctors: Ann Lilly (Brand Lead)
  Jim Hunter (former CEO, acquired House Doctors 2012)
Kitchen Wise / Closet Wise: brand leadership TBD
★ STAR FRANCHISEE — Jesús Barrios (Barrios Prestige Brands Denver)
  Multi-brand operator: Grout Medic + 360 Painting + Window Gang + Kitchen Wise + Maid Right
  Grout Medic Denver = 2024 PSB Franchisee of the Year
  Family business: Harold + Tania Barrios (parents, Venezuela immigrants 1982)
  Rachelle Barrios (wife, sole female owner Kitchen Wise + 360 Painting Denver)
  linkedin.com/in/jesusbarrios/
PSB Corporate:
• Paul Flick (Founder &amp; CEO)
• Roxanne Conrad (COO — former 360 Painting franchisee)
• Gabe Colon (EVP Performance — promoted 2024)
• Bertie Allen (Marketing Director, joined 2024)
• Dave Rychley (VP Brand Performance)
• Samantha Lin (VP Marketing)
• Courtney Spain (Director Marketing/Onboarding/VP Operations)
• Tracey Felts (VP Insight Business Solutions)</t>
        </is>
      </c>
      <c r="AL9" s="555" t="inlineStr">
        <is>
          <t>🥇 PRIMARY: Roxanne Conrad (COO 2024, FORMER 360 PAINTING FRANCHISEE = practitioner background, Top 50 Women COOs 2025). Direct line to Paul Flick. Quote: "Everything we did in 2025 was about developing durable businesses for our franchisees."
Paul Flick (Founder/CEO, Charlottesville VA).
Gabe Colon (EVP Performance, promoted 2024, revamped franchisee training).
⚠️ COMPETITIVE FLAG: Nesto = PSB's internal multi-brand operating platform (brand stacking). May overlap with FSM. Approach: position as complement OR target individual brand-level FSM gaps.
👉 See Signal Intel: PSB section</t>
        </is>
      </c>
      <c r="AM9" s="555" t="inlineStr">
        <is>
          <t>🎓 PSB EDUCATION CLUSTER:
• Paul Flick (Founder/CEO): University of Windsor BA Political Science 1988-1991 ⭐ Canadian. Coca-Cola Bottling Sales/Logistics post-grad. Charlottesville VA. Founded Kids Lift nonprofit (daughter Anne with Trisomy 18).
• Roxanne Conrad (COO): Former 360 Painting franchisee = practitioner background, no degree confirmed
BRAND PRESIDENTS:
• Joel Gotshall (360 Painting): Pending verification
• Carter Purves (RooterMan): Pending verification
• David Raymond (ProLift Garage Doors / Rubbish Works): Pending verification
• Ty Anderson (Maid Right): Pending verification
NOTE: PSB leadership leans operator-experience over credentialed
👉 See Signal Intel tab Master Education Table for sortable view</t>
        </is>
      </c>
    </row>
    <row r="10" ht="750" customHeight="1" s="435">
      <c r="A10" s="122" t="n">
        <v>7</v>
      </c>
      <c r="B10" s="123" t="inlineStr">
        <is>
          <t>HOMEFRONT BRANDS</t>
        </is>
      </c>
      <c r="C10" s="124" t="inlineStr">
        <is>
          <t>Dudan Group (Family Office)</t>
        </is>
      </c>
      <c r="D10" s="39" t="inlineStr">
        <is>
          <t>P1 #7 · MONITOR-MODE</t>
        </is>
      </c>
      <c r="E10" s="56" t="n">
        <v>5</v>
      </c>
      <c r="F10" s="56" t="n">
        <v>2550</v>
      </c>
      <c r="G10" s="125" t="inlineStr">
        <is>
          <t>$38K</t>
        </is>
      </c>
      <c r="H10" s="126" t="inlineStr">
        <is>
          <t>Jeff Dudan
Chairman &amp; CEO</t>
        </is>
      </c>
      <c r="I10" s="126" t="inlineStr">
        <is>
          <t>Mike Dudan
CFO</t>
        </is>
      </c>
      <c r="J10" s="126" t="inlineStr">
        <is>
          <t>Michael O'Driscoll
COO &amp; President of Franchising</t>
        </is>
      </c>
      <c r="K10" s="126" t="inlineStr">
        <is>
          <t>Zack Dudan
Chief Growth Officer</t>
        </is>
      </c>
      <c r="L10" s="19" t="n"/>
      <c r="M10" s="124" t="n"/>
      <c r="N10" s="124" t="inlineStr">
        <is>
          <t>CEO direct outreach + Window Hero brand wedge</t>
        </is>
      </c>
      <c r="O10" s="124" t="inlineStr">
        <is>
          <t>Week 2</t>
        </is>
      </c>
      <c r="P10" s="76" t="n"/>
      <c r="Q10" s="127" t="inlineStr">
        <is>
          <t>Jeff Dudan is a podcaster + Forbes contributor — accessible. Tyler Kirk (Window Hero) is wedge.</t>
        </is>
      </c>
      <c r="R10" s="110" t="inlineStr">
        <is>
          <t>Homecoming (4th annual) · ~Nov 2026, Orlando — STILL TIME TO GET IN</t>
        </is>
      </c>
      <c r="S10" s="120" t="inlineStr">
        <is>
          <t>✅ Yes — vendor partners attend</t>
        </is>
      </c>
      <c r="T10" s="110" t="inlineStr">
        <is>
          <t>Likely individual franchisee insurance — young company, no group program confirmed</t>
        </is>
      </c>
      <c r="U10" s="108" t="inlineStr">
        <is>
          <t>🟢 Low — Jeff Dudan family office, not institutional PE</t>
        </is>
      </c>
      <c r="V10" s="118" t="inlineStr">
        <is>
          <t>SOURCE: Public company info / franchisewire.com
ITEM 11 — Technology: No FSM platform disclosed in any public FDD analysis. Homecoming 3 (Nov 2025) featured digital marketing speaker — no FSM announced.
NOTE: Franchisee satisfaction issues flagged Dec 2025 (Unhappy Franchisee post). Verify system health before vendor commitment.
APPROACH: Jeff Dudan directly via podcast/Forbes channel first.</t>
        </is>
      </c>
      <c r="W10" s="112" t="inlineStr">
        <is>
          <t>📊 USE INSIGHT ENGINE → ROI Calculator tab
PRE-POPULATE WITH:
• Technicians: 2,550
• Avg Jobs/Tech/Day: 3
• Avg Revenue/Job: $400 (fence/exterior)
• Working Days: 260
Jeff Dudan is founder-operated — run conservative scenario only.
Focus on per-franchisee story, not PE exit math.
⚠️ Note franchisee satisfaction issues — position ServiceBridge
as proof point for system health, not just efficiency.</t>
        </is>
      </c>
      <c r="X10" s="121" t="inlineStr">
        <is>
          <t>44.0
⚪ MONITOR</t>
        </is>
      </c>
      <c r="Y10" s="625" t="inlineStr">
        <is>
          <t>WARM-PATH STATUS (05/04/2026):
Mike's active angles to existing leadership:
  • Jeff Dudan (Corporate): I will try and work an App State angle to introduce myself.
  • Tim McCullen (Window Gang (HomeFront-side)): checking but I believe I have a connection with Tim.
Full alumni intel: see Alumni Crossover GPS Insight v19 + Signal Intel tab v19 update.
Becky-Mike touch plan in development for warm-anchor outreach sequencing.</t>
        </is>
      </c>
      <c r="Z10" s="115" t="inlineStr">
        <is>
          <t>16/20
80 (newer brands — paper-based)</t>
        </is>
      </c>
      <c r="AA10" s="116" t="inlineStr">
        <is>
          <t>5/15
35 (2,550 techs — smaller)</t>
        </is>
      </c>
      <c r="AB10" s="119" t="inlineStr">
        <is>
          <t>3/15
20 (Family office, no exit pressure)</t>
        </is>
      </c>
      <c r="AC10" s="116" t="inlineStr">
        <is>
          <t>8/15
50 (Tyler Kirk Window Hero, Jeff/Zack Dudan corp)</t>
        </is>
      </c>
      <c r="AD10" s="119" t="inlineStr">
        <is>
          <t>5/15
30 (Q3/Q4 2026 reassessment)</t>
        </is>
      </c>
      <c r="AE10" s="119" t="inlineStr">
        <is>
          <t>6/10
60 (mostly greenfield)</t>
        </is>
      </c>
      <c r="AF10" s="115" t="inlineStr">
        <is>
          <t>7/10
70 (consumer)</t>
        </is>
      </c>
      <c r="AG10" s="555" t="inlineStr">
        <is>
          <t>KEY LINKEDIN URLS (UPDATED v15.34):
• Jeff Dudan (Chairman &amp; CEO): linkedin.com/in/jeffdudan/
  🎯 Appalachian State + Yosef Club athletics ⭐ NC SCHOOL
  Forbes contributor + Podcast host.
• Mike Dudan (CFO): linkedin.com/in/mike-dudan/
  🎯 App State 1992-96 + ex-CFO Carolina Panthers 2003-19 ⭐⭐ NC + NFL
• Zack Dudan (Chief Growth Officer): linkedin.com/in/zackdudan/
  🎯 Elon University Love School BS Finance ⭐ NC SCHOOL
• Michael O'Driscoll (COO &amp; Pres of Franchising): linkedin.com/in/michaelodriscollfranchising/
  Pending school verification.
• Tyler Kirk (Window Hero Founder/CEO): linkedin.com/in/tylerkirk-windowhero/
  🎯 UNC Charlotte ⭐⭐⭐ NC SCHOOL — Mike's home market
  Hearing impaired (lost all hearing early 20s). College tennis player.
• Tim McCullen (Window Gang Founder/Brand Pres): linkedin.com/in/tim-mccullen/
  Operator path 37+ yrs. Taylorsville NC ⭐ NC connection.
• Todd Bingham (Top Rail Fence Brand Pres): linkedin.com/in/todd-bingham-7a8b2210/
  School pending verification.
• Michael Wagner (Roof Scientist Brand Pres): linkedin.com/in/mike-wagner-rs/
  School pending verification.</t>
        </is>
      </c>
      <c r="AH10" s="518" t="inlineStr">
        <is>
          <t>★ FSM / TECH / AI QUOTES ★
Jeff Dudan (LinkedIn 2026):
"Honored to be speaking at the upcoming International Franchise Association Annual Convention! I'll be presenting 'AI &amp; HUMAN CO-WORKING: Real-Time...'"
→ He's literally giving the IFA keynote on AI + human ops. ServiceBridge is the operational substrate for that thesis.
Muraena profile on Dudan:
"As the CEO of HomeFront Brands, he focuses on providing INNOVATIVE TECHNOLOGY AND SUPPORT for franchisee success."
Zack Dudan (CGO, FranchiseWire):
"Everything from support to TECHNOLOGY to learning and development is geared to franchisee success."
Jeff Dudan (LinkedIn 2025):
"Most leaders treat reputation as branding. But REPUTATION IS OPERATIONAL. It's built through consistency — not campaigns."
→ Best icebreaker quote in the entire CRM. Direct match for ServiceBridge consistency-at-scale story.</t>
        </is>
      </c>
      <c r="AI10" s="518" t="inlineStr">
        <is>
          <t>Homecoming 4 ~Nov 2026
Orlando likely
Hundreds of owners + vendor partners ✅
Jeff Dudan hosts personally
🟢 STILL TIME — contact NOW for vendor slot
IFA Convention (Feb 2026 — attended)
FranChoice Conference (recent)
On The HomeFront Podcast — Mike could guest?
👉 See Event Intelligence tab for full schedule + opportunity analysis</t>
        </is>
      </c>
      <c r="AJ10" s="518" t="inlineStr">
        <is>
          <t>ENTRY: Content-first / Jeff Dudan podcast angle + Homecoming 4 vendor path.
HOOK: "I've been following your Forbes work on franchise community-building. What you're describing operationally is exactly what ServiceBridge enables."
CHANNEL:
1. LinkedIn to Jeff Dudan — content angle first
2. Reference his "reputation is operational" post
3. Reference Homecoming 4 vendor opportunity
4. Window Hero brand wedge via Tyler Kirk
POSTURE: MONITOR-MODE per matrix v2. Q3/Q4 2026 reassessment. Build relationship, don't push close.
TIMING: Week 2</t>
        </is>
      </c>
      <c r="AK10" s="518" t="inlineStr">
        <is>
          <t>HOMEFRONT BRAND-LEVEL ROSTER:
Window Hero: Tyler Kirk (Founder &amp; CEO)
  David Blue (Co-Founder &amp; DUAL Brand Pres — also Yard Patrol Pros)
  Brent Chapman (IFA Franchisee of Year 2024 - Window Hero Triad)
  Chad Taylor + Lilly Aranda (Rookies of Year Frisco TX)
Yard Patrol Pros (formerly Mozzie Dome):
  David Blue (Co-Founder &amp; Brand Pres — Univ of Wisconsin entomology grad)
Top Rail Fence: Todd Bingham (Brand Pres)
  Bob Stewart (Top Producer Year Richmond)
  Sean Raftery (Rookie Year Denver)
  Jennie Davidson (Salesperson Year Nashville)
  Adam Hatley (Team Member Year)
Temporary Wall Systems: Patrick Kiessling (Brand Pres)
  Ryan Lemire + Juli Lemire (Co-Founders)
  Jon Williamson (Franchisee Year North Georgia)
  Ryan Bufalini (Franchisee Year Detroit)
  Brendan Mahoney (Rookie Puget Sound)
  Tom Welsh (Team Member Year)
The Designery: Casey Ridley (Co-Founder &amp; President)
  Rebecca Merola (Top Producer Quakertown PA)
  Steven Moore (Rookie Greensboro NC)
BiltRite Home Inspections: Bill Kilgannon (Brand Pres since 2018)
  Michael Munn (Founder 2006)
  Emily Munn (Business Coach Operations Manager — Michael's daughter)
Roof Scientist: Michael Wagner (Brand Pres NEW Nov 2024)
HomeFront Corporate:
• Jeff Dudan (Chairman &amp; CEO) — linkedin.com/in/jeffdudan/
• Mike Dudan (CFO)
• Zack Dudan (CGO)
• Michael O'Driscoll (COO + Pres of Franchising Sept 2023)
• Carrie Beeman (CMO)
• John Haraldson (CLO)
• Tom Ryan Jr. (CDO July 2025 NEW)
• Julie Moretz (Team Member Year corporate)
PR: Ripley PR — Heather Ripley (865-977-1973)</t>
        </is>
      </c>
      <c r="AL10" s="555" t="inlineStr">
        <is>
          <t>🥇 PRIMARY: Jeff Dudan (CEO/Chairman, Schaumburg HS, founded AdvantaClean 1994 → 240 locations sold to Home Franchise Concepts). Author "Discernment" book. Forbes contributor. Undercover Boss S8 (2017). CSP-certified. YPO Southern Sands chapter, IFA Franchisor Forum.
Family-led: Zack Dudan (CGO, Jeff's son, info@homefrontbrands.com / 704-918-8578) + Mike Dudan (CFO).
Annual "Homecoming" conference. C.A.R.E.S. culture (Community/Accountability/Respect/Excellence/Service).
👉 See Signal Intel: HomeFront section
[v19 Alumni Intel · 05/04/2026]: 4 warm-path/status notes captured. See Col 25 for tactical detail and Signal Intel tab for full roll-up.</t>
        </is>
      </c>
      <c r="AM10" s="555" t="inlineStr">
        <is>
          <t>🎓 HOMEFRONT BRANDS EDUCATION CLUSTER:
🎯🎯🎯 MAJOR NC SCHOOL CLUSTER (huge for Mike — Apex NC, NC State fan):
• Jeff Dudan (CEO): Appalachian State University ⭐ NC SCHOOL — active in App State's Yosef Club (athletics fundraising board)
• Mike Dudan (CFO): Appalachian State 1992-1996 + Schaumburg HS 1989 ⭐ NC SCHOOL
  - CFO Carolina Panthers 2003-2019! Then Deloitte Audit Mgr 2002-03, Arthur Andersen 1996-2002
• Zack Dudan (CGO, Jeff's son): Elon University Martha and Spencer Love School of Business ⭐ NC SCHOOL
  - BS Finance + Econ minor + Varsity Football. Hobbies: fishing, football, German Shorthair Pointer named Bear
🎯 PLUS Window Hero (HomeFront brand) founder Tyler Kirk: UNC Charlotte ⭐ 5th NC school connection. Born with hearing impairment, lost all hearing in early 20s. College tennis player. Huntersville NC = SAME town as Dudan Group HQ.
BRAND PRESIDENTS:
• Tyler Kirk (Window Hero Founder, Largest Franchisee): UNC Charlotte ⭐
• Keven Elwood (Window Hero Brand Pres post-acquisition): Pending verification
• Todd Bingham (Top Rail Fence): Pending verification
• Patrick Kiessling (Temporary Wall Systems): Pending verification
• Casey Ridley (The Designery): Pending verification
• Michael Wagner (Roof Scientist): Pending verification
⭐⭐⭐ ENTIRE HOMEFRONT LEADERSHIP IS NC-CONNECTED — major Carolinas warm-intro angle for Mike
👉 See Signal Intel tab Master Education Table for sortable view</t>
        </is>
      </c>
    </row>
    <row r="11" ht="22" customHeight="1" s="435">
      <c r="A11" s="133" t="n"/>
      <c r="B11" s="483" t="inlineStr">
        <is>
          <t>═══ P2 FRANCHISORS · EXISTING FOOTPRINT ═══</t>
        </is>
      </c>
      <c r="C11" s="451" t="n"/>
      <c r="D11" s="451" t="n"/>
      <c r="E11" s="451" t="n"/>
      <c r="F11" s="451" t="n"/>
      <c r="G11" s="451" t="n"/>
      <c r="H11" s="451" t="n"/>
      <c r="I11" s="451" t="n"/>
      <c r="J11" s="451" t="n"/>
      <c r="K11" s="451" t="n"/>
      <c r="L11" s="451" t="n"/>
      <c r="M11" s="451" t="n"/>
      <c r="N11" s="451" t="n"/>
      <c r="O11" s="451" t="n"/>
      <c r="P11" s="451" t="n"/>
      <c r="Q11" s="451" t="n"/>
      <c r="R11" s="451" t="n"/>
      <c r="S11" s="451" t="n"/>
      <c r="T11" s="451" t="n"/>
      <c r="U11" s="451" t="n"/>
      <c r="V11" s="451" t="n"/>
      <c r="W11" s="451" t="n"/>
      <c r="X11" s="451" t="n"/>
      <c r="Y11" s="451" t="n"/>
      <c r="Z11" s="451" t="n"/>
      <c r="AA11" s="451" t="n"/>
      <c r="AB11" s="451" t="n"/>
      <c r="AC11" s="451" t="n"/>
      <c r="AD11" s="451" t="n"/>
      <c r="AE11" s="451" t="n"/>
      <c r="AF11" s="452" t="n"/>
    </row>
    <row r="12" ht="580" customHeight="1" s="435">
      <c r="A12" s="101" t="inlineStr">
        <is>
          <t>P2-1</t>
        </is>
      </c>
      <c r="B12" s="102" t="inlineStr">
        <is>
          <t>BELFOR</t>
        </is>
      </c>
      <c r="C12" s="103" t="inlineStr">
        <is>
          <t>American Securities</t>
        </is>
      </c>
      <c r="D12" s="1" t="inlineStr">
        <is>
          <t>P2 · DE-FACTO ANCHOR</t>
        </is>
      </c>
      <c r="E12" s="104" t="n">
        <v>14</v>
      </c>
      <c r="F12" s="104" t="n">
        <v>9250</v>
      </c>
      <c r="G12" s="105" t="inlineStr">
        <is>
          <t>$260K+</t>
        </is>
      </c>
      <c r="H12" s="106" t="inlineStr">
        <is>
          <t>Rusty Amarante, CR
President, BFG</t>
        </is>
      </c>
      <c r="I12" s="106" t="inlineStr">
        <is>
          <t>Sheldon Yellen
CEO, Holdings</t>
        </is>
      </c>
      <c r="J12" s="106" t="inlineStr">
        <is>
          <t>Dan Tarantin
COO, BFG</t>
        </is>
      </c>
      <c r="K12" s="106" t="inlineStr">
        <is>
          <t>Doug Smith
SVP Franchise Dev
Beth Toenies
VP Franchise Dev</t>
        </is>
      </c>
      <c r="L12" s="19" t="n"/>
      <c r="M12" s="103" t="n"/>
      <c r="N12" s="103" t="inlineStr">
        <is>
          <t>Deep profile + contact map</t>
        </is>
      </c>
      <c r="O12" s="103" t="inlineStr">
        <is>
          <t>Week 1</t>
        </is>
      </c>
      <c r="P12" s="76" t="inlineStr">
        <is>
          <t>GPS: American Securities → Charles Layne → PE warm intro before outreach to Sheldon Yellen</t>
        </is>
      </c>
      <c r="Q12" s="107" t="inlineStr">
        <is>
          <t>═ P2 · DE-FACTO ANCHOR ═ Year 6 hold — American Securities exit window 2026-2027. HOODZ + DUCTZ at 94% SB de facto. Convert de facto into mandate before exit. | Zero FSM mandate. 30 new territories Dec 2024. Start here.</t>
        </is>
      </c>
      <c r="R12" s="108" t="inlineStr">
        <is>
          <t>BELFOR Annual Conference · March (just held — next ~Mar 2027)</t>
        </is>
      </c>
      <c r="S12" s="109" t="inlineStr">
        <is>
          <t>Unknown</t>
        </is>
      </c>
      <c r="T12" s="110" t="inlineStr">
        <is>
          <t>Insurance carriers ARE the revenue channel for restoration brands. Claims Partnership Program launched Oct 2024. Carriers: Travelers, Allstate, State Farm, USAA.</t>
        </is>
      </c>
      <c r="U12" s="110" t="inlineStr">
        <is>
          <t>🔴 HIGH — Carriers dispatch restoration brands. ServiceBridge job documentation = defensible claims record. Reframe pitch to Rusty as carrier relationship tool, not FSM.</t>
        </is>
      </c>
      <c r="V12" s="111" t="inlineStr">
        <is>
          <t>SOURCE: Publicly available FDD analysis (2024 FDD) + franchiseba.com
ITEM 11 — Technology: 'Proprietary business management and job tracking tools' named. No third-party FSM disclosed. GREENFIELD confirmed.
ITEM 19 — Unit Economics (2023 data, 94 franchisees, 157 locations):
• Avg gross sales per location: ~$480K
• Top 25% avg: $1,654,321
• Est. EBITDA at 15% margin: ~$72K/location
• Avg invoice per job: ~$4,500
• Insurance carriers refer ~40% of jobs
ROYALTY: 10% on first $499K → 7% above $2M + 2% Marketing Fund
SERVICEBRIDGE EBITDA CASE: 5-pt margin improvement = $24K addl EBITDA/location. Across 178 locations = $4.3M system-wide EBITDA creation.</t>
        </is>
      </c>
      <c r="W12" s="112" t="inlineStr">
        <is>
          <t>📊 USE INSIGHT ENGINE → ROI Calculator tab
PRE-POPULATE WITH:
• Technicians: 9,250 (network) | Per brand: see below
• Avg Jobs/Tech/Day: 3 (restoration = emergency dispatch, lower frequency)
• Avg Revenue/Job: $4,500 (FDD-sourced: avg 1-800 WD invoice 2024)
• Working Days: 260
• Avg Tech Wage: $28/hr
FSM UPLIFT (conservative for greenfield):
• Additional Jobs: 0.3/tech/day
• Admin Saved: 1.0 hr/tech/day
• Invoice Cycle Reduction: 5 days (critical for insurance payment lag)
TELEMATICS (GPS Insight warm flag):
• Fuel Savings: $1,800/vehicle/yr
• Insurance Reduction: 8%
3-WAY SCENARIO OUTPUTS (base case, 1-800 WD 178 locations):
• FDD Item 19: $480K avg/location
• 5-pt margin improvement = $24K EBITDA/location
• 178 locations × $24K = $4.3M system EBITDA creation
• At 8x exit multiple = $34.4M enterprise value uplift
⚠️ USE THE TOP-25% NUMBER ($1.65M) for STRETCH scenario with Rusty</t>
        </is>
      </c>
      <c r="X12" s="113" t="inlineStr">
        <is>
          <t>P2 SET
🟡 EXISTING FOOTPRINT</t>
        </is>
      </c>
      <c r="Y12" s="624" t="inlineStr">
        <is>
          <t>WARM-PATH STATUS (05/04/2026):
Mike's active angles to existing leadership:
  • Aaron Rich (BluSky): Lives in Cary, NC .  I will try and work an angle to get to Arron.
⚠️ STATUS CHANGES TO VERIFY:
  • Doug Smith (Corporate): Looks like Doug may have just left belfor
Full alumni intel: see Alumni Crossover GPS Insight v19 + Signal Intel tab v19 update.
Becky-Mike touch plan in development for warm-anchor outreach sequencing.</t>
        </is>
      </c>
      <c r="Z12" s="115" t="inlineStr">
        <is>
          <t>25/25
Greenfield — no FSM mandate found</t>
        </is>
      </c>
      <c r="AA12" s="116" t="inlineStr">
        <is>
          <t>15/20
9,250 techs — large network</t>
        </is>
      </c>
      <c r="AB12" s="116" t="inlineStr">
        <is>
          <t>15/20
American Securities — active PE, EBITDA expansion thesis</t>
        </is>
      </c>
      <c r="AC12" s="115" t="inlineStr">
        <is>
          <t>15/15
Full FDD analysis loaded — unit economics confirmed</t>
        </is>
      </c>
      <c r="AD12" s="115" t="inlineStr">
        <is>
          <t>10/10
Charles Layne direct — highest access level</t>
        </is>
      </c>
      <c r="AE12" s="115" t="inlineStr">
        <is>
          <t>5/5
GPS Insight relationship confirmed</t>
        </is>
      </c>
      <c r="AF12" s="115" t="inlineStr">
        <is>
          <t>5/5
14 brands — multiple pilot targets within network</t>
        </is>
      </c>
      <c r="AG12" s="555" t="inlineStr">
        <is>
          <t>KEY LINKEDIN URLS (UPDATED v15.34):
• Sheldon Yellen (CEO BELFOR Holdings $3B): linkedin.com/in/sheldon-yellen-belfor/
  ⭐⭐ Southfield-Lathrup HS DROPOUT (got HS diploma at age 53!)
  Honorary Doctorate Oakland U 2019. Detroit welfare childhood.
  Started age 11 dishwashing Leo's Coney Island. Joined BELFOR 1984 as 19th employee.
• Rusty Amarante CR (Pres BELFOR FG + Director Ops Property Restoration):
  LinkedIn: linkedin.com/in/rusty-amarante/
  40+ yrs. Past-Pres RIA. Vice Chair IICRC S500.
• Doug Smith (SVP Franchise Dev): linkedin.com/in/dougsmith-belfor/
  University of Louisville Business ⭐ ← MIKE'S WARM PATH
• Beth Toenies (VP Franchise Dev + COO 1-800-BOARDUP): linkedin.com/in/bethtoenies/
  Asbury University '06 (Journalism, varsity tennis, honors) ⭐
  Navy military spouse. Jacksonville FL.
• Tim Fagan (President 1-800 WD + Blue Kangaroo): linkedin.com/in/timfagan-belfor/
  UMich BS Education + EMU post-grad ⭐ RIA CR + WLS
• Matt O'Rourke (Z Plumberz Founder/Brand Pres): linkedin.com/in/matthew-o-rourke-a835459/
  Oakland University ⭐ Ann Arbor MI. Licensed Master Plumber.
• Aaron Rich (BluSky CIO 2022): Purdue Computer Science ⭐ FSM-relevant
• Mark Minasian (BluSky CEO Sept 2025): U San Diego BA Intl Relations ⭐
• Chris Jones (CFO Holdings): 24+ yrs.</t>
        </is>
      </c>
      <c r="AH12" s="518" t="inlineStr">
        <is>
          <t>★ INSURANCE / RELATIONSHIP-FIRST QUOTES ★
BELFOR's culture is RELATIONSHIP-DRIVEN, not tech-forward. Public commentary from Yellen / Smith / Toenies / Amarante is people-first, not FSM-tech focused.
Sheldon Yellen (Wikipedia / sheldonyellen.com):
Famous for writing 9,200+ HANDWRITTEN BIRTHDAY CARDS annually to every employee. "They may feel old-fashioned in a world of dashboards and data, but for CEOs they remain one of the most powerful tools for building trust."
→ NOT a tech-quote-driven CEO. AVOID dashboards-and-data framing in any outreach.
BELFOR Property Restoration is THE INSURANCE-CARRIER RELATIONSHIP for restoration. Doug Smith (SVP Franchise Dev) and 1-800-WD operate inside that carrier ecosystem.
STRATEGIC ANGLE: Pitch is NOT FSM dashboards. Pitch is:
"Every 1-800 WD job that isn't documented at the point of service costs you a carrier referral. Yellen wrote 9,200 birthday cards. Every job needs that same handwritten-care feel — but documented for insurance audit."
American Securities (PE owner) responds to EBITDA + carrier-relationship stories, not tech features.</t>
        </is>
      </c>
      <c r="AI12" s="518" t="inlineStr">
        <is>
          <t>BELFOR Annual Conference
March 2026 (just held — missed)
~March 2027 next
Per-brand awards (HOODZ Triangle, Z Plumberz)
Use HOODZ + Z Plumberz award winners as warm icebreakers
Doug Smith / Rusty Amarante attend
👉 See Event Intelligence tab for full schedule + opportunity analysis</t>
        </is>
      </c>
      <c r="AJ12" s="518" t="inlineStr">
        <is>
          <t>ENTRY: Insurance carrier relationship reframe — NOT FSM pitch.
HOOK: "Every 1-800 WD job that isn't documented costs you a carrier referral. We fix that at the point of service."
CHANNEL:
1. Charles → American Securities PE intro
2. LinkedIn to Rusty (parallel)
3. HOODZ Triangle local angle
4. Email with Insight Engine 3-Way Scenario
WHY FIT: HOODZ + DUCTZ already at 94% SB organically. Convert de facto to mandate. American Securities loves EBITDA improvement stories.
TIMING: Week 1-2</t>
        </is>
      </c>
      <c r="AK12" s="518" t="inlineStr">
        <is>
          <t>BELFOR BRAND-LEVEL EXPANSION:
1-800 Water Damage: Tim Fagan (Pres)
1-800-BOARDUP: Beth Toenies (COO + VP Franchise Dev BFG)
Blue Kangaroo Packoutz: Tim Fagan (Pres — dual role)
Chem-Dry: D'Wayne Tanner (SVP Franchise Dev), Dre Carter (Dir Franchise Dev)
DUCTZ: Jessica Wicks (Brand Pres — first female brand pres at BFG)
HOODZ: Mike Mendez
N-Hance: Bob DeGraff (Brand Pres Feb 2024, former NY franchisee)
The Patch Boys: Leo Goldberger (Founder &amp; CEO, founded 2006)
redbox+ Dumpsters: Sean Foley (Brand Pres)
  Patrick Kiessling (departed to TWS)
  Josh Skolnick (exited as CEO at acquisition)
  Larry Oglesby (Athens GA franchisee, podcast voice)
Z PLUMBERZ: Matt O'Rourke (Founder + Brand Pres)
Safer Home Services: Jim Swayne (Founder)
  Chuck Steinmetz (Chairman, PMP Hall of Famer 2017)
BELFOR Corporate:
• Sheldon Yellen (CEO BELFOR Holdings, $2B conglomerate)
• Rusty Amarante CR (Pres BFG + DOO BPR — 40+ yrs restoration, past Pres RIA, IICRC S500 Vice Chair)
• Doug Smith (SVP Franchise Dev — MIKE'S WARM PATH)
• Beth Toenies (VP Franchise Dev)
• Dan Tarantin DEPARTED
PE: American Securities
PR: Ripley PR — Heather Ripley (865-977-1973)</t>
        </is>
      </c>
      <c r="AL12" s="555" t="inlineStr">
        <is>
          <t>🥇🥇 #1 P1 TARGET (American Securities PE, 9,250 techs, ZERO FSM).
Doug Smith (CEO, replaced Dan Tarantin who departed).
🎯 STRONG SIGNAL: Beth Toenies (VP FD, Asbury University '06, promoted Sept 9 2025, oversees 1-800-BOARDUP, 1-800 WATER DAMAGE, Blue Kangaroo Packoutz, DUCTZ). Direct Nov 2025 quote: "BELFOR's emphasis on using SMARTER TOOLS, BUILDING SHARED SERVICES PROGRAMS." 2025 Stevie Bronze. 2025 Woman of Inspiration. Navy military spouse, Jacksonville FL.
🔗 WARM-INTRO PATH: Josh Skolnick (HorsePower Chair) sold Redbox+ to BELFOR June 2021 = direct relationship to BELFOR leadership.
👉 See Signal Intel: BELFOR section
[v19 Alumni Intel · 05/04/2026]: 6 warm-path/status notes captured. See Col 25 for tactical detail and Signal Intel tab for full roll-up.</t>
        </is>
      </c>
      <c r="AM12" s="555" t="inlineStr">
        <is>
          <t>🎓 BELFOR EDUCATION CLUSTER (CORRECTED hierarchy + DEEP):
TOP LEADERSHIP:
• Sheldon Yellen (CEO BELFOR Holdings $3B since 2001): Southfield-Lathrup HS DROPOUT (got diploma at age 53!). Detroit MI welfare childhood. Started age 11 as dishwasher Leo's Coney Island Diner. Joined BELFOR (then Inrecon) 1984 as 19th employee. Hurricane Hugo 1989 = $17M sales. Honorary Doctorate Oakland University 2019. CSR/ESG Pro of Year 2022. Featured Undercover Boss 2011. ⭐⭐ Compelling self-made operator story.
• Chris Jones (CFO BELFOR Holdings): 24+ yrs Financial Mgmt, M&amp;A, Tax. Pending school.
• Rusty Amarante (President BELFOR FG + Director of Operations BELFOR Property Restoration): 40+ yrs restoration. Past-Pres RIA. Vice Chair IICRC S500 Standard.
FRANCHISE GROUP LEADERSHIP:
• Doug Smith (SVP Franchise Development): U. of Louisville Business connection (FranchiseU! Episode 82 podcast 2024). 14 yrs SVP Sales Affinion Group → SVP Harris Research → BELFOR FG.
• Beth Toenies (VP FD): Asbury University '06 (Journalism, varsity tennis, honors). Navy military spouse, Jacksonville FL. ⭐ STRONG SIGNAL.
• Kevin "Tim" Fagan (Pres 1-800 Water Damage + Blue Kangaroo Packoutz since 2018-19): University of Michigan BS Education + Eastern Michigan University post-grad in educational leadership ⭐. RIA Certified Restorer (CR) + Water Loss Specialist (WLS). Principal instructor for BELFOR continuing education courses for insurance agents.
• Jessica Wicks (DUCTZ): Pending verification
• Matt O'Rourke (Z Plumberz): Pending verification
👉 See Signal Intel tab Master Education Table for sortable view</t>
        </is>
      </c>
    </row>
    <row r="13" ht="480" customHeight="1" s="435">
      <c r="A13" s="101" t="inlineStr">
        <is>
          <t>P2-2</t>
        </is>
      </c>
      <c r="B13" s="102" t="inlineStr">
        <is>
          <t>EVIVE BRANDS</t>
        </is>
      </c>
      <c r="C13" s="103" t="inlineStr">
        <is>
          <t>The Riverside Company ($13B+ AUM)</t>
        </is>
      </c>
      <c r="D13" s="1" t="inlineStr">
        <is>
          <t>P2 · GROWING ANCHOR</t>
        </is>
      </c>
      <c r="E13" s="104" t="n">
        <v>7</v>
      </c>
      <c r="F13" s="104" t="n">
        <v>1100</v>
      </c>
      <c r="G13" s="105" t="inlineStr">
        <is>
          <t>$30K-50K (estimated)</t>
        </is>
      </c>
      <c r="H13" s="106" t="inlineStr">
        <is>
          <t>Ryan Parsons
CEO, Evive Brands
Known-friendly to Mike — warm path</t>
        </is>
      </c>
      <c r="I13" s="620" t="inlineStr">
        <is>
          <t>(CFO TBD — Evive Brands lean exec team)
Joe Lee = Senior Partner at The Riverside Company (PE backer)
LinkedIn (Joe Lee Riverside): linkedin.com/in/joe-lee-riverside/
Riverside provides finance support. Evive adding executives — recent hire VP Marketing Chelle Watson.</t>
        </is>
      </c>
      <c r="J13" s="620" t="inlineStr">
        <is>
          <t>(COO TBD — Evive Brands lean exec team)
Per Ryan Parsons interview: "I'm making the effort to hire key executives to Evive to oversee these plans" — recent hires include first VP Marketing Chelle Watson + more in pipeline.
Brad Stevenson (Brothers that just do Gutters operations leadership, pre-Evive transition).</t>
        </is>
      </c>
      <c r="K13" s="620" t="inlineStr">
        <is>
          <t>(BD/Sales — distributed across brand level, no central CGO)
Per Evive structure: each brand has own development leader.
Chelle Watson (NEW VP Marketing): newest senior addition.</t>
        </is>
      </c>
      <c r="L13" s="19" t="inlineStr">
        <is>
          <t>P2 — RESEARCH</t>
        </is>
      </c>
      <c r="M13" s="103" t="n"/>
      <c r="N13" s="103" t="inlineStr">
        <is>
          <t>Profile + Brothers Gutters anchor leverage</t>
        </is>
      </c>
      <c r="O13" s="103" t="n"/>
      <c r="P13" s="76" t="inlineStr">
        <is>
          <t>GPS: Riverside PE → Charles Layne. Andrea direct on Brothers Gutters.</t>
        </is>
      </c>
      <c r="Q13" s="107" t="inlineStr">
        <is>
          <t>═ P2 · GROWING ANCHOR ═ Year 3 hold — Riverside-owned (formed 2023). Brothers Gutters at 43% SB under new contract. Maid Brigade (2024 acquisition) greenfield within Evive. Ryan Parsons = warmest P2 relationship. Same parent as Threshold (Riverside) — coordinate engagement.</t>
        </is>
      </c>
      <c r="R13" s="108" t="n"/>
      <c r="S13" s="109" t="n"/>
      <c r="T13" s="110" t="n"/>
      <c r="U13" s="110" t="n"/>
      <c r="V13" s="111" t="n"/>
      <c r="W13" s="112" t="n"/>
      <c r="X13" s="113" t="inlineStr">
        <is>
          <t>P2 SET
🟢 EXISTING FOOTPRINT — GROWING</t>
        </is>
      </c>
      <c r="Y13" s="114" t="n"/>
      <c r="Z13" s="115" t="n"/>
      <c r="AA13" s="116" t="n"/>
      <c r="AB13" s="116" t="n"/>
      <c r="AC13" s="115" t="n"/>
      <c r="AD13" s="115" t="n"/>
      <c r="AE13" s="115" t="n"/>
      <c r="AF13" s="115" t="n"/>
      <c r="AG13" s="555" t="inlineStr">
        <is>
          <t>KEY LINKEDIN URLS (UPDATED v15.34):
• Ryan Parsons (CEO since May 2024): linkedin.com/in/brothersgutters/
  ⭐ SUNY New Paltz BFA Graphics &amp; Fine Art 1996-2000
  Lagrangeville NY. Started in graphic design → VP startup → joined brother Ken in 2002 to launch The Brothers that just do Gutters.
  ★ KNOWN-FRIENDLY TO MIKE — warm intro path confirmed.
• Ken Parsons (Co-founder Brothers + Evive board): linkedin.com/in/kenparsons-gwtb/
  ⭐ "Self-Education University" — operator path. Lagrangeville NY.
• Chelle Watson (VP Marketing - newest hire): linkedin.com/in/chelle-watson/
  Pending school verification.
• Joe Lee (Riverside Co Senior Partner / PE backer): linkedin.com/in/joe-lee-riverside/
• Juliet Diiorio (LEFT Threshold for Senior Helpers - was helpful pre-2026 transition reference): linkedin.com/in/julietdiiorio/
PORTFOLIO BRAND LEADERS:
• Brothers That Just Do Gutters: Ryan + Ken Parsons (founders)
• Executive Home Care: Kevin (CEO featured in Evive social posts) — pending last name
• Assisted Living Locators: Angela (founder) — pending last name; "150+ franchises"
• Grasons Estate Sales: Christian Campbell (founder + EHC franchisee path)</t>
        </is>
      </c>
      <c r="AH13" s="518" t="inlineStr">
        <is>
          <t>★ TECH UNIFICATION / FSM QUOTES — STRONGEST P2 SIGNAL ★
Ryan Parsons (CEO) — Franchise Times May 2024 (his first month as CEO):
"WE'RE TRYING TO UNIFY THE TECH STACK ACROSS ALL BRANDS where it makes sense. Silly things, like one is using Google and needs to go to Google Enterprise and one's using Microsoft, so HOW DO WE GET ALL THIS TECH CONSOLIDATED?"
"DATA CONSOLIDATION is also in the works, especially to help marketing efforts as Evive continues to grow."
→ Publicly committed to tech unification across portfolio. ServiceBridge is the next layer in his stack.
Parsons (IFA Article Jan 2026):
"BY LEVERAGING TECHNOLOGY, structuring onboarding in phases, and providing ongoing coaching, we ensure that franchisees across our brands have the best possible foundation for long-term success."
"We TRACK EVERY STEP OF ONBOARDING USING MONDAY.COM, an automation tool that ensures no detail is overlooked."
→ He uses monday.com for ops tracking. Already has tech muscle memory at the platform level.
Parsons (Authority Magazine):
"If you want to be promotable, you need to be replaceable."</t>
        </is>
      </c>
      <c r="AI13" s="518" t="inlineStr">
        <is>
          <t>Evive Brands Annual Summit
🔍 Date/location TBD - research needed
Ryan Parsons hosts
Riverside Company portfolio events
Brothers Gutters National Conference
(Hilton Head, ~annual)
IFA Annual (Feb)
👉 See Event Intelligence tab for full schedule + opportunity analysis</t>
        </is>
      </c>
      <c r="AJ13" s="518" t="inlineStr">
        <is>
          <t>ENTRY: Brothers Gutters momentum + Maid Brigade as second wedge.
HOOK: "Brothers Gutters is at 43% under our new contract. Same story works for Maid Brigade — fresh into Evive, hasn't standardized FSM yet."
CHANNEL:
1. Ryan Parsons direct (warm relationship)
2. Maid Brigade brand pres referral via Parsons
3. Riverside operating partner via GPSI/Garrett
4. Brand-level rollout for 5 remaining brands
WHY FIT: Parsons quote on "being replaceable" + niche focus = aligned with platform standardization story.
TIMING: Week 1-2</t>
        </is>
      </c>
      <c r="AK13" s="555" t="inlineStr">
        <is>
          <t>EVIVE BRAND-LEVEL EXPANSION (UPDATED v15.34):
Riverside Company portfolio. ~600 locations across 4 brands.
Brothers That Just Do Gutters (FLAGSHIP):
• Ryan Parsons (Co-founder, now CEO Evive)
• Ken Parsons (Co-founder, Evive Board)
• 400+ territories nationwide.
• Founded 1999 as Waterfall Seamless Gutters → rebranded 2009.
• 2007 nearly lost everything in recession — "the riches are in the niches" lesson.
Executive Home Care:
• Kevin (CEO) — driving in-home care leadership.
• Featured in Evive media re: data-driven approaches.
Assisted Living Locators:
• Angela (founder) — Senior placement and referral.
• 150+ franchises nationwide.
• "Combining healthcare insight with compassionate service."
• Reached 150th franchise milestone (Southwest Metro location).
Grasons Co.:
• Estate sales + business liquidation.
• Recent: 50th franchise milestone.
• Christian Campbell example: started as EHC Franchisee → now owns Grasons.
Shine (5th brand — Brand Operations &amp; Events Director Michelle Fisher):
• Founded by Chris and Michelle Fisher inspired by their time in Uganda.
• 2015 launched Arrows &amp; Hope ministry (orphan education in Uganda).
• Portion of every new franchise sale funds the ministry.
🎯 CONTACT: r***@evivebrands.com via RocketReach
🎯 WARM PATH: Mike has known-friendly relationship with Ryan Parsons.</t>
        </is>
      </c>
      <c r="AL13" s="555" t="inlineStr">
        <is>
          <t>Limited deep-research signal captured this round. Riverside Company-backed ($13B+ AUM). Worth dedicated research wave for full signal map.
👉 See Signal Intel tab structure for research template</t>
        </is>
      </c>
      <c r="AM13" s="555" t="inlineStr">
        <is>
          <t>🎓 EVIVE BRANDS EDUCATION:
• Ryan Parsons (CEO): Pending verification
Limited research captured. Targeted research wave needed.
👉 See Signal Intel for company structure
👉 See Signal Intel tab Master Education Table for sortable view</t>
        </is>
      </c>
    </row>
    <row r="14" ht="700" customHeight="1" s="435">
      <c r="A14" s="101" t="inlineStr">
        <is>
          <t>P2-3</t>
        </is>
      </c>
      <c r="B14" s="102" t="inlineStr">
        <is>
          <t>THRESHOLD BRANDS</t>
        </is>
      </c>
      <c r="C14" s="103" t="inlineStr">
        <is>
          <t>Riverside Company</t>
        </is>
      </c>
      <c r="D14" s="1" t="inlineStr">
        <is>
          <t>P2 · AT-RISK ANCHOR</t>
        </is>
      </c>
      <c r="E14" s="434" t="n">
        <v>10</v>
      </c>
      <c r="F14" s="434" t="n">
        <v>6250</v>
      </c>
      <c r="G14" s="105" t="inlineStr">
        <is>
          <t>$94K</t>
        </is>
      </c>
      <c r="H14" s="620" t="inlineStr">
        <is>
          <t>Ted DeMarino
CEO since 2024 (replaced Hagan Kappler who LEFT for Daisy)
LinkedIn: linkedin.com/in/teddemarino
Pending school verification.
Riverside-backed Threshold Brands. ~10 brands, 500 owners, 900+ locations per Juliet Diiorio's farewell post.
Ted active on LinkedIn — recent posts about USA Insulation hiring + Christmas message to franchisees.</t>
        </is>
      </c>
      <c r="I14" s="106" t="inlineStr">
        <is>
          <t>Scott Fink / Brandon Brown
CFO ⚠️ VERIFY</t>
        </is>
      </c>
      <c r="J14" s="106" t="inlineStr">
        <is>
          <t>Andrea Hohermuth
COO</t>
        </is>
      </c>
      <c r="K14" s="106" t="inlineStr">
        <is>
          <t>Scott Sutton
Chief Growth Officer</t>
        </is>
      </c>
      <c r="L14" s="19" t="n"/>
      <c r="M14" s="103" t="n"/>
      <c r="N14" s="103" t="inlineStr">
        <is>
          <t>Profile + contacts map</t>
        </is>
      </c>
      <c r="O14" s="103" t="inlineStr">
        <is>
          <t>Week 1</t>
        </is>
      </c>
      <c r="P14" s="76" t="inlineStr">
        <is>
          <t>GPS: Riverside PE → Charles Layne. ⚠️ Verify Hagan Kappler still CEO (Daisy link 2025)</t>
        </is>
      </c>
      <c r="Q14" s="107" t="inlineStr">
        <is>
          <t>═ P2 · AT-RISK ANCHOR ═ Year 6+ hold — Riverside-owned. USA Insulation transitioning OFF SB (75% → 0% over next year). Ted DeMarino CEO + Billy Newby CFO new. Defensive posture: defend if reversible, reset relationship at brand-corp level. Same parent as Evive. | Promised franchisees proprietary software — undelivered. ServiceBridge closes that gap.</t>
        </is>
      </c>
      <c r="R14" s="117" t="inlineStr">
        <is>
          <t>Annual Convention · Date/location TBD — research needed</t>
        </is>
      </c>
      <c r="S14" s="109" t="inlineStr">
        <is>
          <t>Unknown</t>
        </is>
      </c>
      <c r="T14" s="117" t="inlineStr">
        <is>
          <t>Preferred broker via Riverside PE (likely) — validate FDD Item 8/11</t>
        </is>
      </c>
      <c r="U14" s="117" t="inlineStr">
        <is>
          <t>🟡 Medium — PE-backed with structured program. CFO contact.</t>
        </is>
      </c>
      <c r="V14" s="118" t="inlineStr">
        <is>
          <t>SOURCE: Public FDD summaries / state registries
ITEM 11 — Technology: Promised 'proprietary technology' to franchisees — undelivered per franchisee feedback (Glassdoor, FDD analysis).
ITEM 19 — Unit Economics: Not publicly detailed in FDD analysis. Validate via Wisconsin/California FDD registry.
KEY ANGLE: Unfulfilled tech promise = ServiceBridge delivers what Threshold told franchisees they'd get.</t>
        </is>
      </c>
      <c r="W14" s="112" t="inlineStr">
        <is>
          <t>📊 USE INSIGHT ENGINE → ROI Calculator tab
PRE-POPULATE WITH:
• Technicians: 6,250 (network total)
• Avg Jobs/Tech/Day: 4
• Avg Revenue/Job: $250 (cleaning/pest model)
• Working Days: 260
KEY ANGLE FOR THRESHOLD:
Unfulfilled tech promise = franchisees already expect this.
Position ServiceBridge as delivering what Threshold promised.
Run 3-Way Scenario showing EBITDA uplift before Riverside PE exit.</t>
        </is>
      </c>
      <c r="X14" s="113" t="inlineStr">
        <is>
          <t>P2 SET
🔴 EXISTING FOOTPRINT — AT-RISK</t>
        </is>
      </c>
      <c r="Y14" s="624" t="inlineStr">
        <is>
          <t>WARM-PATH STATUS (05/04/2026):
Mike's active angles to existing leadership:
👥 TEAM ASSIGNMENTS:
  • Bryan McMurray (Granite Garage Floors): Charles: Typical ASU grad starting at Massage Envy
Full alumni intel: see Alumni Crossover GPS Insight v19 + Signal Intel tab v19 update.
Becky-Mike touch plan in development for warm-anchor outreach sequencing.</t>
        </is>
      </c>
      <c r="Z14" s="119" t="inlineStr">
        <is>
          <t>10/25
FSM status unconfirmed — action needed</t>
        </is>
      </c>
      <c r="AA14" s="116" t="inlineStr">
        <is>
          <t>15/20
6,250 techs — large network</t>
        </is>
      </c>
      <c r="AB14" s="115" t="inlineStr">
        <is>
          <t>18/20
Riverside Company — Year 4, approaching exit window</t>
        </is>
      </c>
      <c r="AC14" s="115" t="inlineStr">
        <is>
          <t>15/15
Full FDD analysis loaded — unit economics confirmed</t>
        </is>
      </c>
      <c r="AD14" s="115" t="inlineStr">
        <is>
          <t>10/10
Charles Layne direct — highest access level</t>
        </is>
      </c>
      <c r="AE14" s="115" t="inlineStr">
        <is>
          <t>5/5
GPS Insight relationship confirmed</t>
        </is>
      </c>
      <c r="AF14" s="115" t="inlineStr">
        <is>
          <t>5/5
10 brands — multiple pilot targets within network</t>
        </is>
      </c>
      <c r="AG14" s="555" t="inlineStr">
        <is>
          <t>KEY LINKEDIN URLS (UPDATED v15.34):
• Ted DeMarino (CEO since 2024): linkedin.com/in/teddemarino
  Replaced Hagan Kappler (left for Daisy). Pending school verification.
• Hagan Kappler (FORMER CEO 2020-2024 — NOW Daisy CEO):
  LinkedIn: linkedin.com/in/hagan-kappler-7b41194/
  Williams BA + UVA Darden MBA ⭐⭐ Goldman Sachs Most Exceptional Entrepreneurs 2025.
• Andrea Hohermuth (COO): linkedin.com/in/andrea-hohermuth/
  Pending school verification.
• R. Scott Sutton (former Threshold Chief Growth Officer — LEFT 2022 for Empower CDO):
  LinkedIn: linkedin.com/in/rscottsuttoncfe/
  U Oklahoma BA. CFE + CMAA ⭐
• Ryan Carpenter (Plumbing Paramedics + Heating + Air Paramedics Founder):
  LinkedIn: linkedin.com/in/ryan-carpenter-25/
  Calgary-based founder, operator path.
• Patrick Kiessling (Temporary Wall Systems): linkedin.com/in/pkiessling/
  Operator path. Bought TWS franchise rights from founder Tom Schwager 2018.
• Casey Ridley (The Designery Co-Founder): linkedin.com/in/casey-ridley-39a27914/
• Bryan Shamhart A.C.E. (Pestmaster Brand Pres NEW Nov 2025):
  LinkedIn: linkedin.com/in/bryan-shamhart-78938b16/
  Ex-Orkin 15+ yrs. North Olmsted OH.
• Rachel Southard (Men in Kilts Brand Pres): linkedin.com/in/rachel-southard/
  Founder of 'She Dreams' women's empowerment platform.
• Bryan McMurray (Granite Garage Floors Brand Pres): linkedin.com/in/bryan-mcmurray-72a40418/
• Ann Lilly (House Doctors Brand Lead): linkedin.com/in/ann-lilly-b15810a/
• Mark Kushinsky (MaidPro Founder): linkedin.com/in/markkushinsky/
  Arizona State University ⭐
• Richard Sparacio (MaidPro Co-Founder): Suffolk University (left senior year)</t>
        </is>
      </c>
      <c r="AH14" s="518" t="inlineStr">
        <is>
          <t>★ TECH / OPS / ABSENCE-OF-LEADERSHIP SIGNALS ★
🚨 CRITICAL FINDING: Per The Org, the Threshold "Brand Leader / President - USA Insulation" position is currently VACANT and being hired for. This explains why USA Insulation transition off SB is happening — there's NO BRAND LEADER making decisions.
→ Either reach DeMarino directly OR wait for new USA Insulation president to be named, then immediately re-pitch.
Ted DeMarino (CEO since 2024) — bio:
"Key projects under Ted's guidance include the launch of new service offerings and the IMPLEMENTATION OF CUTTING-EDGE TRAINING PROGRAMS designed to empower franchise owners and their teams. By prioritizing CUSTOMER SATISFACTION AND OPERATIONAL EFFICIENCY..."
DeMarino background: Liberty Tax (5 → 2,700 offices), Rent-A-Center EVP roles. He scaled retail/finance ops, NOT franchise FSM. Will need education on field service category.
John Tubiolo (Miracle Method Brand Leader since Apr 2024) — operationally knowledgeable retained leader.
Tim Swackhammer (Mold Medics Founder, retained 2023).
Multiple 2025 leadership departures: Kappler, Scott, Pitrone, Diiorio. PLATFORM IN FULL RESET.</t>
        </is>
      </c>
      <c r="AI14" s="518" t="inlineStr">
        <is>
          <t>Threshold Annual Convention
🔍 Date/location TBD - research needed
Confirmed exists per LinkedIn references
Riverside Company portfolio events
(coordinate with Evive)
FLDC Atlanta (Oct 2026) — DeMarino likely C-suite
👉 See Event Intelligence tab for full schedule + opportunity analysis</t>
        </is>
      </c>
      <c r="AJ14" s="518" t="inlineStr">
        <is>
          <t>ENTRY: Unfulfilled tech promise to franchisees.
HOOK: "Your franchisees were promised a tech platform. We're the ones who can actually deliver it."
CHANNEL:
1. Verify USA Insulation transition driver via Andrea
2. LinkedIn to Ted DeMarino (CEO reset)
3. Riverside intro via Charles (parallel)
4. Coordinate Evive + Threshold platform conversation
DUAL POSTURE:
(1) Defend USA Insulation (75% SB, transitioning off)
(2) Reset relationship at new top for remaining 9 brands
WHY URGENT: New leadership &lt;1yr in role + multiple departures = either intervene now or lose the platform.
TIMING: Week 2</t>
        </is>
      </c>
      <c r="AK14" s="518" t="inlineStr">
        <is>
          <t>THRESHOLD BRAND-LEVEL ROSTER (UPDATED):
MaidPro: Emily Estes (Brand Pres)
USA Insulation: 🚨 BRAND PRES VACANT — actively hiring
  Pat Pitrone (former group pres, son of founder, departed)
  Michael Kegley (recent franchisee per Carpenter LinkedIn)
Granite Garage Floors: Bryan McMurray (Brand Pres)
  Alan Mishkoff + Kelly Mishkoff (Founders 2009)
  Kayla Cina (former GGF Brand Leader 2022)
Pestmaster Services: Bryan Shamhart A.C.E. (Brand Pres NEW Nov 3, 2025)
  Brett Shraiar (prior pres), Kieran Scott (former 2022)
  Melanie Perez (Marketing Manager 2026 hire)
FlyFoe → PATIO PATROL rebrand (per Kappler 2023)
Sir Grout: Jeff Gill + Tom Lindberg (Founders, 2021 sale)
Men In Kilts: Rachel Southard (Brand Pres since June 2021 — millennial woman, founded 'She Dreams')
  Nicholas Brand (Founder Vancouver Scotsman, founded 2002, also MaidPro franchisee)
  Chris Carrier + Robyn Carrier (former CEO + Calgary co-owner)
  Brad Williams (franchisee feature)
Plumbing Paramedics + Heating + Air Paramedics: Ryan Carpenter (DUAL Founder &amp; Pres)
  Founded 2011 Indianapolis, joined Threshold Nov 2021
  Brian Sauer (Riverside Partner — invested)
  Chris Jensen (Noblesville IN Mayor — local government tie)
Miracle Method: John Tubiolo (Brand Leader since Apr 2024)
Mold Medics: Tim Swackhammer (Founder, retained 2023)
Threshold Corporate:
• Ted DeMarino (CEO since 2024)
• Billy Newby (CFO)
• Cory Hughes (COO, linkedin.com/in/corymhughes/)
• R. Scott Sutton (CGO)
• Brandon Brown (Threshold corp, per LinkedIn)
Riverside (PE backer): Loren Schlachet, Joe Lee, Brian Sauer</t>
        </is>
      </c>
      <c r="AL14" s="555" t="inlineStr">
        <is>
          <t>🥇 PRIMARY: Hagan Kappler (CEO since early 2022). Previously led Merry Maids + ServiceMaster Clean (sold to Roark Capital 2020). 84 new franchise agreements year 1. Featured Franchise Times "Uses Data, Founder DNA" (Nov 2022). Boston-based.
🔗 PE NOTE: Riverside Company was previous backer of Neighborly/Dwyer Group → potential cross-PE warm-intro.
🎯 CROSS-PORTFOLIO SIGNAL: Danessa Itaya joined Maid Brigade (separate co) Nov 2025 from Bio-One (Five Star). Led "system modernization, CRM implementation, national account expansion" at Bio-One. Atlanta. 25+ yrs franchising.
👉 See Signal Intel: Threshold section
[v19 Alumni Intel · 05/04/2026]: 1 warm-path/status notes captured. See Col 25 for tactical detail and Signal Intel tab for full roll-up.</t>
        </is>
      </c>
      <c r="AM14" s="555" t="inlineStr">
        <is>
          <t>🎓 THRESHOLD BRANDS EDUCATION CLUSTER:
⚠️ CRITICAL UPDATE: Hagan Kappler LEFT Threshold to found DAISY in 2024 — she is NOT current Threshold CEO. R. Scott Sutton (CGO) ALSO LEFT in Dec 2022 to Empower Brands.
LEGACY/FORMER LEADERSHIP:
• Hagan Kappler (former CEO 2021-2023, NOW DAISY CEO): Williams College BA History (track athlete) + UVA Darden MBA 2005-2007. Career: Goldman Sachs → McKinsey → Starbucks (Blonde Roast) → Ingersoll Rand head of M&amp;A → ServiceMaster Clean/Merry Maids → Threshold → DAISY. Newport Beach CA, 4 kids. Goldman Sachs Most Exceptional Entrepreneurs 2025.
• R. Scott Sutton (former CGO 2021-2022, NOW Empower CDO): University of Oklahoma BA. CFE + CMAA.
CURRENT LEADERSHIP:
• Current Threshold CEO: ❓ CONFIRMED VACANT/UNCLEAR after Kappler departure. Possibly absorbed into Riverside Co management or has interim. Need direct PE Riverside Co outreach to confirm.
BRAND PRESIDENTS:
• Emily Estes (MaidPro Brand President): Pending verification
• Bryan Shamhart A.C.E. (Pestmaster Brand Pres Nov 2025, after Brett Shraiar): Ex-Orkin Operations Manager 15+ yrs. Then Pestmaster franchisee Cleveland OH. North Olmsted OH. A.C.E. (Associate Certified Entomologist) certification. Education pending.
• Bryan McMurray (Granite Garage Floors): Pending verification
• Rachel Southard (Men in Kilts): Pending verification
LEGACY FOUNDERS still in network:
• Mark Kushinsky (MaidPro Founder): Pending
• Jeff van Diepen (Pestmaster Founder, predecessor to Shraiar): Pending  
• Pat Pitrone (USA Insulation, family-founded): Pending — was elevated to Group President per 2022 Franchise Times article
🎯 UVA DARDEN CLUSTER: Kappler joins Mayer (Empower) — 2 Darden alums (both 2005-2007 era)
👉 See Signal Intel tab Master Education Table for sortable view</t>
        </is>
      </c>
    </row>
  </sheetData>
  <mergeCells count="3">
    <mergeCell ref="A2:Q2"/>
    <mergeCell ref="B11:AF11"/>
    <mergeCell ref="A1:Q1"/>
  </mergeCells>
  <dataValidations count="1">
    <dataValidation sqref="L4:L12" showDropDown="0" showInputMessage="0" showErrorMessage="0" allowBlank="1" type="list">
      <formula1>"Not Started,Researching,Contacted,Replied,Call Scheduled,Discovery Done,Proposal Sent,Negotiating,Pilot Closed,Stalled,Not a Fit"</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Q81"/>
  <sheetViews>
    <sheetView showGridLines="0" zoomScaleNormal="100" workbookViewId="0">
      <pane ySplit="3" topLeftCell="A4" activePane="bottomLeft" state="frozen"/>
      <selection pane="bottomLeft" activeCell="A1" sqref="A1:P1"/>
    </sheetView>
  </sheetViews>
  <sheetFormatPr baseColWidth="10" defaultColWidth="8.6640625" defaultRowHeight="15"/>
  <cols>
    <col width="4" customWidth="1" style="435" min="1" max="1"/>
    <col width="22" customWidth="1" style="435" min="2" max="2"/>
    <col width="18" customWidth="1" style="435" min="3" max="3"/>
    <col width="14" customWidth="1" style="435" min="4" max="4"/>
    <col width="8" customWidth="1" style="435" min="5" max="5"/>
    <col width="7" customWidth="1" style="435" min="6" max="6"/>
    <col width="12" customWidth="1" style="435" min="7" max="7"/>
    <col width="9" customWidth="1" style="435" min="8" max="9"/>
    <col width="22" customWidth="1" style="435" min="10" max="10"/>
    <col width="14" customWidth="1" style="435" min="11" max="11"/>
    <col width="22" customWidth="1" style="435" min="12" max="12"/>
    <col width="24" customWidth="1" style="435" min="13" max="13"/>
    <col width="32" customWidth="1" style="435" min="14" max="14"/>
    <col width="18" customWidth="1" style="435" min="15" max="15"/>
    <col width="30" customWidth="1" style="435" min="16" max="16"/>
    <col width="28" customWidth="1" style="435" min="18" max="18"/>
    <col width="24" customWidth="1" style="435" min="19" max="19"/>
    <col width="26" customWidth="1" style="435" min="20" max="20"/>
    <col width="13" customWidth="1" style="435" min="21" max="27"/>
    <col width="28" customWidth="1" style="435" min="28" max="30"/>
    <col width="13" customWidth="1" style="435" min="31" max="33"/>
    <col width="40" customWidth="1" style="435" min="34" max="34"/>
    <col width="35" customWidth="1" style="435" min="35" max="35"/>
    <col width="50" customWidth="1" style="435" min="36" max="36"/>
    <col width="50" customWidth="1" style="435" min="37" max="37"/>
    <col width="65" customWidth="1" style="435" min="41" max="41"/>
    <col width="55" customWidth="1" style="435" min="42" max="42"/>
    <col width="55" customWidth="1" style="435" min="43" max="43"/>
  </cols>
  <sheetData>
    <row r="1" ht="37.5" customHeight="1" s="435">
      <c r="A1" s="484" t="inlineStr">
        <is>
          <t xml:space="preserve">  85 PRIORITY FRANCHISEE BRANDS  ·  Track 2  ·  Greenfield Volume Pipeline</t>
        </is>
      </c>
      <c r="R1" s="148" t="n"/>
      <c r="S1" s="148" t="n"/>
      <c r="T1" s="148" t="n"/>
      <c r="U1" s="149" t="n"/>
      <c r="V1" s="149" t="n"/>
      <c r="W1" s="149" t="n"/>
      <c r="X1" s="149" t="n"/>
      <c r="Y1" s="149" t="n"/>
      <c r="Z1" s="149" t="n"/>
      <c r="AA1" s="149" t="n"/>
      <c r="AB1" s="150" t="n"/>
      <c r="AC1" s="150" t="n"/>
      <c r="AD1" s="150" t="n"/>
      <c r="AE1" s="151" t="n"/>
      <c r="AF1" s="151" t="n"/>
      <c r="AG1" s="151" t="n"/>
    </row>
    <row r="2" ht="15.75" customHeight="1" s="435">
      <c r="A2" s="460" t="inlineStr">
        <is>
          <t xml:space="preserve">  Velocity GTM Co LLC  ·  Sorted by parent franchisor  ·  GPS Insight warm accounts prioritized  ·  v15.6 — validated April 29, 2026</t>
        </is>
      </c>
      <c r="R2" s="148" t="n"/>
      <c r="S2" s="148" t="n"/>
      <c r="T2" s="148" t="n"/>
      <c r="U2" s="149" t="n"/>
      <c r="V2" s="149" t="n"/>
      <c r="W2" s="149" t="n"/>
      <c r="X2" s="149" t="n"/>
      <c r="Y2" s="149" t="n"/>
      <c r="Z2" s="149" t="n"/>
      <c r="AA2" s="149" t="n"/>
      <c r="AB2" s="150" t="n"/>
      <c r="AC2" s="150" t="n"/>
      <c r="AD2" s="150" t="n"/>
      <c r="AE2" s="151" t="n"/>
      <c r="AF2" s="151" t="n"/>
      <c r="AG2" s="151" t="n"/>
    </row>
    <row r="3" ht="37.5" customHeight="1" s="435">
      <c r="A3" s="64" t="inlineStr">
        <is>
          <t>#</t>
        </is>
      </c>
      <c r="B3" s="64" t="inlineStr">
        <is>
          <t>BRAND / FRANCHISEE</t>
        </is>
      </c>
      <c r="C3" s="64" t="inlineStr">
        <is>
          <t>PARENT FRANCHISOR</t>
        </is>
      </c>
      <c r="D3" s="64" t="inlineStr">
        <is>
          <t>TRADE</t>
        </is>
      </c>
      <c r="E3" s="64" t="inlineStr">
        <is>
          <t>LOCATIONS</t>
        </is>
      </c>
      <c r="F3" s="64" t="inlineStr">
        <is>
          <t>TECHS
(EST.)</t>
        </is>
      </c>
      <c r="G3" s="64" t="inlineStr">
        <is>
          <t>FSM STATUS</t>
        </is>
      </c>
      <c r="H3" s="64" t="inlineStr">
        <is>
          <t>GPS WARM?</t>
        </is>
      </c>
      <c r="I3" s="64" t="inlineStr">
        <is>
          <t>PILOT
POTENTIAL</t>
        </is>
      </c>
      <c r="J3" s="97" t="inlineStr">
        <is>
          <t>CURRENT FSM
PLATFORM</t>
        </is>
      </c>
      <c r="K3" s="97" t="inlineStr">
        <is>
          <t>CONFLICT
RISK</t>
        </is>
      </c>
      <c r="L3" s="97" t="inlineStr">
        <is>
          <t>TELEMATICS
PROVIDER</t>
        </is>
      </c>
      <c r="M3" s="97" t="inlineStr">
        <is>
          <t>GPS INSIGHT
CUSTOMER?
← Andrea to Verify</t>
        </is>
      </c>
      <c r="N3" s="97" t="inlineStr">
        <is>
          <t>INSURANCE
PROGRAM / CARRIER</t>
        </is>
      </c>
      <c r="O3" s="97" t="inlineStr">
        <is>
          <t>INSURANCE
GTM ANGLE</t>
        </is>
      </c>
      <c r="P3" s="64" t="inlineStr">
        <is>
          <t>PRIMARY CONTACT</t>
        </is>
      </c>
      <c r="Q3" s="64" t="inlineStr">
        <is>
          <t>CONTACT TITLE</t>
        </is>
      </c>
      <c r="R3" s="152" t="inlineStr">
        <is>
          <t>OWNER /
DECISION MAKER</t>
        </is>
      </c>
      <c r="S3" s="153" t="inlineStr">
        <is>
          <t>OPS MGR /
OFFICE MANAGER</t>
        </is>
      </c>
      <c r="T3" s="154" t="inlineStr">
        <is>
          <t>GPS INSIGHT
ACCOUNT REP
← Warm intro path</t>
        </is>
      </c>
      <c r="U3" s="155" t="inlineStr">
        <is>
          <t>OUTREACH
STATUS</t>
        </is>
      </c>
      <c r="V3" s="155" t="inlineStr">
        <is>
          <t>LAST
CONTACT</t>
        </is>
      </c>
      <c r="W3" s="156" t="inlineStr">
        <is>
          <t>NEXT STEP</t>
        </is>
      </c>
      <c r="X3" s="156" t="inlineStr">
        <is>
          <t>NEXT DATE</t>
        </is>
      </c>
      <c r="Y3" s="156" t="inlineStr">
        <is>
          <t>NOTES</t>
        </is>
      </c>
      <c r="Z3" s="97" t="inlineStr">
        <is>
          <t>FDD INTEL
(Source + Key Facts)</t>
        </is>
      </c>
      <c r="AA3" s="98" t="inlineStr">
        <is>
          <t>INSIGHT ENGINE
NOTES
← ROI angle for outreach</t>
        </is>
      </c>
      <c r="AB3" s="157" t="n"/>
      <c r="AC3" s="157" t="n"/>
      <c r="AD3" s="157" t="n"/>
      <c r="AE3" s="158" t="inlineStr">
        <is>
          <t>FRANCHISEE
SCORE
/ 100</t>
        </is>
      </c>
      <c r="AF3" s="98" t="inlineStr">
        <is>
          <t>FRANCHISOR
BONUS
+ 0/5/15/25</t>
        </is>
      </c>
      <c r="AG3" s="71" t="inlineStr">
        <is>
          <t>COMBINED
SCORE
/ 125</t>
        </is>
      </c>
      <c r="AH3" s="517" t="inlineStr">
        <is>
          <t>BRAND PRESIDENT
+ LINKEDIN URL</t>
        </is>
      </c>
      <c r="AI3" s="517" t="inlineStr">
        <is>
          <t>PRESIDENT
EMAIL</t>
        </is>
      </c>
      <c r="AJ3" s="517" t="inlineStr">
        <is>
          <t>CFO
+ LINKEDIN URL
+ EMAIL</t>
        </is>
      </c>
      <c r="AK3" s="517" t="inlineStr">
        <is>
          <t>BIZ DEV
+ LINKEDIN URL
+ EMAIL</t>
        </is>
      </c>
      <c r="AL3" s="517" t="inlineStr">
        <is>
          <t>RECENT FSM / TECH /
INSURANCE COMMENTS</t>
        </is>
      </c>
      <c r="AM3" s="517" t="inlineStr">
        <is>
          <t>BRAND-LEVEL
ENGAGEMENT NOTES</t>
        </is>
      </c>
      <c r="AN3" s="517" t="inlineStr">
        <is>
          <t>ADDITIONAL CONTACTS
+ CORPORATE/PARENT TEAM</t>
        </is>
      </c>
      <c r="AO3" s="517" t="inlineStr">
        <is>
          <t>SIGNAL INTEL
(compressed · see Signal Intel tab for full)</t>
        </is>
      </c>
      <c r="AP3" s="517" t="inlineStr">
        <is>
          <t>EVENTS
(compressed · see Event Intelligence tab for full)</t>
        </is>
      </c>
      <c r="AQ3" s="517" t="inlineStr">
        <is>
          <t>EDUCATION
(College / University / Trade School)</t>
        </is>
      </c>
    </row>
    <row r="4" ht="280" customHeight="1" s="435">
      <c r="A4" s="159" t="n">
        <v>1</v>
      </c>
      <c r="B4" s="160" t="inlineStr">
        <is>
          <t>Aire Serv</t>
        </is>
      </c>
      <c r="C4" s="161" t="inlineStr">
        <is>
          <t>Neighborly</t>
        </is>
      </c>
      <c r="D4" s="162" t="inlineStr">
        <is>
          <t>HVAC</t>
        </is>
      </c>
      <c r="E4" s="163" t="n">
        <v>500</v>
      </c>
      <c r="F4" s="163" t="n">
        <v>5</v>
      </c>
      <c r="G4" s="164" t="inlineStr">
        <is>
          <t>Partial/ST</t>
        </is>
      </c>
      <c r="H4" s="19" t="inlineStr">
        <is>
          <t>TBD</t>
        </is>
      </c>
      <c r="I4" s="165" t="inlineStr">
        <is>
          <t>MED</t>
        </is>
      </c>
      <c r="J4" s="166" t="inlineStr">
        <is>
          <t>ServiceTitan</t>
        </is>
      </c>
      <c r="K4" s="167" t="inlineStr">
        <is>
          <t>🔴 High</t>
        </is>
      </c>
      <c r="L4" s="108" t="inlineStr">
        <is>
          <t>Smart Fleet USA</t>
        </is>
      </c>
      <c r="M4" s="166" t="inlineStr">
        <is>
          <t>No — Smart Fleet USA</t>
        </is>
      </c>
      <c r="N4" s="117" t="inlineStr">
        <is>
          <t>ProTradeNet preferred broker — validate FDD</t>
        </is>
      </c>
      <c r="O4" s="109" t="inlineStr">
        <is>
          <t>🟡 Medium</t>
        </is>
      </c>
      <c r="P4" s="162" t="inlineStr">
        <is>
          <t>(Franchisee Owner)</t>
        </is>
      </c>
      <c r="Q4" s="162" t="inlineStr">
        <is>
          <t>Owner/Operator</t>
        </is>
      </c>
      <c r="R4" s="168" t="inlineStr">
        <is>
          <t>TBD — franchisee owner
⚠️ DO NOT approach — Neighborly PE intro required first
KKR → Charles Layne → Felix Gernburd — PE intro only</t>
        </is>
      </c>
      <c r="S4" s="169" t="inlineStr">
        <is>
          <t>TBD — office manager
Smart Fleet USA telematics (NOT GPS Insight)</t>
        </is>
      </c>
      <c r="T4" s="170" t="inlineStr">
        <is>
          <t>Smart Fleet USA (NOT GPS Insight)
⚠️ No warm GPS Insight intro path
Do not approach without PE intro confirmed</t>
        </is>
      </c>
      <c r="U4" s="171" t="n"/>
      <c r="V4" s="172" t="n"/>
      <c r="W4" s="173" t="inlineStr">
        <is>
          <t>Profile + conflict check</t>
        </is>
      </c>
      <c r="X4" s="173" t="n"/>
      <c r="Y4" s="174" t="inlineStr">
        <is>
          <t>ServiceTitan incumbent — check mandate status before outreach</t>
        </is>
      </c>
      <c r="Z4" s="144" t="inlineStr">
        <is>
          <t>SOURCE: Aire Serv FDD 2025 / franchise.neighborly.com
ITEM 11: ServiceTitan REQUIRED — 'our Software System' referenced in Item 19.
ITEM 19 (2024 data): 158 reporting businesses, 1/1/24-12/31/24 full year.
Avg gross sales: not disclosed in public summary — pull FDD.
Telematics: Smart Fleet USA confirmed.
CONFLICT: High on FSM.</t>
        </is>
      </c>
      <c r="AA4" s="144" t="inlineStr">
        <is>
          <t>⚠️ ST mandated — no FSM pitch.
Telematics only if GPS Insight customer confirmed.
Do not run Insight Engine until PE intro secured.</t>
        </is>
      </c>
      <c r="AB4" s="175" t="n"/>
      <c r="AC4" s="175" t="n"/>
      <c r="AD4" s="175" t="n"/>
      <c r="AE4" s="176" t="n">
        <v>36</v>
      </c>
      <c r="AF4" s="177" t="inlineStr">
        <is>
          <t>+5</t>
        </is>
      </c>
      <c r="AG4" s="178" t="inlineStr">
        <is>
          <t>41
⚪ HOLD</t>
        </is>
      </c>
      <c r="AH4" s="555" t="inlineStr">
        <is>
          <t>Jay Jimenez (Brand Pres NEW Apr 2026)
LinkedIn: https://www.linkedin.com/posts/neighborly_leadership-president-aireserv-activity-7450905954415677440-12p2
🆕 Just announced - multi-state HVAC operator, Greater Orlando.
Predecessor Brad Roberson LEFT Sept 2025 → Fastest Labs CEO
LinkedIn (Brad Roberson): https://www.linkedin.com/in/jay-jimenez/
Lane Dixon, MBA (Aire Serv VP Operations): MTSU + Cumberland MBA ⭐</t>
        </is>
      </c>
      <c r="AI4" s="555" t="inlineStr">
        <is>
          <t>jay.jimenez@aireserv.com  |  jay.jimenez@nbly.com</t>
        </is>
      </c>
      <c r="AJ4" s="555" t="inlineStr">
        <is>
          <t>Ben Lamb (corporate)
https://www.linkedin.com/in/ben-lamb-31ab6258/
ben.lamb@nbly.com
✓ Pattern confirmed via NeverBounce + Susan McIntosh direct. CFO since 2024.</t>
        </is>
      </c>
      <c r="AK4" s="555" t="inlineStr">
        <is>
          <t>Brad Stevenson (CDO corporate)
https://www.linkedin.com/in/brad-stevenson-537387a/
brad.stevenson@nbly.com
✓ Texas A&amp;M, Frisco TX. Master Texas A&amp;M.</t>
        </is>
      </c>
      <c r="AL4" s="518" t="inlineStr">
        <is>
          <t>Brad Roberson (prior pres, BobVila.com):
Quoted on optimal placement of HVAC air purifiers in homes — tactical product expert.
Neighborly umbrella: KKR-backed digital transformation thesis applies. Smart Fleet USA (Azuga) is mandated telematics — hard conflict for GPS Insight.
ServiceTitan integration partnership is active across Neighborly Repair brands.</t>
        </is>
      </c>
      <c r="AM4" s="518" t="inlineStr">
        <is>
          <t>DO NOT direct-approach until KKR intro confirmed. Aire Serv is on ServiceTitan + Smart Fleet USA = NO-PITCH zone.
Watch the Jay Jimenez transition — new president = honeymoon period for tech introductions.
Telematics-only angle if franchisee is GPS Insight customer (Andrea must verify).
Score: 41 ⚪ HOLD</t>
        </is>
      </c>
      <c r="AN4" s="518" t="inlineStr">
        <is>
          <t>Frederick Roberts (linkedin.com/in/fredlroberts/) — Aire Serv Operations Consultant
Lane Dixon, MBA — Neighborly franchise relations
Doyle James — past Mr. Rooter brand pres</t>
        </is>
      </c>
      <c r="AO4" s="555" t="inlineStr">
        <is>
          <t>⚠️ HARD CONFLICT zone: ServiceTitan + Smart Fleet USA mandated.
Brand pres TRANSITION: Brad Roberson → Brad's gone → Jay Jimenez NEW (~Apr 2026, CFE) = honeymoon period.
Group Pres Repair cluster: Jason Himber.
Corporate FSM-decision-maker: Gagan Sinha (CIO, Sept 2025 — "best-in-class platforms" stance).
DO NOT direct-approach until KKR intro confirmed.
👉 See Signal Intel: Neighborly section</t>
        </is>
      </c>
      <c r="AP4" s="555" t="inlineStr">
        <is>
          <t>Neighborly Reunion (~Oct 2026, Nashville/Gaylord Opryland likely)
16 brands + vendor partners attend
★ DO NOT attend without KKR intro
👉 See Event Intelligence tab</t>
        </is>
      </c>
      <c r="AQ4" s="555" t="inlineStr">
        <is>
          <t>🎓 NEIGHBORLY:
• Jay Jimenez (Brand Pres NEW Apr 2026): Education pending direct LinkedIn confirmation. Multi-state HVAC operator background. Greater Orlando area.
• Brad Roberson (predecessor — Sept 2025 left for Fastest Labs President/CEO): Mississippi-rooted operator path. Bought independent glass company in Brookhaven, MS in 2003 → Glass Doctor franchisee → corporate Franchise Consultant 2017 → Glass Doctor Pres 2019 → Aire Serv Pres 2023 → Fastest Labs.
• Lane Dixon, MBA (Aire Serv VP Operations): Middle Tennessee State University BA Business Admin/Econ/Finance 2004 + Cumberland University MBA ⭐
• Ben Lamb (Neighborly CFO): Baylor BBA ⭐
• Brad Stevenson (Neighborly CDO): Texas A&amp;M ⭐
👉 See Signal Intel: Neighborly</t>
        </is>
      </c>
    </row>
    <row r="5" ht="280" customHeight="1" s="435">
      <c r="A5" s="159" t="n">
        <v>2</v>
      </c>
      <c r="B5" s="160" t="inlineStr">
        <is>
          <t>Glass Doctor</t>
        </is>
      </c>
      <c r="C5" s="161" t="inlineStr">
        <is>
          <t>Neighborly</t>
        </is>
      </c>
      <c r="D5" s="162" t="inlineStr">
        <is>
          <t>Auto/Home Glass</t>
        </is>
      </c>
      <c r="E5" s="163" t="n">
        <v>500</v>
      </c>
      <c r="F5" s="163" t="n">
        <v>3</v>
      </c>
      <c r="G5" s="164" t="inlineStr">
        <is>
          <t>Partial/ST</t>
        </is>
      </c>
      <c r="H5" s="19" t="inlineStr">
        <is>
          <t>TBD</t>
        </is>
      </c>
      <c r="I5" s="179" t="inlineStr">
        <is>
          <t>LOW</t>
        </is>
      </c>
      <c r="J5" s="166" t="inlineStr">
        <is>
          <t>ServiceTitan</t>
        </is>
      </c>
      <c r="K5" s="167" t="inlineStr">
        <is>
          <t>🔴 High</t>
        </is>
      </c>
      <c r="L5" s="108" t="inlineStr">
        <is>
          <t>Smart Fleet USA</t>
        </is>
      </c>
      <c r="M5" s="166" t="inlineStr">
        <is>
          <t>No — Smart Fleet USA</t>
        </is>
      </c>
      <c r="N5" s="117" t="inlineStr">
        <is>
          <t>ProTradeNet preferred broker — validate FDD</t>
        </is>
      </c>
      <c r="O5" s="109" t="inlineStr">
        <is>
          <t>🟡 Medium</t>
        </is>
      </c>
      <c r="P5" s="162" t="inlineStr">
        <is>
          <t>(Franchisee Owner)</t>
        </is>
      </c>
      <c r="Q5" s="162" t="inlineStr">
        <is>
          <t>Owner/Operator</t>
        </is>
      </c>
      <c r="R5" s="168" t="inlineStr">
        <is>
          <t>TBD — franchisee owner
⚠️ DO NOT approach — Neighborly PE intro required first
KKR → Charles Layne → Felix Gernburd — PE intro only</t>
        </is>
      </c>
      <c r="S5" s="169" t="inlineStr">
        <is>
          <t>TBD — office manager
Smart Fleet USA telematics (NOT GPS Insight)</t>
        </is>
      </c>
      <c r="T5" s="170" t="inlineStr">
        <is>
          <t>Smart Fleet USA (NOT GPS Insight)
⚠️ No warm GPS Insight intro path
Do not approach without PE intro confirmed</t>
        </is>
      </c>
      <c r="U5" s="171" t="n"/>
      <c r="V5" s="172" t="n"/>
      <c r="W5" s="173" t="inlineStr">
        <is>
          <t>Profile + conflict check</t>
        </is>
      </c>
      <c r="X5" s="173" t="n"/>
      <c r="Y5" s="174" t="inlineStr">
        <is>
          <t>ST mandate — check renewal window</t>
        </is>
      </c>
      <c r="Z5" s="118" t="inlineStr">
        <is>
          <t>Pull from Wisconsin/California FDD registry. Neighborly brand — verify ST mandate status first.</t>
        </is>
      </c>
      <c r="AA5" s="144" t="inlineStr">
        <is>
          <t>⚠️ ST mandated — no FSM pitch.
Telematics only if GPS Insight customer confirmed.
Do not run Insight Engine until PE intro secured.</t>
        </is>
      </c>
      <c r="AB5" s="175" t="n"/>
      <c r="AC5" s="175" t="n"/>
      <c r="AD5" s="175" t="n"/>
      <c r="AE5" s="176" t="n">
        <v>19</v>
      </c>
      <c r="AF5" s="177" t="inlineStr">
        <is>
          <t>+5</t>
        </is>
      </c>
      <c r="AG5" s="178" t="inlineStr">
        <is>
          <t>24
⚪ HOLD</t>
        </is>
      </c>
      <c r="AH5" s="555" t="inlineStr">
        <is>
          <t>Gabe Lopez (Brand President)
LinkedIn: pending direct verification (search 'Gabe Lopez Glass Doctor Neighborly' on LinkedIn)
Predecessor Brad Roberson (Pres 2019-2023, then Aire Serv, NOW Fastest Labs CEO Sept 2025)
LinkedIn (Brad): https://www.linkedin.com/in/brad-roberson-1871a72b/
Mississippi-rooted operator path. Bought Glass Doctor Brookhaven MS franchise 2003.</t>
        </is>
      </c>
      <c r="AI5" s="555" t="inlineStr">
        <is>
          <t>gabe.lopez@glassdoctor.com  |  gabe.lopez@nbly.com</t>
        </is>
      </c>
      <c r="AJ5" s="555" t="inlineStr">
        <is>
          <t>Ben Lamb (corporate)
https://www.linkedin.com/in/ben-lamb-31ab6258/
ben.lamb@nbly.com
✓ Pattern confirmed via NeverBounce + Susan McIntosh direct. CFO since 2024.</t>
        </is>
      </c>
      <c r="AK5" s="555" t="inlineStr">
        <is>
          <t>Brad Stevenson (CDO corporate)
https://www.linkedin.com/in/brad-stevenson-537387a/
brad.stevenson@nbly.com
✓ Texas A&amp;M, Frisco TX. Master Texas A&amp;M.</t>
        </is>
      </c>
      <c r="AL5" s="518" t="inlineStr">
        <is>
          <t>Auto/home glass = lower telematics need. ServiceTitan mandate may be looser here.
Smart Fleet USA mandate still applies to all Neighborly fleet vehicles per platform standards.</t>
        </is>
      </c>
      <c r="AM5" s="518" t="inlineStr">
        <is>
          <t>ST partial deployment — check actual mandate strength.
Lower priority within Neighborly repair cluster. Score: 24 ⚪ HOLD</t>
        </is>
      </c>
      <c r="AN5" s="518" t="inlineStr">
        <is>
          <t>Glass Doctor team rolls up to Jason Himber (Repair cluster Group Pres)</t>
        </is>
      </c>
      <c r="AO5" s="555" t="inlineStr">
        <is>
          <t>⚠️ Same Neighborly stack: ServiceTitan + Smart Fleet USA.
Brand pres: Gabe Lopez. Auto/home glass = lower telematics need.
Lower priority within Neighborly repair cluster (Score 24 ⚪ HOLD).
👉 See Signal Intel: Neighborly section</t>
        </is>
      </c>
      <c r="AP5" s="555" t="inlineStr">
        <is>
          <t>Neighborly Reunion (~Oct 2026, Nashville/Gaylord Opryland likely)
16 brands + vendor partners attend
★ DO NOT attend without KKR intro
👉 See Event Intelligence tab</t>
        </is>
      </c>
      <c r="AQ5" s="555" t="inlineStr">
        <is>
          <t>🎓 NEIGHBORLY (LEADERSHIP TRANSITION):
• Gabe Lopez (Brand Pres): Education pending direct LinkedIn confirmation
• Predecessor Brad Roberson: Now Fastest Labs CEO. Mississippi-rooted operator (bought independent glass co Brookhaven MS 2003).
• Corporate: Baylor cluster (Lamb CFO, Lewis Mr. Appliance, McCormick Mr. Electric) + Texas A&amp;M (Stevenson CDO)
👉 See Signal Intel: Neighborly</t>
        </is>
      </c>
    </row>
    <row r="6" ht="280" customHeight="1" s="435">
      <c r="A6" s="159" t="n">
        <v>3</v>
      </c>
      <c r="B6" s="160" t="inlineStr">
        <is>
          <t>Lawn Pride</t>
        </is>
      </c>
      <c r="C6" s="161" t="inlineStr">
        <is>
          <t>Neighborly</t>
        </is>
      </c>
      <c r="D6" s="162" t="inlineStr">
        <is>
          <t>Lawn Care</t>
        </is>
      </c>
      <c r="E6" s="163" t="n">
        <v>150</v>
      </c>
      <c r="F6" s="163" t="n">
        <v>3</v>
      </c>
      <c r="G6" s="164" t="inlineStr">
        <is>
          <t>Partial/ST</t>
        </is>
      </c>
      <c r="H6" s="19" t="inlineStr">
        <is>
          <t>TBD</t>
        </is>
      </c>
      <c r="I6" s="165" t="inlineStr">
        <is>
          <t>MED</t>
        </is>
      </c>
      <c r="J6" s="108" t="inlineStr">
        <is>
          <t>FieldRoutes (ST)</t>
        </is>
      </c>
      <c r="K6" s="167" t="inlineStr">
        <is>
          <t>🔴 High</t>
        </is>
      </c>
      <c r="L6" s="108" t="inlineStr">
        <is>
          <t>Smart Fleet USA</t>
        </is>
      </c>
      <c r="M6" s="166" t="inlineStr">
        <is>
          <t>No — Smart Fleet USA</t>
        </is>
      </c>
      <c r="N6" s="117" t="inlineStr">
        <is>
          <t>Validate via FDD</t>
        </is>
      </c>
      <c r="O6" s="109" t="inlineStr">
        <is>
          <t>❓ Unknown</t>
        </is>
      </c>
      <c r="P6" s="162" t="inlineStr">
        <is>
          <t>(Franchisee Owner)</t>
        </is>
      </c>
      <c r="Q6" s="162" t="inlineStr">
        <is>
          <t>Owner/Operator</t>
        </is>
      </c>
      <c r="R6" s="168" t="inlineStr">
        <is>
          <t>TBD — franchisee owner
⚠️ DO NOT approach — Neighborly PE intro required first
KKR → Charles Layne → Felix Gernburd — PE intro only</t>
        </is>
      </c>
      <c r="S6" s="169" t="inlineStr">
        <is>
          <t>TBD — office manager
Smart Fleet USA telematics (NOT GPS Insight)</t>
        </is>
      </c>
      <c r="T6" s="170" t="inlineStr">
        <is>
          <t>Smart Fleet USA (NOT GPS Insight)
⚠️ No warm GPS Insight intro path
Do not approach without PE intro confirmed</t>
        </is>
      </c>
      <c r="U6" s="171" t="n"/>
      <c r="V6" s="172" t="n"/>
      <c r="W6" s="173" t="inlineStr">
        <is>
          <t>Profile + conflict check</t>
        </is>
      </c>
      <c r="X6" s="173" t="n"/>
      <c r="Y6" s="174" t="inlineStr">
        <is>
          <t>Route model — check ST mandate status</t>
        </is>
      </c>
      <c r="Z6" s="118" t="inlineStr">
        <is>
          <t>Pull from Wisconsin/California FDD registry. Neighborly brand — verify ST mandate status first.</t>
        </is>
      </c>
      <c r="AA6" s="144" t="inlineStr">
        <is>
          <t>⚠️ ST mandated — no FSM pitch.
Telematics only if GPS Insight customer confirmed.
Do not run Insight Engine until PE intro secured.</t>
        </is>
      </c>
      <c r="AB6" s="175" t="n"/>
      <c r="AC6" s="175" t="n"/>
      <c r="AD6" s="175" t="n"/>
      <c r="AE6" s="176" t="n">
        <v>24</v>
      </c>
      <c r="AF6" s="177" t="inlineStr">
        <is>
          <t>+5</t>
        </is>
      </c>
      <c r="AG6" s="178" t="inlineStr">
        <is>
          <t>29
⚪ HOLD</t>
        </is>
      </c>
      <c r="AH6" s="555" t="inlineStr">
        <is>
          <t>Susan McIntosh (Brand President since March 2023)
LinkedIn: https://www.linkedin.com/in/susanmcintoshneighborly/
Cardinal Ritter HS Indianapolis ⭐ NO COLLEGE - Operator path 30+ yrs Lawn Pride
Started 1994 as telemarketer → Office Mgr → GM → VP → Brand Pres
Husband Bryan also Lawn Pride 30+ yrs.
Email: susan.mcintosh@nbly.com</t>
        </is>
      </c>
      <c r="AI6" s="555" t="inlineStr">
        <is>
          <t>susan.mcintosh@lawnpride.com  |  susan.mcintosh@nbly.com</t>
        </is>
      </c>
      <c r="AJ6" s="555" t="inlineStr">
        <is>
          <t>Ben Lamb (corporate)
https://www.linkedin.com/in/ben-lamb-31ab6258/
ben.lamb@nbly.com
✓ Pattern confirmed via NeverBounce + Susan McIntosh direct. CFO since 2024.</t>
        </is>
      </c>
      <c r="AK6" s="555" t="inlineStr">
        <is>
          <t>Brad Stevenson (CDO corporate)
https://www.linkedin.com/in/brad-stevenson-537387a/
brad.stevenson@nbly.com
✓ Texas A&amp;M, Frisco TX. Master Texas A&amp;M.</t>
        </is>
      </c>
      <c r="AL6" s="518" t="inlineStr">
        <is>
          <t>Neighborly LinkedIn post about Lawn Pride team and Ruby Caggiano-Cooper.
Lawn Pride is acquired brand (relatively newer to Neighborly) — possibly less tech-mandated than legacy brands.</t>
        </is>
      </c>
      <c r="AM6" s="518" t="inlineStr">
        <is>
          <t>Lawn care = seasonal scheduling fits ServiceBridge well.
Acquired brand status MAY mean less ST mandate strength — verify with Andrea.
Score: 29 ⚪ HOLD</t>
        </is>
      </c>
      <c r="AN6" s="518" t="inlineStr">
        <is>
          <t>Ruby Caggiano-Cooper — Lawn Pride team (LinkedIn referenced)
Matt Crowley (Group Pres Specialty)</t>
        </is>
      </c>
      <c r="AO6" s="555" t="inlineStr">
        <is>
          <t>Brand Pres: Susan McIntosh (Cardinal Ritter HS Indianapolis, came up from landscape crew, Pres March 2023). Lawn = high fleet utilization despite ST mandate.
👉 See Signal Intel: Neighborly section</t>
        </is>
      </c>
      <c r="AP6" s="555" t="inlineStr">
        <is>
          <t>Neighborly Reunion (~Oct 2026, Nashville/Gaylord Opryland likely)
16 brands + vendor partners attend
★ DO NOT attend without KKR intro
👉 See Event Intelligence tab</t>
        </is>
      </c>
      <c r="AQ6" s="555" t="inlineStr">
        <is>
          <t>🎓 NEIGHBORLY:
• Susan McIntosh (Brand Pres since March 2023): Cardinal Ritter High School Indianapolis. NO COLLEGE — Operator path. Started 1994 at Lawn Pride as telemarketer → office mgr → general mgr → VP → Brand Pres (30+ year career). Husband Bryan also at Lawn Pride 30+ years.
• Indianapolis IN headquartered. Joined Neighborly via acquisition.
• Matt Crowley (Group Pres-Specialty oversight): USC Marshall MBA ⭐
👉 See Signal Intel: Neighborly</t>
        </is>
      </c>
    </row>
    <row r="7" ht="280" customHeight="1" s="435">
      <c r="A7" s="159" t="n">
        <v>4</v>
      </c>
      <c r="B7" s="160" t="inlineStr">
        <is>
          <t>Molly Maid</t>
        </is>
      </c>
      <c r="C7" s="161" t="inlineStr">
        <is>
          <t>Neighborly</t>
        </is>
      </c>
      <c r="D7" s="162" t="inlineStr">
        <is>
          <t>Cleaning</t>
        </is>
      </c>
      <c r="E7" s="163" t="n">
        <v>448</v>
      </c>
      <c r="F7" s="163" t="n">
        <v>3</v>
      </c>
      <c r="G7" s="164" t="inlineStr">
        <is>
          <t>Partial/ST</t>
        </is>
      </c>
      <c r="H7" s="19" t="inlineStr">
        <is>
          <t>TBD</t>
        </is>
      </c>
      <c r="I7" s="165" t="inlineStr">
        <is>
          <t>MED</t>
        </is>
      </c>
      <c r="J7" s="166" t="inlineStr">
        <is>
          <t>ServiceTitan</t>
        </is>
      </c>
      <c r="K7" s="167" t="inlineStr">
        <is>
          <t>🔴 High</t>
        </is>
      </c>
      <c r="L7" s="108" t="inlineStr">
        <is>
          <t>Smart Fleet USA</t>
        </is>
      </c>
      <c r="M7" s="166" t="inlineStr">
        <is>
          <t>No — Smart Fleet USA</t>
        </is>
      </c>
      <c r="N7" s="117" t="inlineStr">
        <is>
          <t>Validate via FDD</t>
        </is>
      </c>
      <c r="O7" s="109" t="inlineStr">
        <is>
          <t>❓ Unknown</t>
        </is>
      </c>
      <c r="P7" s="162" t="inlineStr">
        <is>
          <t>(Franchisee Owner)</t>
        </is>
      </c>
      <c r="Q7" s="162" t="inlineStr">
        <is>
          <t>Owner/Operator</t>
        </is>
      </c>
      <c r="R7" s="168" t="inlineStr">
        <is>
          <t>TBD — franchisee owner
⚠️ DO NOT approach — Neighborly PE intro required first
KKR → Charles Layne → Felix Gernburd — PE intro only</t>
        </is>
      </c>
      <c r="S7" s="169" t="inlineStr">
        <is>
          <t>TBD — office manager
Smart Fleet USA telematics (NOT GPS Insight)</t>
        </is>
      </c>
      <c r="T7" s="170" t="inlineStr">
        <is>
          <t>Smart Fleet USA (NOT GPS Insight)
⚠️ No warm GPS Insight intro path
Do not approach without PE intro confirmed</t>
        </is>
      </c>
      <c r="U7" s="171" t="n"/>
      <c r="V7" s="172" t="n"/>
      <c r="W7" s="173" t="inlineStr">
        <is>
          <t>Profile + conflict check</t>
        </is>
      </c>
      <c r="X7" s="173" t="n"/>
      <c r="Y7" s="174" t="inlineStr">
        <is>
          <t>Recurring cleaning crews</t>
        </is>
      </c>
      <c r="Z7" s="118" t="inlineStr">
        <is>
          <t>Pull from Wisconsin/California FDD registry. Neighborly brand — verify ST mandate status first.</t>
        </is>
      </c>
      <c r="AA7" s="144" t="inlineStr">
        <is>
          <t>⚠️ ST mandated — no FSM pitch.
Telematics only if GPS Insight customer confirmed.
Do not run Insight Engine until PE intro secured.</t>
        </is>
      </c>
      <c r="AB7" s="175" t="n"/>
      <c r="AC7" s="175" t="n"/>
      <c r="AD7" s="175" t="n"/>
      <c r="AE7" s="176" t="n">
        <v>21</v>
      </c>
      <c r="AF7" s="177" t="inlineStr">
        <is>
          <t>+5</t>
        </is>
      </c>
      <c r="AG7" s="178" t="inlineStr">
        <is>
          <t>26
⚪ HOLD</t>
        </is>
      </c>
      <c r="AH7" s="555" t="inlineStr">
        <is>
          <t>Brian Meussner (Brand President NEW Jan 2026)
LinkedIn: https://www.linkedin.com/in/brian-meussner-43b22b7/
Central Michigan University 1999-2002. Detroit MI. Hospitality background.
Note: PRIOR Pres Marla Mock transitioned out; Meussner now leads Molly Maid USA + Mr. Handyman dual role.
Michael Silva-Nash, CFE (VP Operations Molly Maid USA): U Arkansas at Little Rock 2010-2014 ⭐ CFE Bilingual
LinkedIn (Silva-Nash): https://www.linkedin.com/in/michael-silva-nash-cfe-a759a448/</t>
        </is>
      </c>
      <c r="AI7" s="555" t="inlineStr">
        <is>
          <t>michael.silva-nash@mollymaid.com  |  michael.silva-nash@nbly.com</t>
        </is>
      </c>
      <c r="AJ7" s="555" t="inlineStr">
        <is>
          <t>Ben Lamb (corporate)
https://www.linkedin.com/in/ben-lamb-31ab6258/
ben.lamb@nbly.com
✓ Pattern confirmed via NeverBounce + Susan McIntosh direct. CFO since 2024.</t>
        </is>
      </c>
      <c r="AK7" s="555" t="inlineStr">
        <is>
          <t>Brad Stevenson (CDO corporate)
https://www.linkedin.com/in/brad-stevenson-537387a/
brad.stevenson@nbly.com
✓ Texas A&amp;M, Frisco TX. Master Texas A&amp;M.</t>
        </is>
      </c>
      <c r="AL7" s="518" t="inlineStr">
        <is>
          <t>Molly Maid Franchise Business Coach team celebrating Franchise Business Review survey results — operationally strong.
Cleaning vertical: lower telematics priority (no truck-heavy ops).</t>
        </is>
      </c>
      <c r="AM7" s="518" t="inlineStr">
        <is>
          <t>Cleaning brands historically lower-priority for FSM dispatch — Molly Maid likely on Booking software not full FSM.
Score: 26 ⚪ HOLD</t>
        </is>
      </c>
      <c r="AN7" s="518" t="inlineStr">
        <is>
          <t>Georgeanne Erickson (Maintain cluster Group Pres)
Jessica Eaddy — Molly Maid Franchise Business Coach team</t>
        </is>
      </c>
      <c r="AO7" s="555" t="inlineStr">
        <is>
          <t>🎯 STRONG: Brand Pres Michael Silva-Nash (CFE, started in family franchise N. Little Rock at age 21, bilingual). Bio: "spearheaded launch of AI SMS Lead Management and other cognitive intelligence tools." 2017 Franchisee of Year. AI-tool-friendly mindset.
👉 See Signal Intel: Neighborly section</t>
        </is>
      </c>
      <c r="AP7" s="555" t="inlineStr">
        <is>
          <t>Neighborly Reunion (~Oct 2026)
Cleaning industry events (ISSA, etc.)
Silva-Nash bilingual = Hispanic franchise events
👉 See Event Intelligence tab</t>
        </is>
      </c>
      <c r="AQ7" s="555" t="inlineStr">
        <is>
          <t>🎓 NEIGHBORLY:
• Michael Silva-Nash (Brand Pres): University of Arkansas at Little Rock 2010-2014, International Business + Foreign Language Business Admin ⭐
  - CFE, bilingual, LULAC Director of Public Relations
  - Wife Rebecca Nash. Father-in-law Pedro Silva. Maumelle AR. Family franchisee origin (started age 21).
• Georgeanne Erickson (Group Pres-Maintain): Pending school. Ex-CMO Fogo de Chão.
👉 See Signal Intel: Neighborly</t>
        </is>
      </c>
    </row>
    <row r="8" ht="280" customHeight="1" s="435">
      <c r="A8" s="159" t="n">
        <v>5</v>
      </c>
      <c r="B8" s="160" t="inlineStr">
        <is>
          <t>Mosquito Joe</t>
        </is>
      </c>
      <c r="C8" s="161" t="inlineStr">
        <is>
          <t>Neighborly</t>
        </is>
      </c>
      <c r="D8" s="162" t="inlineStr">
        <is>
          <t>Pest Control</t>
        </is>
      </c>
      <c r="E8" s="163" t="n">
        <v>400</v>
      </c>
      <c r="F8" s="163" t="n">
        <v>3</v>
      </c>
      <c r="G8" s="164" t="inlineStr">
        <is>
          <t>Partial/ST</t>
        </is>
      </c>
      <c r="H8" s="19" t="inlineStr">
        <is>
          <t>TBD</t>
        </is>
      </c>
      <c r="I8" s="180" t="inlineStr">
        <is>
          <t>HIGH — ServiceTitan mandated via Neighborly group contract — do not pitch FSM</t>
        </is>
      </c>
      <c r="J8" s="108" t="inlineStr">
        <is>
          <t>FieldRoutes (ST)</t>
        </is>
      </c>
      <c r="K8" s="167" t="inlineStr">
        <is>
          <t>🔴 High</t>
        </is>
      </c>
      <c r="L8" s="108" t="inlineStr">
        <is>
          <t>Smart Fleet USA</t>
        </is>
      </c>
      <c r="M8" s="166" t="inlineStr">
        <is>
          <t>No — Smart Fleet USA</t>
        </is>
      </c>
      <c r="N8" s="117" t="inlineStr">
        <is>
          <t>Validate via FDD</t>
        </is>
      </c>
      <c r="O8" s="109" t="inlineStr">
        <is>
          <t>❓ Unknown</t>
        </is>
      </c>
      <c r="P8" s="162" t="inlineStr">
        <is>
          <t>(Franchisee Owner)</t>
        </is>
      </c>
      <c r="Q8" s="162" t="inlineStr">
        <is>
          <t>Owner/Operator</t>
        </is>
      </c>
      <c r="R8" s="168" t="inlineStr">
        <is>
          <t>TBD — franchisee owner
⚠️ DO NOT approach — Neighborly PE intro required first
KKR → Charles Layne → Felix Gernburd — PE intro only</t>
        </is>
      </c>
      <c r="S8" s="169" t="inlineStr">
        <is>
          <t>TBD — office manager
Smart Fleet USA telematics (NOT GPS Insight)</t>
        </is>
      </c>
      <c r="T8" s="170" t="inlineStr">
        <is>
          <t>Smart Fleet USA (NOT GPS Insight)
⚠️ No warm GPS Insight intro path
Do not approach without PE intro confirmed</t>
        </is>
      </c>
      <c r="U8" s="171" t="n"/>
      <c r="V8" s="172" t="n"/>
      <c r="W8" s="173" t="inlineStr">
        <is>
          <t>Profile + conflict check</t>
        </is>
      </c>
      <c r="X8" s="173" t="n"/>
      <c r="Y8" s="174" t="inlineStr">
        <is>
          <t>Route recurring — strong FSM fit if not ST</t>
        </is>
      </c>
      <c r="Z8" s="118" t="inlineStr">
        <is>
          <t>Pull from Wisconsin/California FDD registry. Neighborly brand — verify ST mandate status first.</t>
        </is>
      </c>
      <c r="AA8" s="144" t="inlineStr">
        <is>
          <t>⚠️ ST mandated — no FSM pitch.
Telematics only if GPS Insight customer confirmed.
Do not run Insight Engine until PE intro secured.</t>
        </is>
      </c>
      <c r="AB8" s="175" t="n"/>
      <c r="AC8" s="175" t="n"/>
      <c r="AD8" s="175" t="n"/>
      <c r="AE8" s="176" t="n">
        <v>24</v>
      </c>
      <c r="AF8" s="177" t="inlineStr">
        <is>
          <t>+5</t>
        </is>
      </c>
      <c r="AG8" s="178" t="inlineStr">
        <is>
          <t>29
⚪ HOLD</t>
        </is>
      </c>
      <c r="AH8" s="555" t="inlineStr">
        <is>
          <t>Evan Brody (Brand President)
LinkedIn: https://www.linkedin.com/in/evansbrody/
Olin School of Business / Washington University in St. Louis ⭐
Dallas. Group Pres oversight: Georgeanne Erickson (Maintain cluster).</t>
        </is>
      </c>
      <c r="AI8" s="555" t="inlineStr">
        <is>
          <t>evan.brody@mosquitojoe.com  |  evan.brody@nbly.com</t>
        </is>
      </c>
      <c r="AJ8" s="555" t="inlineStr">
        <is>
          <t>Ben Lamb (corporate)
https://www.linkedin.com/in/ben-lamb-31ab6258/
ben.lamb@nbly.com
✓ Pattern confirmed via NeverBounce + Susan McIntosh direct. CFO since 2024.</t>
        </is>
      </c>
      <c r="AK8" s="555" t="inlineStr">
        <is>
          <t>Brad Stevenson (CDO corporate)
https://www.linkedin.com/in/brad-stevenson-537387a/
brad.stevenson@nbly.com
✓ Texas A&amp;M, Frisco TX. Master Texas A&amp;M.</t>
        </is>
      </c>
      <c r="AL8" s="518" t="inlineStr">
        <is>
          <t>Pest control vertical — overlaps directly with Mosquito Squad (Authority) and Mosquito Shield (Five Star).
Original Mosquito Squad founder = Scott Zide (now Empower CEO). History matters.</t>
        </is>
      </c>
      <c r="AM8" s="518" t="inlineStr">
        <is>
          <t>Pest control fleet management = strong telematics fit. But Smart Fleet USA mandate blocks GPS Insight angle.
Score: 29 ⚪ HOLD (49 non-ST 🟡 QUEUE)</t>
        </is>
      </c>
      <c r="AN8" s="518" t="inlineStr">
        <is>
          <t>Mosquito Joe rolls up to Georgeanne Erickson</t>
        </is>
      </c>
      <c r="AO8" s="555" t="inlineStr">
        <is>
          <t>Pest control = high-frequency route-based service = strong telematics ROI. ⚠️ Smart Fleet USA mandate applies.
👉 See Signal Intel: Neighborly section</t>
        </is>
      </c>
      <c r="AP8" s="555" t="inlineStr">
        <is>
          <t>Neighborly Reunion (~Oct 2026, Nashville/Gaylord Opryland likely)
16 brands + vendor partners attend
★ DO NOT attend without KKR intro
👉 See Event Intelligence tab</t>
        </is>
      </c>
      <c r="AQ8" s="555" t="inlineStr">
        <is>
          <t>🎓 NEIGHBORLY:
• Evan Brody (Brand Pres): Olin School of Business, Washington University in St. Louis ⭐
• Georgeanne Erickson (Group Pres-Maintain): Ex-CMO Fogo de Chão. School pending.
• Brad Stevenson (Neighborly CDO): Texas A&amp;M ⭐
👉 See Signal Intel: Neighborly</t>
        </is>
      </c>
    </row>
    <row r="9" ht="280" customHeight="1" s="435">
      <c r="A9" s="159" t="n">
        <v>6</v>
      </c>
      <c r="B9" s="160" t="inlineStr">
        <is>
          <t>Mr. Appliance</t>
        </is>
      </c>
      <c r="C9" s="161" t="inlineStr">
        <is>
          <t>Neighborly</t>
        </is>
      </c>
      <c r="D9" s="162" t="inlineStr">
        <is>
          <t>Appliance Repair</t>
        </is>
      </c>
      <c r="E9" s="163" t="n">
        <v>150</v>
      </c>
      <c r="F9" s="163" t="n">
        <v>3</v>
      </c>
      <c r="G9" s="164" t="inlineStr">
        <is>
          <t>Partial/ST</t>
        </is>
      </c>
      <c r="H9" s="19" t="inlineStr">
        <is>
          <t>TBD</t>
        </is>
      </c>
      <c r="I9" s="165" t="inlineStr">
        <is>
          <t>MED</t>
        </is>
      </c>
      <c r="J9" s="166" t="inlineStr">
        <is>
          <t>ServiceTitan</t>
        </is>
      </c>
      <c r="K9" s="167" t="inlineStr">
        <is>
          <t>🔴 High</t>
        </is>
      </c>
      <c r="L9" s="108" t="inlineStr">
        <is>
          <t>Smart Fleet USA</t>
        </is>
      </c>
      <c r="M9" s="166" t="inlineStr">
        <is>
          <t>No — Smart Fleet USA</t>
        </is>
      </c>
      <c r="N9" s="117" t="inlineStr">
        <is>
          <t>Validate via FDD</t>
        </is>
      </c>
      <c r="O9" s="109" t="inlineStr">
        <is>
          <t>❓ Unknown</t>
        </is>
      </c>
      <c r="P9" s="162" t="inlineStr">
        <is>
          <t>(Franchisee Owner)</t>
        </is>
      </c>
      <c r="Q9" s="162" t="inlineStr">
        <is>
          <t>Owner/Operator</t>
        </is>
      </c>
      <c r="R9" s="168" t="inlineStr">
        <is>
          <t>TBD — franchisee owner
⚠️ DO NOT approach — Neighborly PE intro required first
KKR → Charles Layne → Felix Gernburd — PE intro only</t>
        </is>
      </c>
      <c r="S9" s="169" t="inlineStr">
        <is>
          <t>TBD — office manager
Smart Fleet USA telematics (NOT GPS Insight)</t>
        </is>
      </c>
      <c r="T9" s="170" t="inlineStr">
        <is>
          <t>Smart Fleet USA (NOT GPS Insight)
⚠️ No warm GPS Insight intro path
Do not approach without PE intro confirmed</t>
        </is>
      </c>
      <c r="U9" s="171" t="n"/>
      <c r="V9" s="172" t="n"/>
      <c r="W9" s="173" t="inlineStr">
        <is>
          <t>Profile + conflict check</t>
        </is>
      </c>
      <c r="X9" s="173" t="n"/>
      <c r="Y9" s="174" t="inlineStr">
        <is>
          <t>Solo tech model</t>
        </is>
      </c>
      <c r="Z9" s="118" t="inlineStr">
        <is>
          <t>Pull from Wisconsin/California FDD registry. Neighborly brand — verify ST mandate status first.</t>
        </is>
      </c>
      <c r="AA9" s="144" t="inlineStr">
        <is>
          <t>⚠️ ST mandated — no FSM pitch.
Telematics only if GPS Insight customer confirmed.
Do not run Insight Engine until PE intro secured.</t>
        </is>
      </c>
      <c r="AB9" s="175" t="n"/>
      <c r="AC9" s="175" t="n"/>
      <c r="AD9" s="175" t="n"/>
      <c r="AE9" s="176" t="n">
        <v>26</v>
      </c>
      <c r="AF9" s="177" t="inlineStr">
        <is>
          <t>+5</t>
        </is>
      </c>
      <c r="AG9" s="178" t="inlineStr">
        <is>
          <t>31
⚪ HOLD</t>
        </is>
      </c>
      <c r="AH9" s="555" t="inlineStr">
        <is>
          <t>Glenn Lewis, CFE (Brand President)
LinkedIn: https://www.linkedin.com/in/glenn-lewis-cfe-28347913/
Baylor University 1982-85 + UT Austin 81-82 ⭐ CFE
China Spring TX. Wife Leslie + daughter Calli also Baylor (multi-gen).</t>
        </is>
      </c>
      <c r="AI9" s="555" t="inlineStr">
        <is>
          <t>glenn.lewis@mrappliance.com  |  glenn.lewis@nbly.com</t>
        </is>
      </c>
      <c r="AJ9" s="555" t="inlineStr">
        <is>
          <t>Ben Lamb (corporate)
https://www.linkedin.com/in/ben-lamb-31ab6258/
ben.lamb@nbly.com
✓ Pattern confirmed via NeverBounce + Susan McIntosh direct. CFO since 2024.</t>
        </is>
      </c>
      <c r="AK9" s="555" t="inlineStr">
        <is>
          <t>Brad Stevenson (CDO corporate)
https://www.linkedin.com/in/brad-stevenson-537387a/
brad.stevenson@nbly.com
✓ Texas A&amp;M, Frisco TX. Master Texas A&amp;M.</t>
        </is>
      </c>
      <c r="AL9" s="518" t="inlineStr">
        <is>
          <t>Appliance repair = scheduling-heavy vertical.
Neighborly Mosquito Joe team referenced in Lane Dixon's LinkedIn posts.</t>
        </is>
      </c>
      <c r="AM9" s="518" t="inlineStr">
        <is>
          <t>Score: 31 ⚪ HOLD
Lower-priority appliance vertical within Neighborly Maintain cluster.</t>
        </is>
      </c>
      <c r="AN9" s="518" t="inlineStr">
        <is>
          <t>Mr. Appliance rolls up to Georgeanne Erickson</t>
        </is>
      </c>
      <c r="AO9" s="555" t="inlineStr">
        <is>
          <t>Brand Pres: Glenn Lewis (Baylor 1982-85, CFE, Pres May 2024). Baylor cluster (4 connections in dataset).
👉 See Signal Intel: Neighborly section</t>
        </is>
      </c>
      <c r="AP9" s="555" t="inlineStr">
        <is>
          <t>Neighborly Reunion (~Oct 2026, Nashville/Gaylord Opryland likely)
16 brands + vendor partners attend
★ DO NOT attend without KKR intro
👉 See Event Intelligence tab</t>
        </is>
      </c>
      <c r="AQ9" s="555" t="inlineStr">
        <is>
          <t>🎓 BAYLOR ALUM ⭐ MULTI-GEN:
• Glenn Lewis (Brand Pres): Baylor 1982-1985 + UT Austin 1981-82, CFE
  - Wife Leslie also Baylor + daughter Calli also Baylor. China Spring TX
  - Career: Jim's Formal Wear 18 yrs → Decor Group → Dwyer/Neighborly
• Baylor cluster: 4 connections in dataset (Lewis, McCormick, Lamb CFO, Carter Smith Pink's)
• Georgeanne Erickson (Group Pres-Maintain oversight): Pending
👉 See Signal Intel: Neighborly</t>
        </is>
      </c>
    </row>
    <row r="10" ht="280" customHeight="1" s="435">
      <c r="A10" s="159" t="n">
        <v>7</v>
      </c>
      <c r="B10" s="160" t="inlineStr">
        <is>
          <t>Mr. Electric</t>
        </is>
      </c>
      <c r="C10" s="161" t="inlineStr">
        <is>
          <t>Neighborly</t>
        </is>
      </c>
      <c r="D10" s="162" t="inlineStr">
        <is>
          <t>Electrical</t>
        </is>
      </c>
      <c r="E10" s="163" t="n">
        <v>219</v>
      </c>
      <c r="F10" s="163" t="n">
        <v>5</v>
      </c>
      <c r="G10" s="164" t="inlineStr">
        <is>
          <t>Partial/ST</t>
        </is>
      </c>
      <c r="H10" s="19" t="inlineStr">
        <is>
          <t>TBD</t>
        </is>
      </c>
      <c r="I10" s="180" t="inlineStr">
        <is>
          <t>HIGH — ServiceTitan MANDATED — on ST since 2012, confirmed in FDD Item 11</t>
        </is>
      </c>
      <c r="J10" s="166" t="inlineStr">
        <is>
          <t>ServiceTitan</t>
        </is>
      </c>
      <c r="K10" s="167" t="inlineStr">
        <is>
          <t>🔴 High</t>
        </is>
      </c>
      <c r="L10" s="108" t="inlineStr">
        <is>
          <t>Smart Fleet USA</t>
        </is>
      </c>
      <c r="M10" s="166" t="inlineStr">
        <is>
          <t>No — Smart Fleet USA</t>
        </is>
      </c>
      <c r="N10" s="117" t="inlineStr">
        <is>
          <t>ProTradeNet preferred broker — validate FDD</t>
        </is>
      </c>
      <c r="O10" s="109" t="inlineStr">
        <is>
          <t>🟡 Medium</t>
        </is>
      </c>
      <c r="P10" s="162" t="inlineStr">
        <is>
          <t>(Franchisee Owner)</t>
        </is>
      </c>
      <c r="Q10" s="162" t="inlineStr">
        <is>
          <t>Owner/Operator</t>
        </is>
      </c>
      <c r="R10" s="168" t="inlineStr">
        <is>
          <t>TBD — franchisee owner
⚠️ DO NOT approach — Neighborly PE intro required first
KKR → Charles Layne → Felix Gernburd — PE intro only</t>
        </is>
      </c>
      <c r="S10" s="169" t="inlineStr">
        <is>
          <t>TBD — office manager
Smart Fleet USA telematics (NOT GPS Insight)</t>
        </is>
      </c>
      <c r="T10" s="170" t="inlineStr">
        <is>
          <t>Smart Fleet USA (NOT GPS Insight)
⚠️ No warm GPS Insight intro path
Do not approach without PE intro confirmed</t>
        </is>
      </c>
      <c r="U10" s="171" t="n"/>
      <c r="V10" s="172" t="n"/>
      <c r="W10" s="173" t="inlineStr">
        <is>
          <t>Profile + conflict check</t>
        </is>
      </c>
      <c r="X10" s="173" t="n"/>
      <c r="Y10" s="174" t="inlineStr">
        <is>
          <t>Licensed electricians — dispatch + compliance fit</t>
        </is>
      </c>
      <c r="Z10" s="144" t="inlineStr">
        <is>
          <t>SOURCE: ServiceTitan acquisition of Servant Systems 2020
ITEM 11: ServiceTitan REQUIRED — on ST since 2012 per ST press release.
Telematics: Smart Fleet USA confirmed.
CONFLICT: High on FSM.</t>
        </is>
      </c>
      <c r="AA10" s="144" t="inlineStr">
        <is>
          <t>⚠️ ST mandated — no FSM pitch.
Telematics only if GPS Insight customer confirmed.
Do not run Insight Engine until PE intro secured.</t>
        </is>
      </c>
      <c r="AB10" s="175" t="n"/>
      <c r="AC10" s="175" t="n"/>
      <c r="AD10" s="175" t="n"/>
      <c r="AE10" s="176" t="n">
        <v>36</v>
      </c>
      <c r="AF10" s="177" t="inlineStr">
        <is>
          <t>+5</t>
        </is>
      </c>
      <c r="AG10" s="178" t="inlineStr">
        <is>
          <t>41
⚪ HOLD</t>
        </is>
      </c>
      <c r="AH10" s="555" t="inlineStr">
        <is>
          <t>Josh McCormick (Brand President — RETURNED to Mr. Electric ~Aug 2025)
LinkedIn: https://www.linkedin.com/in/joshmccormickneighborly/
Baylor University BBA Mgmt 1999-2002 ⭐
Was Mr. Electric VP Sales, then HouseMaster Brand Pres, now back to Mr. Electric.</t>
        </is>
      </c>
      <c r="AI10" s="555" t="inlineStr">
        <is>
          <t>josh.mccormick@mrelectric.com  |  josh.mccormick@nbly.com</t>
        </is>
      </c>
      <c r="AJ10" s="555" t="inlineStr">
        <is>
          <t>Ben Lamb (corporate)
https://www.linkedin.com/in/ben-lamb-31ab6258/
ben.lamb@nbly.com
✓ Pattern confirmed via NeverBounce + Susan McIntosh direct. CFO since 2024.</t>
        </is>
      </c>
      <c r="AK10" s="555" t="inlineStr">
        <is>
          <t>Brad Stevenson (CDO corporate)
https://www.linkedin.com/in/brad-stevenson-537387a/
brad.stevenson@nbly.com
✓ Texas A&amp;M, Frisco TX. Master Texas A&amp;M.</t>
        </is>
      </c>
      <c r="AL10" s="518" t="inlineStr">
        <is>
          <t>Mr. Electric is referenced in Neighborly LinkedIn for franchisee training series — operational maturity.
Electric trade = full FSM target profile (dispatch, work orders, stock).</t>
        </is>
      </c>
      <c r="AM10" s="518" t="inlineStr">
        <is>
          <t>Higher FSM priority within Neighborly. ST mandate is the blocker.
Score: 41 ⚪ HOLD (61 non-ST 🟡 QUEUE) — non-ST locations are real opportunity.</t>
        </is>
      </c>
      <c r="AN10" s="518" t="inlineStr">
        <is>
          <t>Mr. Electric rolls up to Jason Himber</t>
        </is>
      </c>
      <c r="AO10" s="555" t="inlineStr">
        <is>
          <t>Brand Pres: Josh McCormick (Baylor BBA Mgmt 1999-2002, 18+ yrs at Neighborly, Mr. Electric Galveston peer group 10+ yrs, Pres Aug 2025).
👉 See Signal Intel: Neighborly section</t>
        </is>
      </c>
      <c r="AP10" s="555" t="inlineStr">
        <is>
          <t>Neighborly Reunion (~Oct 2026, Nashville/Gaylord Opryland likely)
16 brands + vendor partners attend
★ DO NOT attend without KKR intro
👉 See Event Intelligence tab</t>
        </is>
      </c>
      <c r="AQ10" s="555" t="inlineStr">
        <is>
          <t>🎓 BAYLOR ALUM:
• Josh McCormick (Brand Pres): Baylor BBA Mgmt 1999-2002 ⭐
• 18+ years Neighborly. Mr. Electric Galveston peer group 10+ years
• Baylor cluster: 4 connections total
👉 See Signal Intel: Neighborly</t>
        </is>
      </c>
    </row>
    <row r="11" ht="320" customHeight="1" s="435">
      <c r="A11" s="159" t="n">
        <v>8</v>
      </c>
      <c r="B11" s="160" t="inlineStr">
        <is>
          <t>Mr. Handyman</t>
        </is>
      </c>
      <c r="C11" s="161" t="inlineStr">
        <is>
          <t>Neighborly</t>
        </is>
      </c>
      <c r="D11" s="162" t="inlineStr">
        <is>
          <t>Handyman</t>
        </is>
      </c>
      <c r="E11" s="163" t="n">
        <v>150</v>
      </c>
      <c r="F11" s="163" t="n">
        <v>3</v>
      </c>
      <c r="G11" s="164" t="inlineStr">
        <is>
          <t>Partial/ST</t>
        </is>
      </c>
      <c r="H11" s="19" t="inlineStr">
        <is>
          <t>TBD</t>
        </is>
      </c>
      <c r="I11" s="165" t="inlineStr">
        <is>
          <t>MED</t>
        </is>
      </c>
      <c r="J11" s="166" t="inlineStr">
        <is>
          <t>ServiceTitan</t>
        </is>
      </c>
      <c r="K11" s="167" t="inlineStr">
        <is>
          <t>🔴 High</t>
        </is>
      </c>
      <c r="L11" s="108" t="inlineStr">
        <is>
          <t>Smart Fleet USA</t>
        </is>
      </c>
      <c r="M11" s="166" t="inlineStr">
        <is>
          <t>No — Smart Fleet USA</t>
        </is>
      </c>
      <c r="N11" s="117" t="inlineStr">
        <is>
          <t>Validate via FDD</t>
        </is>
      </c>
      <c r="O11" s="109" t="inlineStr">
        <is>
          <t>❓ Unknown</t>
        </is>
      </c>
      <c r="P11" s="162" t="inlineStr">
        <is>
          <t>(Franchisee Owner)</t>
        </is>
      </c>
      <c r="Q11" s="162" t="inlineStr">
        <is>
          <t>Owner/Operator</t>
        </is>
      </c>
      <c r="R11" s="168" t="inlineStr">
        <is>
          <t>TBD — franchisee owner
⚠️ DO NOT approach — Neighborly PE intro required first
KKR → Charles Layne → Felix Gernburd — PE intro only</t>
        </is>
      </c>
      <c r="S11" s="169" t="inlineStr">
        <is>
          <t>TBD — office manager
Smart Fleet USA telematics (NOT GPS Insight)</t>
        </is>
      </c>
      <c r="T11" s="170" t="inlineStr">
        <is>
          <t>Smart Fleet USA (NOT GPS Insight)
⚠️ No warm GPS Insight intro path
Do not approach without PE intro confirmed</t>
        </is>
      </c>
      <c r="U11" s="171" t="n"/>
      <c r="V11" s="172" t="n"/>
      <c r="W11" s="173" t="inlineStr">
        <is>
          <t>Profile + conflict check</t>
        </is>
      </c>
      <c r="X11" s="173" t="n"/>
      <c r="Y11" s="174" t="inlineStr">
        <is>
          <t>Multi-trade skilled service</t>
        </is>
      </c>
      <c r="Z11" s="144" t="inlineStr">
        <is>
          <t>SOURCE: ServiceTitan acquisition of Servant Systems 2020
ITEM 11: ServiceTitan REQUIRED — on ST since 2012.
Telematics: Smart Fleet USA confirmed.
CONFLICT: High on FSM.</t>
        </is>
      </c>
      <c r="AA11" s="144" t="inlineStr">
        <is>
          <t>⚠️ ST mandated — no FSM pitch.
Telematics only if GPS Insight customer confirmed.
Do not run Insight Engine until PE intro secured.</t>
        </is>
      </c>
      <c r="AB11" s="175" t="n"/>
      <c r="AC11" s="175" t="n"/>
      <c r="AD11" s="175" t="n"/>
      <c r="AE11" s="176" t="n">
        <v>19</v>
      </c>
      <c r="AF11" s="177" t="inlineStr">
        <is>
          <t>+5</t>
        </is>
      </c>
      <c r="AG11" s="178" t="inlineStr">
        <is>
          <t>24
⚪ HOLD</t>
        </is>
      </c>
      <c r="AH11" s="555" t="inlineStr">
        <is>
          <t>Brian Meussner (Brand President NEW Jan 2026 — ALSO Molly Maid)
LinkedIn: https://www.linkedin.com/in/brian-meussner-43b22b7/
Central Michigan University 1999-2002. Detroit MI.
Hospitality background, dual brand role with Molly Maid USA.
Jon Gallagher (executive partner per Meussner LinkedIn posts).</t>
        </is>
      </c>
      <c r="AI11" s="555" t="inlineStr">
        <is>
          <t>brian.meussner@mrhandyman.com  |  brian.meussner@nbly.com</t>
        </is>
      </c>
      <c r="AJ11" s="555" t="inlineStr">
        <is>
          <t>Ben Lamb (corporate)
https://www.linkedin.com/in/ben-lamb-31ab6258/
ben.lamb@nbly.com
✓ Pattern confirmed via NeverBounce + Susan McIntosh direct. CFO since 2024.</t>
        </is>
      </c>
      <c r="AK11" s="555" t="inlineStr">
        <is>
          <t>Brad Stevenson (CDO corporate)
https://www.linkedin.com/in/brad-stevenson-537387a/
brad.stevenson@nbly.com
✓ Texas A&amp;M, Frisco TX. Master Texas A&amp;M.</t>
        </is>
      </c>
      <c r="AL11" s="518" t="inlineStr">
        <is>
          <t>Handyman = generalist trade. Booking-driven scheduling more than dispatch-heavy.</t>
        </is>
      </c>
      <c r="AM11" s="518" t="inlineStr">
        <is>
          <t>Score: 24 ⚪ HOLD
Lower priority within Neighborly Repair.</t>
        </is>
      </c>
      <c r="AN11" s="518" t="inlineStr">
        <is>
          <t>Mr. Handyman rolls up to Jason Himber
Mr. Rooter brand: Matt Kunz (Brand Pres since 2023)
Vera Peterson (Group Pres Maintain — re Five Star Painting which moves to Maintain cluster)
Mary Kay Liston (Former Five Star Painting president)
Matt Phillips (Former Neighborly COO + Five Star Painting Pres)
Amy Davis (Five Star Painting VP Operations)</t>
        </is>
      </c>
      <c r="AO11" s="555" t="inlineStr">
        <is>
          <t>Brand Pres: Brian Meussner (Central Michigan Univ 1999-2002, hospitality background, Pres Jan 2026, Detroit MI). NEW = honeymoon.
👉 See Signal Intel: Neighborly section</t>
        </is>
      </c>
      <c r="AP11" s="555" t="inlineStr">
        <is>
          <t>Neighborly Reunion (~Oct 2026, Nashville/Gaylord Opryland likely)
16 brands + vendor partners attend
★ DO NOT attend without KKR intro
👉 See Event Intelligence tab</t>
        </is>
      </c>
      <c r="AQ11" s="555" t="inlineStr">
        <is>
          <t>🎓 NEIGHBORLY:
• Brian Meussner (Brand Pres NEW Jan 2026): Central Michigan University 1999-2002, hospitality background, Detroit MI ⭐
• Jason Himber (Group Pres-Repair oversight): Pending
👉 See Signal Intel: Neighborly</t>
        </is>
      </c>
    </row>
    <row r="12" ht="280" customHeight="1" s="435">
      <c r="A12" s="159" t="n">
        <v>9</v>
      </c>
      <c r="B12" s="160" t="inlineStr">
        <is>
          <t>Mr. Rooter</t>
        </is>
      </c>
      <c r="C12" s="161" t="inlineStr">
        <is>
          <t>Neighborly</t>
        </is>
      </c>
      <c r="D12" s="162" t="inlineStr">
        <is>
          <t>Plumbing</t>
        </is>
      </c>
      <c r="E12" s="163" t="n">
        <v>237</v>
      </c>
      <c r="F12" s="163" t="n">
        <v>6</v>
      </c>
      <c r="G12" s="164" t="inlineStr">
        <is>
          <t>Partial/ST</t>
        </is>
      </c>
      <c r="H12" s="19" t="inlineStr">
        <is>
          <t>TBD</t>
        </is>
      </c>
      <c r="I12" s="180" t="inlineStr">
        <is>
          <t>HIGH — ServiceTitan MANDATED — on ST since 2012, confirmed in FDD Item 11</t>
        </is>
      </c>
      <c r="J12" s="166" t="inlineStr">
        <is>
          <t>ServiceTitan</t>
        </is>
      </c>
      <c r="K12" s="167" t="inlineStr">
        <is>
          <t>🔴 High</t>
        </is>
      </c>
      <c r="L12" s="108" t="inlineStr">
        <is>
          <t>Smart Fleet USA</t>
        </is>
      </c>
      <c r="M12" s="166" t="inlineStr">
        <is>
          <t>No — Smart Fleet USA</t>
        </is>
      </c>
      <c r="N12" s="117" t="inlineStr">
        <is>
          <t>ProTradeNet preferred broker — validate FDD</t>
        </is>
      </c>
      <c r="O12" s="109" t="inlineStr">
        <is>
          <t>🟡 Medium</t>
        </is>
      </c>
      <c r="P12" s="162" t="inlineStr">
        <is>
          <t>(Franchisee Owner)</t>
        </is>
      </c>
      <c r="Q12" s="162" t="inlineStr">
        <is>
          <t>Owner/Operator</t>
        </is>
      </c>
      <c r="R12" s="168" t="inlineStr">
        <is>
          <t>TBD — franchisee owner
⚠️ DO NOT approach — Neighborly PE intro required first
KKR → Charles Layne → Felix Gernburd — PE intro only</t>
        </is>
      </c>
      <c r="S12" s="169" t="inlineStr">
        <is>
          <t>TBD — office manager
Smart Fleet USA telematics (NOT GPS Insight)</t>
        </is>
      </c>
      <c r="T12" s="170" t="inlineStr">
        <is>
          <t>Smart Fleet USA (NOT GPS Insight)
⚠️ No warm GPS Insight intro path
Do not approach without PE intro confirmed</t>
        </is>
      </c>
      <c r="U12" s="171" t="n"/>
      <c r="V12" s="172" t="n"/>
      <c r="W12" s="173" t="inlineStr">
        <is>
          <t>Profile + conflict check</t>
        </is>
      </c>
      <c r="X12" s="173" t="n"/>
      <c r="Y12" s="174" t="inlineStr">
        <is>
          <t>237 locations FDD 2025. Emergency + scheduled dispatch</t>
        </is>
      </c>
      <c r="Z12" s="144" t="inlineStr">
        <is>
          <t>SOURCE: Mr. Rooter FDD 2025 / franchiseba.com 2026
ITEM 11: ServiceTitan REQUIRED — named explicitly. On ST since 2012.
Also required: Qvinci, QuickBooks Online.
ITEM 19: 188 franchised businesses reporting. Avg not disclosed in public summaries.
Telematics: Smart Fleet USA (Neighborly preferred provider, confirmed).
CONFLICT: High on FSM. No GPS Insight path.</t>
        </is>
      </c>
      <c r="AA12" s="144" t="inlineStr">
        <is>
          <t>⚠️ ST mandated — no FSM pitch.
Telematics only if GPS Insight customer confirmed.
Do not run Insight Engine until PE intro secured.</t>
        </is>
      </c>
      <c r="AB12" s="175" t="n"/>
      <c r="AC12" s="175" t="n"/>
      <c r="AD12" s="175" t="n"/>
      <c r="AE12" s="176" t="n">
        <v>36</v>
      </c>
      <c r="AF12" s="177" t="inlineStr">
        <is>
          <t>+5</t>
        </is>
      </c>
      <c r="AG12" s="178" t="inlineStr">
        <is>
          <t>41
⚪ HOLD</t>
        </is>
      </c>
      <c r="AH12" s="555" t="inlineStr">
        <is>
          <t>Matt Kunz (PRIOR President — LEFT Jan 2026 for Fastest Labs CEO)
LinkedIn: https://www.linkedin.com/in/mattkunz/
WSU Carson MBA + Northern Illinois BBA + Morrison Tech AS ⭐⭐
NEW Mr. Rooter Brand Pres: pending public announcement.</t>
        </is>
      </c>
      <c r="AI12" s="555" t="inlineStr">
        <is>
          <t>chris.porcelli@mrrooter.com  |  chris.porcelli@nbly.com</t>
        </is>
      </c>
      <c r="AJ12" s="555" t="inlineStr">
        <is>
          <t>Ben Lamb (corporate)
https://www.linkedin.com/in/ben-lamb-31ab6258/
ben.lamb@nbly.com
✓ Pattern confirmed via NeverBounce + Susan McIntosh direct. CFO since 2024.</t>
        </is>
      </c>
      <c r="AK12" s="555" t="inlineStr">
        <is>
          <t>Brad Stevenson (CDO corporate)
https://www.linkedin.com/in/brad-stevenson-537387a/
brad.stevenson@nbly.com
✓ Texas A&amp;M, Frisco TX. Master Texas A&amp;M.</t>
        </is>
      </c>
      <c r="AL12" s="518" t="inlineStr">
        <is>
          <t>Plumbing trade = ServiceTitan stronghold, where ST competes most aggressively.
Doyle James = past brand president, started as Mr. Rooter franchisee.</t>
        </is>
      </c>
      <c r="AM12" s="518" t="inlineStr">
        <is>
          <t>ST mandate locked in. Lower priority.
Score: 41 ⚪ HOLD</t>
        </is>
      </c>
      <c r="AN12" s="518" t="inlineStr">
        <is>
          <t>Mr. Rooter independent franchisees roll up to Jason Himber
Matt Crowley oversees corporately-owned Mr. Rooter / Plumb Enterprises</t>
        </is>
      </c>
      <c r="AO12" s="555" t="inlineStr">
        <is>
          <t>Plumbing = highest FSM intensity (truck rolls, dispatch, parts). ⚠️ ServiceTitan + Smart Fleet USA mandated.
👉 See Signal Intel: Neighborly section</t>
        </is>
      </c>
      <c r="AP12" s="555" t="inlineStr">
        <is>
          <t>Neighborly Reunion (~Oct 2026, Nashville/Gaylord Opryland likely)
16 brands + vendor partners attend
★ DO NOT attend without KKR intro
👉 See Event Intelligence tab</t>
        </is>
      </c>
      <c r="AQ12" s="555" t="inlineStr">
        <is>
          <t>🎓 ⚠️ LEADERSHIP TRANSITION: Matt Kunz LEFT Mr. Rooter for Fastest Labs CEO (Jan 2026). New Mr. Rooter Brand Pres pending.
• Matt Kunz (former, now Fastest Labs): WSU Carson MBA 2014-2015 + Northern Illinois BBA + Morrison Tech AS
• Jason Himber (Group Pres-Repair, oversees Mr. Rooter): Pending school. 15+ yrs.
• Ben Lamb (Neighborly CFO): Baylor BBA ⭐
👉 See Signal Intel: Neighborly</t>
        </is>
      </c>
    </row>
    <row r="13" ht="280" customHeight="1" s="435">
      <c r="A13" s="159" t="n">
        <v>10</v>
      </c>
      <c r="B13" s="160" t="inlineStr">
        <is>
          <t>Precision Door Service</t>
        </is>
      </c>
      <c r="C13" s="161" t="inlineStr">
        <is>
          <t>Neighborly</t>
        </is>
      </c>
      <c r="D13" s="162" t="inlineStr">
        <is>
          <t>Garage Doors</t>
        </is>
      </c>
      <c r="E13" s="163" t="n">
        <v>150</v>
      </c>
      <c r="F13" s="163" t="n">
        <v>3</v>
      </c>
      <c r="G13" s="164" t="inlineStr">
        <is>
          <t>Partial/ST</t>
        </is>
      </c>
      <c r="H13" s="19" t="inlineStr">
        <is>
          <t>TBD</t>
        </is>
      </c>
      <c r="I13" s="180" t="inlineStr">
        <is>
          <t>HIGH — ServiceTitan mandated via Neighborly group contract — do not pitch FSM</t>
        </is>
      </c>
      <c r="J13" s="166" t="inlineStr">
        <is>
          <t>ServiceTitan</t>
        </is>
      </c>
      <c r="K13" s="167" t="inlineStr">
        <is>
          <t>🔴 High</t>
        </is>
      </c>
      <c r="L13" s="108" t="inlineStr">
        <is>
          <t>Smart Fleet USA</t>
        </is>
      </c>
      <c r="M13" s="166" t="inlineStr">
        <is>
          <t>No — Smart Fleet USA</t>
        </is>
      </c>
      <c r="N13" s="117" t="inlineStr">
        <is>
          <t>Validate via FDD</t>
        </is>
      </c>
      <c r="O13" s="109" t="inlineStr">
        <is>
          <t>❓ Unknown</t>
        </is>
      </c>
      <c r="P13" s="162" t="inlineStr">
        <is>
          <t>(Franchisee Owner)</t>
        </is>
      </c>
      <c r="Q13" s="162" t="inlineStr">
        <is>
          <t>Owner/Operator</t>
        </is>
      </c>
      <c r="R13" s="168" t="inlineStr">
        <is>
          <t>TBD — franchisee owner
⚠️ DO NOT approach — Neighborly PE intro required first
KKR → Charles Layne → Felix Gernburd — PE intro only</t>
        </is>
      </c>
      <c r="S13" s="169" t="inlineStr">
        <is>
          <t>TBD — office manager
Smart Fleet USA telematics (NOT GPS Insight)</t>
        </is>
      </c>
      <c r="T13" s="170" t="inlineStr">
        <is>
          <t>Smart Fleet USA (NOT GPS Insight)
⚠️ No warm GPS Insight intro path
Do not approach without PE intro confirmed</t>
        </is>
      </c>
      <c r="U13" s="171" t="n"/>
      <c r="V13" s="172" t="n"/>
      <c r="W13" s="173" t="inlineStr">
        <is>
          <t>Profile + conflict check</t>
        </is>
      </c>
      <c r="X13" s="173" t="n"/>
      <c r="Y13" s="174" t="inlineStr">
        <is>
          <t>High dispatch fit</t>
        </is>
      </c>
      <c r="Z13" s="118" t="inlineStr">
        <is>
          <t>Pull from Wisconsin/California FDD registry. Neighborly brand — verify ST mandate status first.</t>
        </is>
      </c>
      <c r="AA13" s="144" t="inlineStr">
        <is>
          <t>⚠️ ST mandated — no FSM pitch.
Telematics only if GPS Insight customer confirmed.
Do not run Insight Engine until PE intro secured.</t>
        </is>
      </c>
      <c r="AB13" s="175" t="n"/>
      <c r="AC13" s="175" t="n"/>
      <c r="AD13" s="175" t="n"/>
      <c r="AE13" s="176" t="n">
        <v>19</v>
      </c>
      <c r="AF13" s="177" t="inlineStr">
        <is>
          <t>+5</t>
        </is>
      </c>
      <c r="AG13" s="178" t="inlineStr">
        <is>
          <t>24
⚪ HOLD</t>
        </is>
      </c>
      <c r="AH13" s="555" t="inlineStr">
        <is>
          <t>Mike Brickner (Brand President since 2011)
LinkedIn: https://www.linkedin.com/in/mike-brickner-precision/
Columbia College ⭐. Ex-Brevard County Sheriff's 911 Center Director.
Reliable Residential = largest franchisee operator (per FEP April 2025 PE deal).</t>
        </is>
      </c>
      <c r="AI13" s="555" t="inlineStr">
        <is>
          <t>mike.brickner@precisiondoor.com  |  mike.brickner@nbly.com</t>
        </is>
      </c>
      <c r="AJ13" s="555" t="inlineStr">
        <is>
          <t>Ben Lamb (corporate)
https://www.linkedin.com/in/ben-lamb-31ab6258/
ben.lamb@nbly.com
✓ Pattern confirmed via NeverBounce + Susan McIntosh direct. CFO since 2024.</t>
        </is>
      </c>
      <c r="AK13" s="555" t="inlineStr">
        <is>
          <t>Brad Stevenson (CDO corporate)
https://www.linkedin.com/in/brad-stevenson-537387a/
brad.stevenson@nbly.com
✓ Texas A&amp;M, Frisco TX. Master Texas A&amp;M.</t>
        </is>
      </c>
      <c r="AL13" s="518" t="inlineStr">
        <is>
          <t>Precision Garage Door Service hosted event at Google Atlanta (per Lee Downing LinkedIn).
Garage door = call-out + on-site service model. Strong FSM fit.</t>
        </is>
      </c>
      <c r="AM13" s="518" t="inlineStr">
        <is>
          <t>Score: 24 ⚪ HOLD
Tied to Repair cluster ST mandate.</t>
        </is>
      </c>
      <c r="AN13" s="518" t="inlineStr">
        <is>
          <t>Precision Garage Door rolls up to Jason Himber</t>
        </is>
      </c>
      <c r="AO13" s="555" t="inlineStr">
        <is>
          <t>Brand Pres: Mike Brickner (Columbia College, Titusville FL, ex-Brevard County Sheriff's Office Director of 911 Center, at Precision since 2011).
👉 See Signal Intel: Neighborly section</t>
        </is>
      </c>
      <c r="AP13" s="555" t="inlineStr">
        <is>
          <t>Neighborly Reunion (~Oct 2026, Nashville/Gaylord Opryland likely)
16 brands + vendor partners attend
★ DO NOT attend without KKR intro
👉 See Event Intelligence tab</t>
        </is>
      </c>
      <c r="AQ13" s="555" t="inlineStr">
        <is>
          <t>🎓 Mike Brickner (Brand Pres): Columbia College, Titusville FL. Ex-Brevard County Sheriff's Office Director of 911 Center. At Precision since 2011.
👉 See Signal Intel: Neighborly</t>
        </is>
      </c>
    </row>
    <row r="14" ht="280" customHeight="1" s="435">
      <c r="A14" s="159" t="n">
        <v>11</v>
      </c>
      <c r="B14" s="160" t="inlineStr">
        <is>
          <t>Rainbow Restoration</t>
        </is>
      </c>
      <c r="C14" s="161" t="inlineStr">
        <is>
          <t>Neighborly</t>
        </is>
      </c>
      <c r="D14" s="162" t="inlineStr">
        <is>
          <t>Restoration</t>
        </is>
      </c>
      <c r="E14" s="163" t="n">
        <v>330</v>
      </c>
      <c r="F14" s="163" t="n">
        <v>5</v>
      </c>
      <c r="G14" s="164" t="inlineStr">
        <is>
          <t>Partial/ST</t>
        </is>
      </c>
      <c r="H14" s="19" t="inlineStr">
        <is>
          <t>TBD</t>
        </is>
      </c>
      <c r="I14" s="165" t="inlineStr">
        <is>
          <t>MED</t>
        </is>
      </c>
      <c r="J14" s="166" t="inlineStr">
        <is>
          <t>ServiceTitan</t>
        </is>
      </c>
      <c r="K14" s="167" t="inlineStr">
        <is>
          <t>🔴 High</t>
        </is>
      </c>
      <c r="L14" s="108" t="inlineStr">
        <is>
          <t>Smart Fleet USA</t>
        </is>
      </c>
      <c r="M14" s="166" t="inlineStr">
        <is>
          <t>No — Smart Fleet USA</t>
        </is>
      </c>
      <c r="N14" s="108" t="inlineStr">
        <is>
          <t>Insurance dispatch + ProTradeNet broker</t>
        </is>
      </c>
      <c r="O14" s="120" t="inlineStr">
        <is>
          <t>🔴 High</t>
        </is>
      </c>
      <c r="P14" s="162" t="inlineStr">
        <is>
          <t>(Franchisee Owner)</t>
        </is>
      </c>
      <c r="Q14" s="162" t="inlineStr">
        <is>
          <t>Owner/Operator</t>
        </is>
      </c>
      <c r="R14" s="168" t="inlineStr">
        <is>
          <t>TBD — franchisee owner
⚠️ DO NOT approach — Neighborly PE intro required first
KKR → Charles Layne → Felix Gernburd — PE intro only</t>
        </is>
      </c>
      <c r="S14" s="169" t="inlineStr">
        <is>
          <t>TBD — office manager
Smart Fleet USA telematics (NOT GPS Insight)</t>
        </is>
      </c>
      <c r="T14" s="170" t="inlineStr">
        <is>
          <t>Smart Fleet USA (NOT GPS Insight)
⚠️ No warm GPS Insight intro path
Do not approach without PE intro confirmed</t>
        </is>
      </c>
      <c r="U14" s="171" t="n"/>
      <c r="V14" s="172" t="n"/>
      <c r="W14" s="173" t="inlineStr">
        <is>
          <t>Profile + conflict check</t>
        </is>
      </c>
      <c r="X14" s="173" t="n"/>
      <c r="Y14" s="174" t="inlineStr">
        <is>
          <t>Event-driven restoration crews</t>
        </is>
      </c>
      <c r="Z14" s="118" t="inlineStr">
        <is>
          <t>Pull from Wisconsin/California FDD registry. Neighborly brand — verify ST mandate status first.</t>
        </is>
      </c>
      <c r="AA14" s="144" t="inlineStr">
        <is>
          <t>⚠️ ST mandated — no FSM pitch.
Telematics only if GPS Insight customer confirmed.
Do not run Insight Engine until PE intro secured.</t>
        </is>
      </c>
      <c r="AB14" s="175" t="n"/>
      <c r="AC14" s="175" t="n"/>
      <c r="AD14" s="175" t="n"/>
      <c r="AE14" s="176" t="n">
        <v>39</v>
      </c>
      <c r="AF14" s="177" t="inlineStr">
        <is>
          <t>+5</t>
        </is>
      </c>
      <c r="AG14" s="178" t="inlineStr">
        <is>
          <t>44
⚪ HOLD</t>
        </is>
      </c>
      <c r="AH14" s="555" t="inlineStr">
        <is>
          <t>Josh Miller (Brand President)
LinkedIn: pending direct verification (search 'Josh Miller Rainbow Restoration Neighborly')
Predecessor Rob White (NOW Monster Tree Service Brand Pres at Authority Brands since Nov 2023)
LinkedIn (Rob White): https://www.linkedin.com/in/josh-miller-cr-cfe-277111256/
Rob: Virginia Tech BS Finance + VCU MBA ⭐</t>
        </is>
      </c>
      <c r="AI14" s="555" t="inlineStr">
        <is>
          <t>josh.miller@rainbowintl.com  |  josh.miller@nbly.com</t>
        </is>
      </c>
      <c r="AJ14" s="555" t="inlineStr">
        <is>
          <t>Ben Lamb (corporate)
https://www.linkedin.com/in/ben-lamb-31ab6258/
ben.lamb@nbly.com
✓ Pattern confirmed via NeverBounce + Susan McIntosh direct. CFO since 2024.</t>
        </is>
      </c>
      <c r="AK14" s="555" t="inlineStr">
        <is>
          <t>Brad Stevenson (CDO corporate)
https://www.linkedin.com/in/brad-stevenson-537387a/
brad.stevenson@nbly.com
✓ Texas A&amp;M, Frisco TX. Master Texas A&amp;M.</t>
        </is>
      </c>
      <c r="AL14" s="518" t="inlineStr">
        <is>
          <t>Restoration vertical = INSURANCE-CARRIER DRIVEN. Direct overlap with BELFOR.
Mr. Rooter Plumbing has rebrand-pivot history with Plumb Enterprises corporate.</t>
        </is>
      </c>
      <c r="AM14" s="518" t="inlineStr">
        <is>
          <t>Score: 44 ⚪ HOLD
Restoration vertical matches BELFOR playbook — insurance carrier angle, not FSM features.</t>
        </is>
      </c>
      <c r="AN14" s="518" t="inlineStr">
        <is>
          <t>Rainbow Restoration rolls up to Jason Himber</t>
        </is>
      </c>
      <c r="AO14" s="555" t="inlineStr">
        <is>
          <t>⚠️ Smart Fleet USA + ServiceTitan zone (most brands).
Corporate FSM decision-maker: Gagan Sinha (CIO, Sept 2025).
Approach via parent franchisor (KKR intro required).
👉 See Signal Intel: Neighborly section</t>
        </is>
      </c>
      <c r="AP14" s="555" t="inlineStr">
        <is>
          <t>Neighborly Reunion (~Oct 2026, Nashville/Gaylord Opryland likely)
16 brands + vendor partners attend
★ DO NOT attend without KKR intro
👉 See Event Intelligence tab</t>
        </is>
      </c>
      <c r="AQ14" s="555" t="inlineStr">
        <is>
          <t>🎓 NEIGHBORLY:
• Josh Miller (Brand Pres): Pending verification
• Predecessor Rob White (now Monster Tree Service Brand Pres at Authority): Virginia Tech BS Finance + VCU MBA ⭐
• Jason Himber (Group Pres-Repair): Pending
👉 See Signal Intel: Neighborly</t>
        </is>
      </c>
    </row>
    <row r="15" ht="280" customHeight="1" s="435">
      <c r="A15" s="159" t="n">
        <v>12</v>
      </c>
      <c r="B15" s="160" t="inlineStr">
        <is>
          <t>Window Genie</t>
        </is>
      </c>
      <c r="C15" s="161" t="inlineStr">
        <is>
          <t>Neighborly</t>
        </is>
      </c>
      <c r="D15" s="162" t="inlineStr">
        <is>
          <t>Window/Exterior</t>
        </is>
      </c>
      <c r="E15" s="163" t="n">
        <v>200</v>
      </c>
      <c r="F15" s="163" t="n">
        <v>3</v>
      </c>
      <c r="G15" s="164" t="inlineStr">
        <is>
          <t>Partial/ST</t>
        </is>
      </c>
      <c r="H15" s="19" t="inlineStr">
        <is>
          <t>TBD</t>
        </is>
      </c>
      <c r="I15" s="165" t="inlineStr">
        <is>
          <t>MED</t>
        </is>
      </c>
      <c r="J15" s="166" t="inlineStr">
        <is>
          <t>ServiceTitan</t>
        </is>
      </c>
      <c r="K15" s="167" t="inlineStr">
        <is>
          <t>🔴 High</t>
        </is>
      </c>
      <c r="L15" s="108" t="inlineStr">
        <is>
          <t>Smart Fleet USA</t>
        </is>
      </c>
      <c r="M15" s="166" t="inlineStr">
        <is>
          <t>No — Smart Fleet USA</t>
        </is>
      </c>
      <c r="N15" s="117" t="inlineStr">
        <is>
          <t>Validate via FDD</t>
        </is>
      </c>
      <c r="O15" s="109" t="inlineStr">
        <is>
          <t>❓ Unknown</t>
        </is>
      </c>
      <c r="P15" s="162" t="inlineStr">
        <is>
          <t>(Franchisee Owner)</t>
        </is>
      </c>
      <c r="Q15" s="162" t="inlineStr">
        <is>
          <t>Owner/Operator</t>
        </is>
      </c>
      <c r="R15" s="168" t="inlineStr">
        <is>
          <t>TBD — franchisee owner
⚠️ DO NOT approach — Neighborly PE intro required first
KKR → Charles Layne → Felix Gernburd — PE intro only</t>
        </is>
      </c>
      <c r="S15" s="169" t="inlineStr">
        <is>
          <t>TBD — office manager
Smart Fleet USA telematics (NOT GPS Insight)</t>
        </is>
      </c>
      <c r="T15" s="170" t="inlineStr">
        <is>
          <t>Smart Fleet USA (NOT GPS Insight)
⚠️ No warm GPS Insight intro path
Do not approach without PE intro confirmed</t>
        </is>
      </c>
      <c r="U15" s="171" t="n"/>
      <c r="V15" s="172" t="n"/>
      <c r="W15" s="173" t="inlineStr">
        <is>
          <t>Profile + conflict check</t>
        </is>
      </c>
      <c r="X15" s="173" t="n"/>
      <c r="Y15" s="174" t="inlineStr">
        <is>
          <t>Seasonal recurring route</t>
        </is>
      </c>
      <c r="Z15" s="118" t="inlineStr">
        <is>
          <t>Pull from Wisconsin/California FDD registry. Neighborly brand — verify ST mandate status first.</t>
        </is>
      </c>
      <c r="AA15" s="144" t="inlineStr">
        <is>
          <t>⚠️ ST mandated — no FSM pitch.
Telematics only if GPS Insight customer confirmed.
Do not run Insight Engine until PE intro secured.</t>
        </is>
      </c>
      <c r="AB15" s="175" t="n"/>
      <c r="AC15" s="175" t="n"/>
      <c r="AD15" s="175" t="n"/>
      <c r="AE15" s="176" t="n">
        <v>21</v>
      </c>
      <c r="AF15" s="177" t="inlineStr">
        <is>
          <t>+5</t>
        </is>
      </c>
      <c r="AG15" s="178" t="inlineStr">
        <is>
          <t>26
⚪ HOLD</t>
        </is>
      </c>
      <c r="AH15" s="555" t="inlineStr">
        <is>
          <t>Chris Bruno, CFE (Brand President — appointed under Erickson Group)
LinkedIn: https://www.linkedin.com/in/chris-bruno-cfe-b895122a1/
Tarleton State University BAS Business Admin 2018-2020 ⭐ CFE
Came up via Five Star Painting Franchise Business Consultant role.</t>
        </is>
      </c>
      <c r="AI15" s="555" t="inlineStr">
        <is>
          <t>chris.bruno@windowgenie.com  |  chris.bruno@nbly.com</t>
        </is>
      </c>
      <c r="AJ15" s="555" t="inlineStr">
        <is>
          <t>Ben Lamb (corporate)
https://www.linkedin.com/in/ben-lamb-31ab6258/
ben.lamb@nbly.com
✓ Pattern confirmed via NeverBounce + Susan McIntosh direct. CFO since 2024.</t>
        </is>
      </c>
      <c r="AK15" s="555" t="inlineStr">
        <is>
          <t>Brad Stevenson (CDO corporate)
https://www.linkedin.com/in/brad-stevenson-537387a/
brad.stevenson@nbly.com
✓ Texas A&amp;M, Frisco TX. Master Texas A&amp;M.</t>
        </is>
      </c>
      <c r="AL15" s="518" t="inlineStr">
        <is>
          <t>Window cleaning = direct overlap with Pink's (ResiBrands) and Shine (Evive).</t>
        </is>
      </c>
      <c r="AM15" s="518" t="inlineStr">
        <is>
          <t>Score: 26 ⚪ HOLD
Lower priority cleaning vertical.</t>
        </is>
      </c>
      <c r="AN15" s="518" t="inlineStr">
        <is>
          <t>Window Genie rolls up to Georgeanne Erickson</t>
        </is>
      </c>
      <c r="AO15" s="555" t="inlineStr">
        <is>
          <t>⚠️ Smart Fleet USA + ServiceTitan zone (most brands).
Corporate FSM decision-maker: Gagan Sinha (CIO, Sept 2025).
Approach via parent franchisor (KKR intro required).
👉 See Signal Intel: Neighborly section</t>
        </is>
      </c>
      <c r="AP15" s="555" t="inlineStr">
        <is>
          <t>Neighborly Reunion (~Oct 2026, Nashville/Gaylord Opryland likely)
16 brands + vendor partners attend
★ DO NOT attend without KKR intro
👉 See Event Intelligence tab</t>
        </is>
      </c>
      <c r="AQ15" s="555" t="inlineStr">
        <is>
          <t>🎓 NEIGHBORLY:
• Chris Bruno (Brand Pres): Tarleton State University BAS Business Admin 2018-2020. CFE.
• Georgeanne Erickson (Group Pres-Maintain): School pending.
👉 See Signal Intel: Neighborly</t>
        </is>
      </c>
    </row>
    <row r="16" ht="280" customHeight="1" s="435">
      <c r="A16" s="159" t="n">
        <v>13</v>
      </c>
      <c r="B16" s="160" t="inlineStr">
        <is>
          <t>Mr. Electric (non-ST locations)</t>
        </is>
      </c>
      <c r="C16" s="161" t="inlineStr">
        <is>
          <t>Neighborly</t>
        </is>
      </c>
      <c r="D16" s="162" t="inlineStr">
        <is>
          <t>Electrical</t>
        </is>
      </c>
      <c r="E16" s="163" t="n">
        <v>50</v>
      </c>
      <c r="F16" s="163" t="n">
        <v>5</v>
      </c>
      <c r="G16" s="181" t="inlineStr">
        <is>
          <t>Greenfield</t>
        </is>
      </c>
      <c r="H16" s="19" t="inlineStr">
        <is>
          <t>TBD</t>
        </is>
      </c>
      <c r="I16" s="182" t="inlineStr">
        <is>
          <t>VERIFY — Most Mr. Electric on ST; non-ST locations exist but verify individually before outreach</t>
        </is>
      </c>
      <c r="J16" s="110" t="inlineStr">
        <is>
          <t>Greenfield / Paper</t>
        </is>
      </c>
      <c r="K16" s="120" t="inlineStr">
        <is>
          <t>🟢 None</t>
        </is>
      </c>
      <c r="L16" s="108" t="inlineStr">
        <is>
          <t>Smart Fleet USA</t>
        </is>
      </c>
      <c r="M16" s="166" t="inlineStr">
        <is>
          <t>No — Smart Fleet USA</t>
        </is>
      </c>
      <c r="N16" s="117" t="inlineStr">
        <is>
          <t>Validate via FDD</t>
        </is>
      </c>
      <c r="O16" s="109" t="inlineStr">
        <is>
          <t>❓ Unknown</t>
        </is>
      </c>
      <c r="P16" s="162" t="inlineStr">
        <is>
          <t>(Franchisee Owner)</t>
        </is>
      </c>
      <c r="Q16" s="162" t="inlineStr">
        <is>
          <t>Owner/Operator</t>
        </is>
      </c>
      <c r="R16" s="168" t="inlineStr">
        <is>
          <t>TBD — franchisee owner
⚠️ DO NOT approach — Neighborly PE intro required first
KKR → Charles Layne → Felix Gernburd — PE intro only</t>
        </is>
      </c>
      <c r="S16" s="169" t="inlineStr">
        <is>
          <t>TBD — office manager
Smart Fleet USA telematics (NOT GPS Insight)</t>
        </is>
      </c>
      <c r="T16" s="170" t="inlineStr">
        <is>
          <t>Smart Fleet USA (NOT GPS Insight)
⚠️ No warm GPS Insight intro path
Do not approach without PE intro confirmed</t>
        </is>
      </c>
      <c r="U16" s="171" t="n"/>
      <c r="V16" s="172" t="n"/>
      <c r="W16" s="173" t="inlineStr">
        <is>
          <t>Profile + outreach</t>
        </is>
      </c>
      <c r="X16" s="173" t="n"/>
      <c r="Y16" s="174" t="inlineStr">
        <is>
          <t>Any non-ST Mr. Electric locations = immediate target</t>
        </is>
      </c>
      <c r="Z16" s="118" t="inlineStr">
        <is>
          <t>Pull from Wisconsin/California FDD registry. Neighborly brand — verify ST mandate status first.</t>
        </is>
      </c>
      <c r="AA16" s="144" t="inlineStr">
        <is>
          <t>⚠️ ST mandated — no FSM pitch.
Telematics only if GPS Insight customer confirmed.
Do not run Insight Engine until PE intro secured.</t>
        </is>
      </c>
      <c r="AB16" s="175" t="n"/>
      <c r="AC16" s="175" t="n"/>
      <c r="AD16" s="175" t="n"/>
      <c r="AE16" s="183" t="n">
        <v>56</v>
      </c>
      <c r="AF16" s="177" t="inlineStr">
        <is>
          <t>+5</t>
        </is>
      </c>
      <c r="AG16" s="184" t="inlineStr">
        <is>
          <t>61
🟡 QUEUE</t>
        </is>
      </c>
      <c r="AH16" s="555" t="inlineStr">
        <is>
          <t>Josh McCormick (Mr. Electric Pres — RETURNED Aug 2025)
LinkedIn: https://www.linkedin.com/in/joshmccormickneighborly/
FOR NON-ST LOCATIONS specifically — same person as Mr. Electric brand president
Baylor University BBA Mgmt 1999-2002 ⭐</t>
        </is>
      </c>
      <c r="AI16" s="555" t="inlineStr">
        <is>
          <t>josh.mccormick@mrelectric.com  |  josh.mccormick@nbly.com</t>
        </is>
      </c>
      <c r="AJ16" s="555" t="inlineStr">
        <is>
          <t>Ben Lamb (corporate)
https://www.linkedin.com/in/ben-lamb-31ab6258/
ben.lamb@nbly.com
✓ Pattern confirmed via NeverBounce + Susan McIntosh direct. CFO since 2024.</t>
        </is>
      </c>
      <c r="AK16" s="555" t="inlineStr">
        <is>
          <t>Brad Stevenson (CDO corporate)
https://www.linkedin.com/in/brad-stevenson-537387a/
brad.stevenson@nbly.com
✓ Texas A&amp;M, Frisco TX. Master Texas A&amp;M.</t>
        </is>
      </c>
      <c r="AL16" s="518" t="inlineStr">
        <is>
          <t>Pre-ST mandate vintage franchisees may have kept legacy systems. Greenfield FSM angle.</t>
        </is>
      </c>
      <c r="AM16" s="518" t="inlineStr">
        <is>
          <t>Score: 61 🟡 QUEUE
★ Higher priority — but need franchisee-level identification + Andrea verification.</t>
        </is>
      </c>
      <c r="AN16" s="518" t="inlineStr">
        <is>
          <t>Same as Mr. Electric (Josh McCormick + Jason Himber)</t>
        </is>
      </c>
      <c r="AO16" s="555" t="inlineStr">
        <is>
          <t>⚠️ Smart Fleet USA + ServiceTitan zone (most brands).
Corporate FSM decision-maker: Gagan Sinha (CIO, Sept 2025).
Approach via parent franchisor (KKR intro required).
👉 See Signal Intel: Neighborly section</t>
        </is>
      </c>
      <c r="AP16" s="555" t="inlineStr">
        <is>
          <t>Neighborly Reunion (~Oct 2026, Nashville/Gaylord Opryland likely)
16 brands + vendor partners attend
★ DO NOT attend without KKR intro
👉 See Event Intelligence tab</t>
        </is>
      </c>
      <c r="AQ16" s="555" t="inlineStr">
        <is>
          <t>🎓 BAYLOR ALUM:
• Josh McCormick (Brand Pres): Baylor BBA Mgmt 1999-2002 ⭐
• 18+ years Neighborly. Mr. Electric Galveston peer group 10+ yrs
• Baylor cluster: 4 connections total
👉 See Signal Intel: Neighborly</t>
        </is>
      </c>
    </row>
    <row r="17" ht="280" customHeight="1" s="435">
      <c r="A17" s="159" t="n">
        <v>14</v>
      </c>
      <c r="B17" s="160" t="inlineStr">
        <is>
          <t>Mosquito Joe (non-ST)</t>
        </is>
      </c>
      <c r="C17" s="161" t="inlineStr">
        <is>
          <t>Neighborly</t>
        </is>
      </c>
      <c r="D17" s="162" t="inlineStr">
        <is>
          <t>Pest Control</t>
        </is>
      </c>
      <c r="E17" s="163" t="n">
        <v>80</v>
      </c>
      <c r="F17" s="163" t="n">
        <v>3</v>
      </c>
      <c r="G17" s="181" t="inlineStr">
        <is>
          <t>Greenfield</t>
        </is>
      </c>
      <c r="H17" s="19" t="inlineStr">
        <is>
          <t>TBD</t>
        </is>
      </c>
      <c r="I17" s="182" t="inlineStr">
        <is>
          <t>VERIFY — Most Mosquito Joe on ST mandate; non-ST locations exist but verify individually</t>
        </is>
      </c>
      <c r="J17" s="110" t="inlineStr">
        <is>
          <t>Greenfield / Paper</t>
        </is>
      </c>
      <c r="K17" s="120" t="inlineStr">
        <is>
          <t>🟢 None</t>
        </is>
      </c>
      <c r="L17" s="108" t="inlineStr">
        <is>
          <t>Smart Fleet USA</t>
        </is>
      </c>
      <c r="M17" s="166" t="inlineStr">
        <is>
          <t>No — Smart Fleet USA</t>
        </is>
      </c>
      <c r="N17" s="117" t="inlineStr">
        <is>
          <t>Validate via FDD</t>
        </is>
      </c>
      <c r="O17" s="109" t="inlineStr">
        <is>
          <t>❓ Unknown</t>
        </is>
      </c>
      <c r="P17" s="162" t="inlineStr">
        <is>
          <t>(Franchisee Owner)</t>
        </is>
      </c>
      <c r="Q17" s="162" t="inlineStr">
        <is>
          <t>Owner/Operator</t>
        </is>
      </c>
      <c r="R17" s="168" t="inlineStr">
        <is>
          <t>TBD — franchisee owner
⚠️ DO NOT approach — Neighborly PE intro required first
KKR → Charles Layne → Felix Gernburd — PE intro only</t>
        </is>
      </c>
      <c r="S17" s="169" t="inlineStr">
        <is>
          <t>TBD — office manager
Smart Fleet USA telematics (NOT GPS Insight)</t>
        </is>
      </c>
      <c r="T17" s="170" t="inlineStr">
        <is>
          <t>Smart Fleet USA (NOT GPS Insight)
⚠️ No warm GPS Insight intro path
Do not approach without PE intro confirmed</t>
        </is>
      </c>
      <c r="U17" s="171" t="n"/>
      <c r="V17" s="172" t="n"/>
      <c r="W17" s="173" t="inlineStr">
        <is>
          <t>Profile + outreach</t>
        </is>
      </c>
      <c r="X17" s="173" t="n"/>
      <c r="Y17" s="174" t="inlineStr">
        <is>
          <t>Non-mandate pest control locations</t>
        </is>
      </c>
      <c r="Z17" s="118" t="inlineStr">
        <is>
          <t>Pull from Wisconsin/California FDD registry. Neighborly brand — verify ST mandate status first.</t>
        </is>
      </c>
      <c r="AA17" s="144" t="inlineStr">
        <is>
          <t>⚠️ ST mandated — no FSM pitch.
Telematics only if GPS Insight customer confirmed.
Do not run Insight Engine until PE intro secured.</t>
        </is>
      </c>
      <c r="AB17" s="175" t="n"/>
      <c r="AC17" s="175" t="n"/>
      <c r="AD17" s="175" t="n"/>
      <c r="AE17" s="176" t="n">
        <v>44</v>
      </c>
      <c r="AF17" s="177" t="inlineStr">
        <is>
          <t>+5</t>
        </is>
      </c>
      <c r="AG17" s="178" t="inlineStr">
        <is>
          <t>49
⚪ HOLD</t>
        </is>
      </c>
      <c r="AH17" s="555" t="inlineStr">
        <is>
          <t>Evan Brody (Mosquito Joe Pres)
LinkedIn: https://www.linkedin.com/in/evansbrody/
FOR NON-ST LOCATIONS specifically — same person as Mosquito Joe brand president
Olin School of Business / WashU St. Louis ⭐</t>
        </is>
      </c>
      <c r="AI17" s="555" t="inlineStr">
        <is>
          <t>evan.brody@mosquitojoe.com  |  evan.brody@nbly.com</t>
        </is>
      </c>
      <c r="AJ17" s="555" t="inlineStr">
        <is>
          <t>Ben Lamb (corporate)
https://www.linkedin.com/in/ben-lamb-31ab6258/
ben.lamb@nbly.com
✓ Pattern confirmed via NeverBounce + Susan McIntosh direct. CFO since 2024.</t>
        </is>
      </c>
      <c r="AK17" s="555" t="inlineStr">
        <is>
          <t>Brad Stevenson (CDO corporate)
https://www.linkedin.com/in/brad-stevenson-537387a/
brad.stevenson@nbly.com
✓ Texas A&amp;M, Frisco TX. Master Texas A&amp;M.</t>
        </is>
      </c>
      <c r="AL17" s="518" t="inlineStr">
        <is>
          <t>Pre-ST franchisees in pest vertical = potential individual conversions.</t>
        </is>
      </c>
      <c r="AM17" s="518" t="inlineStr">
        <is>
          <t>Score: 49 ⚪ HOLD
Need franchisee-level identification.</t>
        </is>
      </c>
      <c r="AN17" s="518" t="inlineStr">
        <is>
          <t>Same as Mosquito Joe (Evan Brody)</t>
        </is>
      </c>
      <c r="AO17" s="555" t="inlineStr">
        <is>
          <t>⚠️ Smart Fleet USA + ServiceTitan zone (most brands).
Corporate FSM decision-maker: Gagan Sinha (CIO, Sept 2025).
Approach via parent franchisor (KKR intro required).
👉 See Signal Intel: Neighborly section</t>
        </is>
      </c>
      <c r="AP17" s="555" t="inlineStr">
        <is>
          <t>Neighborly Reunion (~Oct 2026, Nashville/Gaylord Opryland likely)
16 brands + vendor partners attend
★ DO NOT attend without KKR intro
👉 See Event Intelligence tab</t>
        </is>
      </c>
      <c r="AQ17" s="555" t="inlineStr">
        <is>
          <t>🎓 NEIGHBORLY:
• Evan Brody (Brand Pres): Olin School of Business, Washington University in St. Louis ⭐ (top-15 business school)
• Dallas based.
👉 See Signal Intel: Neighborly</t>
        </is>
      </c>
    </row>
    <row r="18" ht="280" customHeight="1" s="435">
      <c r="A18" s="159" t="n">
        <v>15</v>
      </c>
      <c r="B18" s="160" t="inlineStr">
        <is>
          <t>Aire Serv (non-ST)</t>
        </is>
      </c>
      <c r="C18" s="161" t="inlineStr">
        <is>
          <t>Neighborly</t>
        </is>
      </c>
      <c r="D18" s="162" t="inlineStr">
        <is>
          <t>HVAC</t>
        </is>
      </c>
      <c r="E18" s="163" t="n">
        <v>100</v>
      </c>
      <c r="F18" s="163" t="n">
        <v>5</v>
      </c>
      <c r="G18" s="181" t="inlineStr">
        <is>
          <t>Greenfield</t>
        </is>
      </c>
      <c r="H18" s="19" t="inlineStr">
        <is>
          <t>TBD</t>
        </is>
      </c>
      <c r="I18" s="165" t="inlineStr">
        <is>
          <t>MED</t>
        </is>
      </c>
      <c r="J18" s="110" t="inlineStr">
        <is>
          <t>Greenfield / Paper</t>
        </is>
      </c>
      <c r="K18" s="120" t="inlineStr">
        <is>
          <t>🟢 None</t>
        </is>
      </c>
      <c r="L18" s="108" t="inlineStr">
        <is>
          <t>Smart Fleet USA</t>
        </is>
      </c>
      <c r="M18" s="166" t="inlineStr">
        <is>
          <t>No — Smart Fleet USA</t>
        </is>
      </c>
      <c r="N18" s="117" t="inlineStr">
        <is>
          <t>Validate via FDD</t>
        </is>
      </c>
      <c r="O18" s="109" t="inlineStr">
        <is>
          <t>❓ Unknown</t>
        </is>
      </c>
      <c r="P18" s="162" t="inlineStr">
        <is>
          <t>(Franchisee Owner)</t>
        </is>
      </c>
      <c r="Q18" s="162" t="inlineStr">
        <is>
          <t>Owner/Operator</t>
        </is>
      </c>
      <c r="R18" s="168" t="inlineStr">
        <is>
          <t>TBD — franchisee owner
⚠️ DO NOT approach — Neighborly PE intro required first
KKR → Charles Layne → Felix Gernburd — PE intro only</t>
        </is>
      </c>
      <c r="S18" s="169" t="inlineStr">
        <is>
          <t>TBD — office manager
Smart Fleet USA telematics (NOT GPS Insight)</t>
        </is>
      </c>
      <c r="T18" s="170" t="inlineStr">
        <is>
          <t>Smart Fleet USA (NOT GPS Insight)
⚠️ No warm GPS Insight intro path
Do not approach without PE intro confirmed</t>
        </is>
      </c>
      <c r="U18" s="171" t="n"/>
      <c r="V18" s="172" t="n"/>
      <c r="W18" s="173" t="inlineStr">
        <is>
          <t>Profile + outreach</t>
        </is>
      </c>
      <c r="X18" s="173" t="n"/>
      <c r="Y18" s="174" t="inlineStr">
        <is>
          <t>Non-ST HVAC locations within Neighborly</t>
        </is>
      </c>
      <c r="Z18" s="118" t="inlineStr">
        <is>
          <t>Pull from Wisconsin/California FDD registry. Neighborly brand — verify ST mandate status first.</t>
        </is>
      </c>
      <c r="AA18" s="144" t="inlineStr">
        <is>
          <t>⚠️ ST mandated — no FSM pitch.
Telematics only if GPS Insight customer confirmed.
Do not run Insight Engine until PE intro secured.</t>
        </is>
      </c>
      <c r="AB18" s="175" t="n"/>
      <c r="AC18" s="175" t="n"/>
      <c r="AD18" s="175" t="n"/>
      <c r="AE18" s="183" t="n">
        <v>56</v>
      </c>
      <c r="AF18" s="177" t="inlineStr">
        <is>
          <t>+5</t>
        </is>
      </c>
      <c r="AG18" s="184" t="inlineStr">
        <is>
          <t>61
🟡 QUEUE</t>
        </is>
      </c>
      <c r="AH18" s="555" t="inlineStr">
        <is>
          <t>Jay Jimenez (Aire Serv Pres NEW Apr 2026)
LinkedIn: https://www.linkedin.com/posts/neighborly_leadership-president-aireserv-activity-7450905954415677440-12p2
FOR NON-ST LOCATIONS specifically — same person as Aire Serv brand president
🆕 Multi-state HVAC operator path. Greater Orlando.
Education: Operator path background. Lane Dixon (VP Ops): MTSU + Cumberland MBA ⭐</t>
        </is>
      </c>
      <c r="AI18" s="555" t="inlineStr">
        <is>
          <t>jay.jimenez@aireserv.com  |  jay.jimenez@nbly.com</t>
        </is>
      </c>
      <c r="AJ18" s="555" t="inlineStr">
        <is>
          <t>Ben Lamb (corporate)
https://www.linkedin.com/in/ben-lamb-31ab6258/
ben.lamb@nbly.com
✓ Pattern confirmed via NeverBounce + Susan McIntosh direct. CFO since 2024.</t>
        </is>
      </c>
      <c r="AK18" s="555" t="inlineStr">
        <is>
          <t>Brad Stevenson (CDO corporate)
https://www.linkedin.com/in/brad-stevenson-537387a/
brad.stevenson@nbly.com
✓ Texas A&amp;M, Frisco TX. Master Texas A&amp;M.</t>
        </is>
      </c>
      <c r="AL18" s="518" t="inlineStr">
        <is>
          <t>HVAC vintage franchisees who avoided ST migration = pilot candidates.</t>
        </is>
      </c>
      <c r="AM18" s="518" t="inlineStr">
        <is>
          <t>Score: 61 🟡 QUEUE
★ Higher priority HVAC vertical.</t>
        </is>
      </c>
      <c r="AN18" s="518" t="inlineStr">
        <is>
          <t>Same as Aire Serv (Jay Jimenez NEW)</t>
        </is>
      </c>
      <c r="AO18" s="555" t="inlineStr">
        <is>
          <t>⚠️ Smart Fleet USA + ServiceTitan zone (most brands).
Corporate FSM decision-maker: Gagan Sinha (CIO, Sept 2025).
Approach via parent franchisor (KKR intro required).
👉 See Signal Intel: Neighborly section</t>
        </is>
      </c>
      <c r="AP18" s="555" t="inlineStr">
        <is>
          <t>Neighborly Reunion (~Oct 2026, Nashville/Gaylord Opryland likely)
16 brands + vendor partners attend
★ DO NOT attend without KKR intro
👉 See Event Intelligence tab</t>
        </is>
      </c>
      <c r="AQ18" s="555" t="inlineStr">
        <is>
          <t>🎓 NEIGHBORLY:
• Jay Jimenez (Brand Pres NEW Apr 2026): CFE designation, undergrad pending
• Brad Roberson (predecessor): Mississippi State
👉 See Signal Intel: Neighborly</t>
        </is>
      </c>
    </row>
    <row r="19" ht="280" customHeight="1" s="435">
      <c r="A19" s="159" t="n">
        <v>16</v>
      </c>
      <c r="B19" s="160" t="inlineStr">
        <is>
          <t>Neighborly (other brands)</t>
        </is>
      </c>
      <c r="C19" s="161" t="inlineStr">
        <is>
          <t>Neighborly</t>
        </is>
      </c>
      <c r="D19" s="162" t="inlineStr">
        <is>
          <t>Mixed</t>
        </is>
      </c>
      <c r="E19" s="163" t="n">
        <v>200</v>
      </c>
      <c r="F19" s="163" t="n">
        <v>3</v>
      </c>
      <c r="G19" s="164" t="inlineStr">
        <is>
          <t>Partial/ST</t>
        </is>
      </c>
      <c r="H19" s="19" t="inlineStr">
        <is>
          <t>TBD</t>
        </is>
      </c>
      <c r="I19" s="179" t="inlineStr">
        <is>
          <t>LOW</t>
        </is>
      </c>
      <c r="J19" s="166" t="inlineStr">
        <is>
          <t>ServiceTitan</t>
        </is>
      </c>
      <c r="K19" s="167" t="inlineStr">
        <is>
          <t>🔴 High</t>
        </is>
      </c>
      <c r="L19" s="108" t="inlineStr">
        <is>
          <t>Smart Fleet USA</t>
        </is>
      </c>
      <c r="M19" s="166" t="inlineStr">
        <is>
          <t>No — Smart Fleet USA</t>
        </is>
      </c>
      <c r="N19" s="117" t="inlineStr">
        <is>
          <t>Validate via FDD</t>
        </is>
      </c>
      <c r="O19" s="109" t="inlineStr">
        <is>
          <t>❓ Unknown</t>
        </is>
      </c>
      <c r="P19" s="162" t="inlineStr">
        <is>
          <t>(Franchisee Owner)</t>
        </is>
      </c>
      <c r="Q19" s="162" t="inlineStr">
        <is>
          <t>Owner/Operator</t>
        </is>
      </c>
      <c r="R19" s="168" t="inlineStr">
        <is>
          <t>TBD — franchisee owner
⚠️ DO NOT approach — Neighborly PE intro required first
KKR → Charles Layne → Felix Gernburd — PE intro only</t>
        </is>
      </c>
      <c r="S19" s="169" t="inlineStr">
        <is>
          <t>TBD — office manager
Smart Fleet USA telematics (NOT GPS Insight)</t>
        </is>
      </c>
      <c r="T19" s="170" t="inlineStr">
        <is>
          <t>Smart Fleet USA (NOT GPS Insight)
⚠️ No warm GPS Insight intro path
Do not approach without PE intro confirmed</t>
        </is>
      </c>
      <c r="U19" s="171" t="n"/>
      <c r="V19" s="172" t="n"/>
      <c r="W19" s="173" t="inlineStr">
        <is>
          <t>Conflict check first</t>
        </is>
      </c>
      <c r="X19" s="173" t="n"/>
      <c r="Y19" s="174" t="inlineStr">
        <is>
          <t>Remaining Neighborly brands — verify ST mandate before contact</t>
        </is>
      </c>
      <c r="Z19" s="118" t="inlineStr">
        <is>
          <t>Pull from Wisconsin/California FDD registry. Neighborly brand — verify ST mandate status first.</t>
        </is>
      </c>
      <c r="AA19" s="144" t="inlineStr">
        <is>
          <t>⚠️ ST mandated — no FSM pitch.
Telematics only if GPS Insight customer confirmed.
Do not run Insight Engine until PE intro secured.</t>
        </is>
      </c>
      <c r="AB19" s="175" t="n"/>
      <c r="AC19" s="175" t="n"/>
      <c r="AD19" s="175" t="n"/>
      <c r="AE19" s="176" t="n">
        <v>19</v>
      </c>
      <c r="AF19" s="177" t="inlineStr">
        <is>
          <t>+5</t>
        </is>
      </c>
      <c r="AG19" s="178" t="inlineStr">
        <is>
          <t>24
⚪ HOLD</t>
        </is>
      </c>
      <c r="AH19" s="555" t="inlineStr">
        <is>
          <t>Aggregate — varies by brand
LinkedIn (Neighborly CEO Mike Davis): https://www.linkedin.com/in/mcardavis
Mike Davis (Neighborly CEO): Education from Mathnasium/Valpak/UMG path
Gagan Sinha (CIO #1 OVERALL TARGET): Harvard MS Mgmt 2011-2013 ⭐⭐⭐
Brad Stevenson (CDO): Texas A&amp;M College Station ⭐
Stacy Lynn Bourgeois (CMO): Northwestern Medill + Florida State ⭐
Ben Lamb (CFO): Baylor BBA ⭐
Matt Crowley (Group Pres-Specialty): USC Marshall MBA ⭐
Georgeanne Erickson (Group Pres-Maintain): Pending; Ex-CMO Fogo de Chão
Jason Himber (Group Pres-Repair): Pending verification</t>
        </is>
      </c>
      <c r="AL19" s="518" t="inlineStr">
        <is>
          <t>Aggregate Neighborly metrics: ST mandate, Smart Fleet USA telematics, ProTradeNet insurance.</t>
        </is>
      </c>
      <c r="AM19" s="518" t="inlineStr">
        <is>
          <t>Score: 24 ⚪ HOLD</t>
        </is>
      </c>
      <c r="AN19" s="518" t="inlineStr">
        <is>
          <t>Other Neighborly brands: Five Star Painting (David Sutter), Dryer Vent Wizard (Kevin Busch), HouseMaster (Nancy Shipley), Junk King (Paul Tis), Portland Glass (Sarah Frohnhoefer), ProTradeNet (Brandi Haslam), Real Property Mgmt (Jeff Pepperney), ShelfGenie (Tony Ditzler), Grounds Guys (Lori Johnson)</t>
        </is>
      </c>
      <c r="AO19" s="555" t="inlineStr">
        <is>
          <t>⚠️ Smart Fleet USA + ServiceTitan zone (most brands).
Corporate FSM decision-maker: Gagan Sinha (CIO, Sept 2025).
Approach via parent franchisor (KKR intro required).
👉 See Signal Intel: Neighborly section</t>
        </is>
      </c>
      <c r="AP19" s="555" t="inlineStr">
        <is>
          <t>Neighborly Reunion (~Oct 2026, Nashville/Gaylord Opryland likely)
16 brands + vendor partners attend
★ DO NOT attend without KKR intro
👉 See Event Intelligence tab</t>
        </is>
      </c>
      <c r="AQ19" s="555" t="inlineStr">
        <is>
          <t>Most brand presidents tied to Neighborly leadership.
Notable Baylor cluster (Glenn Lewis Mr. Appliance, Josh McCormick Mr. Electric, Ben Lamb CFO).
Corporate: Gagan Sinha Harvard MS, Brad Stevenson Texas A&amp;M, Stacy Lynn Bourgeois Northwestern + FSU.
👉 See Signal Intel: Neighborly section for full bios</t>
        </is>
      </c>
    </row>
    <row r="20" ht="280" customHeight="1" s="435">
      <c r="A20" s="147" t="n">
        <v>17</v>
      </c>
      <c r="B20" s="185" t="inlineStr">
        <is>
          <t>ASP Swimming Pool</t>
        </is>
      </c>
      <c r="C20" s="456" t="inlineStr">
        <is>
          <t>Authority Brands</t>
        </is>
      </c>
      <c r="D20" s="186" t="inlineStr">
        <is>
          <t>Pool Service</t>
        </is>
      </c>
      <c r="E20" s="187" t="n">
        <v>150</v>
      </c>
      <c r="F20" s="187" t="n">
        <v>3</v>
      </c>
      <c r="G20" s="188" t="inlineStr">
        <is>
          <t>Greenfield</t>
        </is>
      </c>
      <c r="H20" s="19" t="inlineStr">
        <is>
          <t>TBD</t>
        </is>
      </c>
      <c r="I20" s="182" t="inlineStr">
        <is>
          <t>VERIFY — PoolOps proprietary CRM — do not pitch FSM replacement; GPS telematics only</t>
        </is>
      </c>
      <c r="J20" s="110" t="inlineStr">
        <is>
          <t>Greenfield / Paper</t>
        </is>
      </c>
      <c r="K20" s="120" t="inlineStr">
        <is>
          <t>🟢 None</t>
        </is>
      </c>
      <c r="L20" s="117" t="inlineStr">
        <is>
          <t>Validate with Andrea</t>
        </is>
      </c>
      <c r="M20" s="117" t="inlineStr">
        <is>
          <t>Validate with Andrea</t>
        </is>
      </c>
      <c r="N20" s="117" t="inlineStr">
        <is>
          <t>Validate via FDD</t>
        </is>
      </c>
      <c r="O20" s="109" t="inlineStr">
        <is>
          <t>❓ Unknown</t>
        </is>
      </c>
      <c r="P20" s="186" t="inlineStr">
        <is>
          <t>(Franchisee Owner)</t>
        </is>
      </c>
      <c r="Q20" s="186" t="inlineStr">
        <is>
          <t>Owner/Operator</t>
        </is>
      </c>
      <c r="R20" s="169" t="inlineStr">
        <is>
          <t>TBD — ASP brand president
← Approach via Tij Bedi (CTO Authority Brands)
Greenfield FSM — pool service route model</t>
        </is>
      </c>
      <c r="S20" s="169" t="inlineStr">
        <is>
          <t>TBD</t>
        </is>
      </c>
      <c r="T20" s="169" t="inlineStr">
        <is>
          <t>TBD</t>
        </is>
      </c>
      <c r="U20" s="171" t="n"/>
      <c r="V20" s="189" t="n"/>
      <c r="W20" s="190" t="inlineStr">
        <is>
          <t>Profile + outreach</t>
        </is>
      </c>
      <c r="X20" s="190" t="n"/>
      <c r="Y20" s="191" t="inlineStr">
        <is>
          <t>Route pool service — weekly recurring</t>
        </is>
      </c>
      <c r="Z20" s="192" t="inlineStr">
        <is>
          <t>SOURCE: 2025 FDD (2023 data) — franchisechatter.com + leadtruffle.co
ITEM 19 — Unit Economics:
• 113 franchisees / 133 territories as of Dec 31, 2023
• Avg gross revenue per territory: ~$590,000 (sharpsheets)
• Top 25%: avg $1.78M/year (leadtruffle)
• 257-375 locations depending on source/year
• Investment range: $84,395-$210,121
• Royalty: 7-5% sliding scale + 1% brand fund
• Technology fee: $250/mo for PoolOps CRM + tools
• Local marketing: 3% or $30K/yr
• Route-based recurring pool service + renovation
ITEM 11 — Technology:
PROPRIETARY PoolOps CRM CONFIRMED — $250/month tech fee
Pool service management, scheduling, client reporting built in
CONFLICT RISK: High — proprietary CRM + mandatory fee
NOTE: Authority Brands portfolio (Apax). Jay Caiafa new CEO.
Entry point: Tij Bedi (CTO) or via Jay Caiafa data/AI angle</t>
        </is>
      </c>
      <c r="AA20" s="193" t="inlineStr">
        <is>
          <t>CONFLICT: PoolOps proprietary CRM — do not pitch FSM replacement
IF ENGAGED:
• GPS Insight telematics standalone — route-based fleet
• Frame as complement to PoolOps, not replacement
• 8-12 pools/truck/day = route optimization ROI story
• Jay Caiafa AI/data background = frame as operational intelligence layer
• Authority Brands mandate conversation — top-down PE play</t>
        </is>
      </c>
      <c r="AB20" s="175" t="n"/>
      <c r="AC20" s="175" t="n"/>
      <c r="AD20" s="175" t="n"/>
      <c r="AE20" s="183" t="n">
        <v>46</v>
      </c>
      <c r="AF20" s="177" t="inlineStr">
        <is>
          <t>+15</t>
        </is>
      </c>
      <c r="AG20" s="184" t="inlineStr">
        <is>
          <t>61
🟡 QUEUE</t>
        </is>
      </c>
      <c r="AH20" s="555" t="inlineStr">
        <is>
          <t>Stewart Vernon (Founder ASP, EVP Emerging Brands at Authority Brands)
LinkedIn: https://www.linkedin.com/in/stewart-vernon-asp/
College of Charleston ⭐. Macon GA hometown. Stratford Academy.
Founded ASP 2002. Wife Shannon. Two children Stewart Jr + Sloan.</t>
        </is>
      </c>
      <c r="AI20" s="555" t="inlineStr">
        <is>
          <t>JMeece@authoritybrandsllc.com</t>
        </is>
      </c>
      <c r="AJ20" s="555" t="inlineStr">
        <is>
          <t>Josh Greear (corporate CFO)
https://www.linkedin.com/in/joshgreear/
JGreear@authoritybrandsllc.com
✓ NEW Sep 2025. Ex-CFO Primrose Schools, ex-Cracker Barrel, ex-Home Depot.</t>
        </is>
      </c>
      <c r="AK20" s="555" t="inlineStr">
        <is>
          <t>Jordan Wilson (CDO corporate)
https://www.linkedin.com/in/jwilsoncfe/
JWilson@authoritybrandsllc.com
✓ Joined Jan 2023, ex-Scorpion SVP Franchise Sales. CFE. Reports to CEO.</t>
        </is>
      </c>
      <c r="AL20" s="518" t="inlineStr">
        <is>
          <t>Stewart Vernon (Authority site):
"Starting from the bottom as a young entrepreneur has inspired me to help other entrepreneurs. Seeing the growth of our franchise owners is truly satisfying."
Founded ASP with $500 award, built to $91M system sales = entrepreneur-CEO fluent.
Authority Brands has active ST partnership (2024) but ASP could be greenfield.</t>
        </is>
      </c>
      <c r="AM20" s="518" t="inlineStr">
        <is>
          <t>Pool/water-focused vertical. Seasonal scheduling fits ServiceBridge well.
Score: 61 🟡 QUEUE
Approach via Tij Bedi (CTO) entry path. ASP under Stewart's Emerging Brands is outside ST locked Trades cluster.</t>
        </is>
      </c>
      <c r="AN20" s="518" t="inlineStr">
        <is>
          <t>Stewart Vernon (EVP Emerging Brands / ASP Founder)
Tom Swift (EVP Outdoor Brands)
Tij Bedi (CTO)
Jordan Wilson (CDO since Jan 2025, ex-Scorpion)
Vince Powers (360PR+ EVP — Authority's PR firm)
Adam Terranova (Sr Director Marketing)
Christina Kennedy (Foley Lardner — Authority's franchise lawyer)</t>
        </is>
      </c>
      <c r="AO20" s="555" t="inlineStr">
        <is>
          <t>Pool service = seasonal route. Authority's BuyMax GPO available.
👉 See Signal Intel: Authority Brands section</t>
        </is>
      </c>
      <c r="AP20" s="555" t="inlineStr">
        <is>
          <t>Authority Brands Annual Convention / IGNITE 2026 (Reno held early 2026 with Caiafa keynote)
Service Trades Brands Conference w/ BuyMax breakouts
👉 See Event Intelligence tab</t>
        </is>
      </c>
      <c r="AQ20" s="555" t="inlineStr">
        <is>
          <t>🎓 STEWART VERNON (ASP Founder, now EVP Emerging Brands at Authority):
• College of Charleston (corporate communications) ⭐
• Hometown Macon GA. Stratford Academy.
• Founded ASP 2002 in Macon GA. Married to Shannon. Two children: Stewart Jr, Sloan
• Active speaker at Wesleyan College, College of Charleston, Georgia Tech, Mercer University. Founding partner KUDU Outdoor Grills, Classic Overland.
• Authority Brands oversight: Tom Swift (EVP), Jay Caiafa (CEO Duke + USAFA)
👉 See Signal Intel: Authority Brands</t>
        </is>
      </c>
    </row>
    <row r="21" ht="280" customHeight="1" s="435">
      <c r="A21" s="147" t="n">
        <v>18</v>
      </c>
      <c r="B21" s="185" t="inlineStr">
        <is>
          <t>Benjamin Franklin Plumbing</t>
        </is>
      </c>
      <c r="C21" s="456" t="inlineStr">
        <is>
          <t>Authority Brands</t>
        </is>
      </c>
      <c r="D21" s="186" t="inlineStr">
        <is>
          <t>Plumbing</t>
        </is>
      </c>
      <c r="E21" s="187" t="n">
        <v>363</v>
      </c>
      <c r="F21" s="187" t="n">
        <v>5</v>
      </c>
      <c r="G21" s="188" t="inlineStr">
        <is>
          <t>Greenfield</t>
        </is>
      </c>
      <c r="H21" s="19" t="inlineStr">
        <is>
          <t>TBD</t>
        </is>
      </c>
      <c r="I21" s="180" t="inlineStr">
        <is>
          <t>HIGH — ServiceTitan MANDATED — transition announced Sep 2024, completing 2025</t>
        </is>
      </c>
      <c r="J21" s="166" t="inlineStr">
        <is>
          <t>ServiceTitan</t>
        </is>
      </c>
      <c r="K21" s="167" t="inlineStr">
        <is>
          <t>🔴 High</t>
        </is>
      </c>
      <c r="L21" s="117" t="inlineStr">
        <is>
          <t>Validate with Andrea</t>
        </is>
      </c>
      <c r="M21" s="117" t="inlineStr">
        <is>
          <t>Validate with Andrea</t>
        </is>
      </c>
      <c r="N21" s="117" t="inlineStr">
        <is>
          <t>Validate via FDD</t>
        </is>
      </c>
      <c r="O21" s="109" t="inlineStr">
        <is>
          <t>❓ Unknown</t>
        </is>
      </c>
      <c r="P21" s="186" t="inlineStr">
        <is>
          <t>(Franchisee Owner)</t>
        </is>
      </c>
      <c r="Q21" s="186" t="inlineStr">
        <is>
          <t>Owner/Operator</t>
        </is>
      </c>
      <c r="R21" s="168" t="inlineStr">
        <is>
          <t>TBD — BFP brand president
⚠️ ST MANDATED Sep 2024 — NO FSM pitch
GPS Insight telematics only if confirmed customer</t>
        </is>
      </c>
      <c r="S21" s="169" t="inlineStr">
        <is>
          <t>TBD</t>
        </is>
      </c>
      <c r="T21" s="169" t="inlineStr">
        <is>
          <t>TBD — GPS Insight telematics angle only</t>
        </is>
      </c>
      <c r="U21" s="171" t="n"/>
      <c r="V21" s="189" t="n"/>
      <c r="W21" s="190" t="inlineStr">
        <is>
          <t>Profile + outreach</t>
        </is>
      </c>
      <c r="X21" s="190" t="n"/>
      <c r="Y21" s="191" t="inlineStr">
        <is>
          <t>363 units FDD 2025. Emergency dispatch fit</t>
        </is>
      </c>
      <c r="Z21" s="144" t="inlineStr">
        <is>
          <t>SOURCE: ServiceTitan press release Sep 2024
ServiceTitan MANDATED — transition announced Sep 2024, completing 2025.
CONFLICT: High. Do not approach with ServiceBridge as FSM replacement.
GPS Insight angle only if confirmed telematics customer via Andrea.</t>
        </is>
      </c>
      <c r="AA21" s="118" t="inlineStr">
        <is>
          <t>Check FSM mandate first. If ST-mandated: no FSM pitch, GPS Insight only.
If greenfield: run Insight Engine ROI Calculator.</t>
        </is>
      </c>
      <c r="AB21" s="175" t="n"/>
      <c r="AC21" s="175" t="n"/>
      <c r="AD21" s="175" t="n"/>
      <c r="AE21" s="183" t="n">
        <v>63</v>
      </c>
      <c r="AF21" s="177" t="inlineStr">
        <is>
          <t>+15</t>
        </is>
      </c>
      <c r="AG21" s="184" t="inlineStr">
        <is>
          <t>78
🟡 QUEUE</t>
        </is>
      </c>
      <c r="AH21" s="555" t="inlineStr">
        <is>
          <t>Steve Clemente (President &amp; COO Trade Brands at Authority since Dec 2025)
LinkedIn: https://www.linkedin.com/in/steve-clemente-b4244539/
UCF BS Liberal Studies + Webster University Master's ⭐⭐
30+ yrs Dick's Sporting Goods, Target, Nebraska Book, Primrose Schools President.</t>
        </is>
      </c>
      <c r="AI21" s="555" t="inlineStr">
        <is>
          <t>SClemente@authoritybrandsllc.com</t>
        </is>
      </c>
      <c r="AJ21" s="555" t="inlineStr">
        <is>
          <t>Josh Greear (corporate CFO)
https://www.linkedin.com/in/joshgreear/
JGreear@authoritybrandsllc.com
✓ NEW Sep 2025. Ex-CFO Primrose Schools, ex-Cracker Barrel, ex-Home Depot.</t>
        </is>
      </c>
      <c r="AK21" s="555" t="inlineStr">
        <is>
          <t>Jordan Wilson (CDO corporate)
https://www.linkedin.com/in/jwilsoncfe/
JWilson@authoritybrandsllc.com
✓ Joined Jan 2023, ex-Scorpion SVP Franchise Sales. CFE. Reports to CEO.</t>
        </is>
      </c>
      <c r="AL21" s="518" t="inlineStr">
        <is>
          <t>Steve Clemente (Authority press):
"Spearhead initiatives to enhance operational excellence, drive organic growth, and unlock cross-selling opportunities across Authority Brands' four trade brands."
Clemente's mandate IS cross-brand operational excellence + cross-selling = DIRECT match for ServiceBridge unified platform value prop.</t>
        </is>
      </c>
      <c r="AM21" s="518" t="inlineStr">
        <is>
          <t>★ HIGHEST priority within Authority — Steve Clemente's Trades cluster was specifically created to unlock cross-brand operations.
Score: 78 🟡 QUEUE
BFP is THE flagship plumbing brand — ST lock-in here is strongest. Displacement play, not greenfield.</t>
        </is>
      </c>
      <c r="AN21" s="518" t="inlineStr">
        <is>
          <t>Steve Clemente (Pres &amp; COO Trades Brands)
Jay Caiafa (CEO)
Josh Greear (CFO)
Jordan Wilson (CDO)
Matt Buckwalter (Punctual Pros multi-unit franchisee — BFP+OHHAC+MS in Central PA, backed by Broad Sky Partners)
Aaron Buckwalter (Punctual Pros multi-unit franchisee)
Jonathan Marlow (Broad Sky Partners — invested in Punctual Pros)
Kelley Pendergast (BFP franchisee, featured Franchising Mag)
Scott Wood Jr. (BFP+OHHAC franchisee Omaha)
Cory Clinton (BFP General Manager Indianapolis)
Robert Armstrong (BFP Operations Manager Northern Colorado)</t>
        </is>
      </c>
      <c r="AO21" s="555" t="inlineStr">
        <is>
          <t>Falls under Steve Clemente (Pres/COO Trade Brands Dec 2025, ex-Primrose Schools President). Plumbing = high FSM intensity.
👉 See Signal Intel: Authority Brands section</t>
        </is>
      </c>
      <c r="AP21" s="555" t="inlineStr">
        <is>
          <t>Authority Brands Annual Convention / IGNITE 2026 (Reno held early 2026 with Caiafa keynote)
Service Trades Brands Conference w/ BuyMax breakouts
👉 See Event Intelligence tab</t>
        </is>
      </c>
      <c r="AQ21" s="555" t="inlineStr">
        <is>
          <t>🎓 AUTHORITY BRANDS:
• Steve Clemente (Pres/COO Trade Brands oversight Dec 2025): University of Central Florida BS Liberal Studies + Webster University Master's
• Jay Caiafa (Authority CEO): USAFA + Duke Law + Duke Fuqua ⭐
👉 See Signal Intel: Authority Brands</t>
        </is>
      </c>
    </row>
    <row r="22" ht="280" customHeight="1" s="435">
      <c r="A22" s="147" t="n">
        <v>19</v>
      </c>
      <c r="B22" s="185" t="inlineStr">
        <is>
          <t>DRYmedic Restoration</t>
        </is>
      </c>
      <c r="C22" s="456" t="inlineStr">
        <is>
          <t>Authority Brands</t>
        </is>
      </c>
      <c r="D22" s="186" t="inlineStr">
        <is>
          <t>Restoration</t>
        </is>
      </c>
      <c r="E22" s="187" t="n">
        <v>200</v>
      </c>
      <c r="F22" s="187" t="n">
        <v>5</v>
      </c>
      <c r="G22" s="188" t="inlineStr">
        <is>
          <t>Greenfield</t>
        </is>
      </c>
      <c r="H22" s="19" t="inlineStr">
        <is>
          <t>TBD</t>
        </is>
      </c>
      <c r="I22" s="194" t="inlineStr">
        <is>
          <t>MED</t>
        </is>
      </c>
      <c r="J22" s="110" t="inlineStr">
        <is>
          <t>Greenfield / Paper</t>
        </is>
      </c>
      <c r="K22" s="120" t="inlineStr">
        <is>
          <t>🟢 None</t>
        </is>
      </c>
      <c r="L22" s="117" t="inlineStr">
        <is>
          <t>Validate with Andrea</t>
        </is>
      </c>
      <c r="M22" s="117" t="inlineStr">
        <is>
          <t>Validate with Andrea</t>
        </is>
      </c>
      <c r="N22" s="117" t="inlineStr">
        <is>
          <t>Validate via FDD</t>
        </is>
      </c>
      <c r="O22" s="109" t="inlineStr">
        <is>
          <t>❓ Unknown</t>
        </is>
      </c>
      <c r="P22" s="186" t="inlineStr">
        <is>
          <t>(Franchisee Owner)</t>
        </is>
      </c>
      <c r="Q22" s="186" t="inlineStr">
        <is>
          <t>Owner/Operator</t>
        </is>
      </c>
      <c r="R22" s="169" t="inlineStr">
        <is>
          <t>TBD — DRYmedic brand president
← Approach via Tij Bedi (CTO Authority Brands)
Greenfield FSM — restoration trade = strong pilot fit</t>
        </is>
      </c>
      <c r="S22" s="169" t="inlineStr">
        <is>
          <t>TBD — local franchisee ops contact</t>
        </is>
      </c>
      <c r="T22" s="169" t="inlineStr">
        <is>
          <t>TBD — verify GPS Insight customer via Andrea</t>
        </is>
      </c>
      <c r="U22" s="171" t="n"/>
      <c r="V22" s="189" t="n"/>
      <c r="W22" s="190" t="inlineStr">
        <is>
          <t>Profile + outreach</t>
        </is>
      </c>
      <c r="X22" s="190" t="n"/>
      <c r="Y22" s="191" t="inlineStr">
        <is>
          <t>Water/fire restoration crews</t>
        </is>
      </c>
      <c r="Z22" s="192" t="inlineStr">
        <is>
          <t>SOURCE: Authority Brands website + franchise directories 2025
ITEM 19 — Unit Economics:
• Water/fire/mold restoration franchise
• Part of Authority Brands portfolio
• Insurance-paid restoration model
• Investment range: est. $150K-$350K
ITEM 11 — Technology:
Authority Brands centrally managed technology
Verify FSM mandate — restoration brands often use ServiceTitan or Xactimate
INSURANCE ANGLE: High — restoration = carrier documentation critical
NOTE: Authority Brands portfolio. Jay Caiafa new CEO (Aug 2025).</t>
        </is>
      </c>
      <c r="AA22" s="193" t="inlineStr">
        <is>
          <t>VERIFY: Authority Brands FSM mandate status with Tij Bedi (CTO)
KEY ANGLES:
• Job photo documentation = insurance carrier compliance
• Xactimate integration potential
• Jay Caiafa data/AI angle
• Authority mandate = top-down play</t>
        </is>
      </c>
      <c r="AB22" s="175" t="n"/>
      <c r="AC22" s="175" t="n"/>
      <c r="AD22" s="175" t="n"/>
      <c r="AE22" s="183" t="n">
        <v>66</v>
      </c>
      <c r="AF22" s="177" t="inlineStr">
        <is>
          <t>+15</t>
        </is>
      </c>
      <c r="AG22" s="184" t="inlineStr">
        <is>
          <t>81
🟡 QUEUE</t>
        </is>
      </c>
      <c r="AH22" s="555" t="inlineStr">
        <is>
          <t>Steve Clemente (Pres &amp; COO Trades) — covers DRYmedic as part of Trade Brands portfolio
LinkedIn: https://www.linkedin.com/in/steve-clemente-trade-brands/
UCF + Webster Master's ⭐⭐</t>
        </is>
      </c>
      <c r="AI22" s="555" t="inlineStr">
        <is>
          <t>SClemente@authoritybrandsllc.com</t>
        </is>
      </c>
      <c r="AJ22" s="555" t="inlineStr">
        <is>
          <t>Josh Greear (corporate CFO)
https://www.linkedin.com/in/joshgreear/
JGreear@authoritybrandsllc.com
✓ NEW Sep 2025. Ex-CFO Primrose Schools, ex-Cracker Barrel, ex-Home Depot.</t>
        </is>
      </c>
      <c r="AK22" s="555" t="inlineStr">
        <is>
          <t>Jordan Wilson (CDO corporate)
https://www.linkedin.com/in/jwilsoncfe/
JWilson@authoritybrandsllc.com
✓ Joined Jan 2023, ex-Scorpion SVP Franchise Sales. CFE. Reports to CEO.</t>
        </is>
      </c>
      <c r="AL22" s="518" t="inlineStr">
        <is>
          <t>Restoration vertical = INSURANCE-CARRIER DRIVEN. Direct overlap with BELFOR.
Authority added DRYmedic via 2023 acquisition — under 3 yrs in portfolio.</t>
        </is>
      </c>
      <c r="AM22" s="518" t="inlineStr">
        <is>
          <t>Score: 81 🟡 QUEUE — TOP-3 IN AUTHORITY
★ Restoration brand under Trades cluster = rare combo. Insurance carrier angle works (BELFOR playbook applies).
Recent acquisition + Steve Clemente looking for cross-brand wins = ENTRY WINDOW.</t>
        </is>
      </c>
      <c r="AN22" s="518" t="inlineStr">
        <is>
          <t>Steve Clemente (Pres &amp; COO Trades)
Lindsay Keyser (DRYmedic franchisee, featured Franchising Mag)
Insurance carrier relationships from 2023 acquisition</t>
        </is>
      </c>
      <c r="AO22" s="555" t="inlineStr">
        <is>
          <t>Restoration vertical = aligns with BELFOR + BluSky + Servpro thesis (Wave 6 strategic insight). Falls under Steve Clemente.
👉 See Signal Intel: Authority Brands section</t>
        </is>
      </c>
      <c r="AP22" s="555" t="inlineStr">
        <is>
          <t>Authority Brands Annual Convention / IGNITE 2026 (Reno held early 2026 with Caiafa keynote)
Service Trades Brands Conference w/ BuyMax breakouts
👉 See Event Intelligence tab</t>
        </is>
      </c>
      <c r="AQ22" s="555" t="inlineStr">
        <is>
          <t>🎓 AUTHORITY BRANDS (Trade Brands oversight):
• Steve Clemente (Pres/COO Trade Brands Dec 2025): UCF BS Liberal Studies + Webster University Master's ⭐
  - 30+ yrs Dick's Sporting Goods, Target, Nebraska Book Co, Primrose Schools President
• Jay Caiafa (Authority CEO): USAFA + Duke Law + Duke Fuqua ⭐⭐⭐
👉 See Signal Intel: Authority Brands</t>
        </is>
      </c>
    </row>
    <row r="23" ht="280" customHeight="1" s="435">
      <c r="A23" s="147" t="n">
        <v>20</v>
      </c>
      <c r="B23" s="185" t="inlineStr">
        <is>
          <t>The Cleaning Authority</t>
        </is>
      </c>
      <c r="C23" s="456" t="inlineStr">
        <is>
          <t>Authority Brands</t>
        </is>
      </c>
      <c r="D23" s="186" t="inlineStr">
        <is>
          <t>Cleaning</t>
        </is>
      </c>
      <c r="E23" s="187" t="n">
        <v>225</v>
      </c>
      <c r="F23" s="187" t="n">
        <v>4</v>
      </c>
      <c r="G23" s="188" t="inlineStr">
        <is>
          <t>Greenfield</t>
        </is>
      </c>
      <c r="H23" s="19" t="inlineStr">
        <is>
          <t>TBD</t>
        </is>
      </c>
      <c r="I23" s="182" t="inlineStr">
        <is>
          <t>VERIFY — Authority Brands centrally managed tech — verify FSM mandate with Tij Bedi before outreach</t>
        </is>
      </c>
      <c r="J23" s="110" t="inlineStr">
        <is>
          <t>Greenfield / Paper</t>
        </is>
      </c>
      <c r="K23" s="120" t="inlineStr">
        <is>
          <t>🟢 None</t>
        </is>
      </c>
      <c r="L23" s="117" t="inlineStr">
        <is>
          <t>Validate with Andrea</t>
        </is>
      </c>
      <c r="M23" s="117" t="inlineStr">
        <is>
          <t>Validate with Andrea</t>
        </is>
      </c>
      <c r="N23" s="117" t="inlineStr">
        <is>
          <t>Validate via FDD</t>
        </is>
      </c>
      <c r="O23" s="109" t="inlineStr">
        <is>
          <t>❓ Unknown</t>
        </is>
      </c>
      <c r="P23" s="186" t="inlineStr">
        <is>
          <t>(Franchisee Owner)</t>
        </is>
      </c>
      <c r="Q23" s="186" t="inlineStr">
        <is>
          <t>Owner/Operator</t>
        </is>
      </c>
      <c r="R23" s="169" t="inlineStr">
        <is>
          <t>TBD — TCA brand president
← Approach via Tij Bedi (CTO Authority Brands)
Greenfield FSM — recurring cleaning route</t>
        </is>
      </c>
      <c r="S23" s="169" t="inlineStr">
        <is>
          <t>TBD</t>
        </is>
      </c>
      <c r="T23" s="169" t="inlineStr">
        <is>
          <t>TBD</t>
        </is>
      </c>
      <c r="U23" s="171" t="n"/>
      <c r="V23" s="189" t="n"/>
      <c r="W23" s="190" t="inlineStr">
        <is>
          <t>Profile + outreach</t>
        </is>
      </c>
      <c r="X23" s="190" t="n"/>
      <c r="Y23" s="191" t="inlineStr">
        <is>
          <t>Residential cleaning teams</t>
        </is>
      </c>
      <c r="Z23" s="195" t="inlineStr">
        <is>
          <t>SOURCE: Authority Brands website + FDD directories 2025
ITEM 19 — Unit Economics:
• Residential cleaning — recurring subscription model
• 250+ locations across US and Canada
• Avg revenue: est. $800K-$1.5M/location (established cleaning brand)
• Part of Authority Brands portfolio
ITEM 11 — Technology:
Authority Brands centrally managed technology
Cleaning brand = route scheduling, recurring appointments
Verify FSM mandate within Authority Brands stack
NOTE: Authority Brands. Tij Bedi (CTO) = entry point for tech conversation</t>
        </is>
      </c>
      <c r="AA23" s="193" t="inlineStr">
        <is>
          <t>VERIFY: Authority Brands tech mandate with Tij Bedi
KEY ANGLES:
• Route scheduling optimization
• 2-way SMS job confirmations
• Authority mandate = top-down play</t>
        </is>
      </c>
      <c r="AB23" s="175" t="n"/>
      <c r="AC23" s="175" t="n"/>
      <c r="AD23" s="175" t="n"/>
      <c r="AE23" s="183" t="n">
        <v>48</v>
      </c>
      <c r="AF23" s="177" t="inlineStr">
        <is>
          <t>+15</t>
        </is>
      </c>
      <c r="AG23" s="184" t="inlineStr">
        <is>
          <t>63
🟡 QUEUE</t>
        </is>
      </c>
      <c r="AH23" s="555" t="inlineStr">
        <is>
          <t>Brand-specific president TBD
LinkedIn (parent Authority/Steve Clemente Pres Trades): https://www.linkedin.com/in/steve-clemente-trade-brands/
TCA is Authority Brands' largest cleaning operation (~200 locations).
Steve Clemente (Pres &amp; COO Trades oversight): UCF + Webster Master's ⭐⭐
Authority CEO Jay Caiafa: USAFA + Duke Law + Duke Fuqua MBA ⭐⭐⭐</t>
        </is>
      </c>
      <c r="AI23" s="555" t="inlineStr">
        <is>
          <t>SVernon@authoritybrandsllc.com</t>
        </is>
      </c>
      <c r="AJ23" s="555" t="inlineStr">
        <is>
          <t>Josh Greear (corporate CFO)
https://www.linkedin.com/in/joshgreear/
JGreear@authoritybrandsllc.com
✓ NEW Sep 2025. Ex-CFO Primrose Schools, ex-Cracker Barrel, ex-Home Depot.</t>
        </is>
      </c>
      <c r="AK23" s="555" t="inlineStr">
        <is>
          <t>Jordan Wilson (CDO corporate)
https://www.linkedin.com/in/jwilsoncfe/
JWilson@authoritybrandsllc.com
✓ Joined Jan 2023, ex-Scorpion SVP Franchise Sales. CFE. Reports to CEO.</t>
        </is>
      </c>
      <c r="AL23" s="518" t="inlineStr">
        <is>
          <t>Cleaning vertical: lower telematics priority. Booking + scheduling focus.
Founding brand status = deep Authority platform integration.</t>
        </is>
      </c>
      <c r="AM23" s="518" t="inlineStr">
        <is>
          <t>Score: 63 🟡 QUEUE
Lower-truck-fleet priority. Standard scheduling tools may be sufficient.</t>
        </is>
      </c>
      <c r="AN23" s="518" t="inlineStr">
        <is>
          <t>Files to Tij Bedi (CTO) for tech
Jay Caiafa (CEO)
Shannon Oakley (TCA franchisee Spokane + Bellevue, featured for Women's History Month)</t>
        </is>
      </c>
      <c r="AO23" s="555" t="inlineStr">
        <is>
          <t>Steve Clemente (Pres/COO Trade Brands Dec 2025) oversees most trade brands. CEO Jay Caiafa (Aug 2025, USAFA + Duke). ServiceTitan partnership = displacement story.
👉 See Signal Intel: Authority Brands section</t>
        </is>
      </c>
      <c r="AP23" s="555" t="inlineStr">
        <is>
          <t>Authority Brands Annual Convention / IGNITE 2026 (Reno held early 2026 with Caiafa keynote)
Service Trades Brands Conference w/ BuyMax breakouts
👉 See Event Intelligence tab</t>
        </is>
      </c>
      <c r="AQ23" s="555" t="inlineStr">
        <is>
          <t>Corporate execs: Caiafa USAFA + Duke Law + Duke Fuqua, Greear U Richmond + Vanderbilt, Bowes Clemson, Bhayani SMU, Houghton Illinois State.
👉 See Signal Intel: Authority Brands section</t>
        </is>
      </c>
    </row>
    <row r="24" ht="280" customHeight="1" s="435">
      <c r="A24" s="147" t="n">
        <v>21</v>
      </c>
      <c r="B24" s="185" t="inlineStr">
        <is>
          <t>The Junkluggers</t>
        </is>
      </c>
      <c r="C24" s="456" t="inlineStr">
        <is>
          <t>Authority Brands</t>
        </is>
      </c>
      <c r="D24" s="186" t="inlineStr">
        <is>
          <t>Junk Removal</t>
        </is>
      </c>
      <c r="E24" s="187" t="n">
        <v>150</v>
      </c>
      <c r="F24" s="187" t="n">
        <v>3</v>
      </c>
      <c r="G24" s="188" t="inlineStr">
        <is>
          <t>Greenfield</t>
        </is>
      </c>
      <c r="H24" s="19" t="inlineStr">
        <is>
          <t>TBD</t>
        </is>
      </c>
      <c r="I24" s="194" t="inlineStr">
        <is>
          <t>MED</t>
        </is>
      </c>
      <c r="J24" s="110" t="inlineStr">
        <is>
          <t>Greenfield / Paper</t>
        </is>
      </c>
      <c r="K24" s="120" t="inlineStr">
        <is>
          <t>🟢 None</t>
        </is>
      </c>
      <c r="L24" s="117" t="inlineStr">
        <is>
          <t>Validate with Andrea</t>
        </is>
      </c>
      <c r="M24" s="117" t="inlineStr">
        <is>
          <t>Validate with Andrea</t>
        </is>
      </c>
      <c r="N24" s="117" t="inlineStr">
        <is>
          <t>Validate via FDD</t>
        </is>
      </c>
      <c r="O24" s="109" t="inlineStr">
        <is>
          <t>❓ Unknown</t>
        </is>
      </c>
      <c r="P24" s="186" t="inlineStr">
        <is>
          <t>(Franchisee Owner)</t>
        </is>
      </c>
      <c r="Q24" s="186" t="inlineStr">
        <is>
          <t>Owner/Operator</t>
        </is>
      </c>
      <c r="R24" s="169" t="inlineStr">
        <is>
          <t>TBD — Junkluggers brand president
← Approach via Tij Bedi (CTO Authority Brands)
Greenfield FSM — junk removal, dispatch model</t>
        </is>
      </c>
      <c r="S24" s="169" t="inlineStr">
        <is>
          <t>TBD</t>
        </is>
      </c>
      <c r="T24" s="169" t="inlineStr">
        <is>
          <t>TBD — verify GPS Insight customer via Andrea</t>
        </is>
      </c>
      <c r="U24" s="171" t="n"/>
      <c r="V24" s="189" t="n"/>
      <c r="W24" s="190" t="inlineStr">
        <is>
          <t>Profile + outreach</t>
        </is>
      </c>
      <c r="X24" s="190" t="n"/>
      <c r="Y24" s="191" t="inlineStr">
        <is>
          <t>2-person truck model</t>
        </is>
      </c>
      <c r="Z24" s="195" t="inlineStr">
        <is>
          <t>SOURCE: Authority Brands website + franchise directories 2025
ITEM 19 — Unit Economics:
• Eco-friendly junk removal franchise
• Part of Authority Brands
• On-demand dispatch model
• Investment range: est. $100K-$175K
ITEM 11 — Technology:
Authority Brands tech stack — verify FSM mandate
Dispatch model — ServiceBridge Smart Scheduler fit
NOTE: Authority Brands portfolio.</t>
        </is>
      </c>
      <c r="AA24" s="193" t="inlineStr">
        <is>
          <t>VERIFY: Authority Brands tech mandate
KEY ANGLES:
• On-demand dispatch optimization
• Authority mandate = top-down play</t>
        </is>
      </c>
      <c r="AB24" s="175" t="n"/>
      <c r="AC24" s="175" t="n"/>
      <c r="AD24" s="175" t="n"/>
      <c r="AE24" s="183" t="n">
        <v>46</v>
      </c>
      <c r="AF24" s="177" t="inlineStr">
        <is>
          <t>+15</t>
        </is>
      </c>
      <c r="AG24" s="184" t="inlineStr">
        <is>
          <t>61
🟡 QUEUE</t>
        </is>
      </c>
      <c r="AH24" s="555" t="inlineStr">
        <is>
          <t>Justin Waltz (Brand President since Jan 2024)
LinkedIn: https://www.linkedin.com/in/justinwaltz/
Towson University ⭐
1-800-GOT-JUNK truck driver origin 2005.
Then College HUNKS Hauling Junk corporate → Big Blue Swim School → Junkluggers.</t>
        </is>
      </c>
      <c r="AI24" s="555" t="inlineStr">
        <is>
          <t>JWaltz@authoritybrandsllc.com</t>
        </is>
      </c>
      <c r="AJ24" s="555" t="inlineStr">
        <is>
          <t>Josh Greear (corporate CFO)
https://www.linkedin.com/in/joshgreear/
JGreear@authoritybrandsllc.com
✓ NEW Sep 2025. Ex-CFO Primrose Schools, ex-Cracker Barrel, ex-Home Depot.</t>
        </is>
      </c>
      <c r="AK24" s="555" t="inlineStr">
        <is>
          <t>Jordan Wilson (CDO corporate)
https://www.linkedin.com/in/jwilsoncfe/
JWilson@authoritybrandsllc.com
✓ Joined Jan 2023, ex-Scorpion SVP Franchise Sales. CFE. Reports to CEO.</t>
        </is>
      </c>
      <c r="AL24" s="518" t="inlineStr">
        <is>
          <t>Junk removal = van-fleet driven. Strong telematics + dispatch fit.</t>
        </is>
      </c>
      <c r="AM24" s="518" t="inlineStr">
        <is>
          <t>Score: 61 🟡 QUEUE
Direct overlap with Junk King (Neighborly) and Rubbish Works (PSB).</t>
        </is>
      </c>
      <c r="AN24" s="518" t="inlineStr">
        <is>
          <t>Justin Waltz (Brand Pres Jan 2024)
Josh Cohen (Founder, departed)
Leanne Stapf (EVP Authority Brands)
Boxwood Partners advisors: Brian Alas (MD), Madison Day (VP)</t>
        </is>
      </c>
      <c r="AO24" s="555" t="inlineStr">
        <is>
          <t>Steve Clemente (Pres/COO Trade Brands Dec 2025) oversees most trade brands. CEO Jay Caiafa (Aug 2025, USAFA + Duke). ServiceTitan partnership = displacement story.
👉 See Signal Intel: Authority Brands section</t>
        </is>
      </c>
      <c r="AP24" s="555" t="inlineStr">
        <is>
          <t>Authority Brands Annual Convention / IGNITE 2026 (Reno held early 2026 with Caiafa keynote)
Service Trades Brands Conference w/ BuyMax breakouts
👉 See Event Intelligence tab</t>
        </is>
      </c>
      <c r="AQ24" s="555" t="inlineStr">
        <is>
          <t>🎓 JUSTIN WALTZ (Brand Pres since Jan 2024):
• Towson University ⭐
• Started as 1-800-GOT-JUNK truck driver 2005. Then College HUNKS Hauling Junk corporate. Big Blue Swim School. Industry-rooted.
• Family in automotive + hospitality industries
• Tom Swift (Authority EVP oversight): Presbyterian + Mercer Law + UFlorida LLM + CFP ⭐⭐
👉 See Signal Intel: Authority Brands</t>
        </is>
      </c>
    </row>
    <row r="25" ht="280" customHeight="1" s="435">
      <c r="A25" s="147" t="n">
        <v>22</v>
      </c>
      <c r="B25" s="185" t="inlineStr">
        <is>
          <t>Mister Sparky</t>
        </is>
      </c>
      <c r="C25" s="456" t="inlineStr">
        <is>
          <t>Authority Brands</t>
        </is>
      </c>
      <c r="D25" s="186" t="inlineStr">
        <is>
          <t>Electrical</t>
        </is>
      </c>
      <c r="E25" s="187" t="n">
        <v>219</v>
      </c>
      <c r="F25" s="187" t="n">
        <v>5</v>
      </c>
      <c r="G25" s="188" t="inlineStr">
        <is>
          <t>Greenfield</t>
        </is>
      </c>
      <c r="H25" s="19" t="inlineStr">
        <is>
          <t>TBD</t>
        </is>
      </c>
      <c r="I25" s="180" t="inlineStr">
        <is>
          <t>HIGH — ServiceTitan MANDATED — transition announced Sep 2024</t>
        </is>
      </c>
      <c r="J25" s="166" t="inlineStr">
        <is>
          <t>ServiceTitan</t>
        </is>
      </c>
      <c r="K25" s="167" t="inlineStr">
        <is>
          <t>🔴 High</t>
        </is>
      </c>
      <c r="L25" s="117" t="inlineStr">
        <is>
          <t>Validate with Andrea</t>
        </is>
      </c>
      <c r="M25" s="117" t="inlineStr">
        <is>
          <t>Validate with Andrea</t>
        </is>
      </c>
      <c r="N25" s="117" t="inlineStr">
        <is>
          <t>Validate via FDD</t>
        </is>
      </c>
      <c r="O25" s="109" t="inlineStr">
        <is>
          <t>❓ Unknown</t>
        </is>
      </c>
      <c r="P25" s="186" t="inlineStr">
        <is>
          <t>(Franchisee Owner)</t>
        </is>
      </c>
      <c r="Q25" s="186" t="inlineStr">
        <is>
          <t>Owner/Operator</t>
        </is>
      </c>
      <c r="R25" s="168" t="inlineStr">
        <is>
          <t>TBD — Mister Sparky brand president
⚠️ ST MANDATED Sep 2024 — NO FSM pitch</t>
        </is>
      </c>
      <c r="S25" s="169" t="inlineStr">
        <is>
          <t>TBD</t>
        </is>
      </c>
      <c r="T25" s="169" t="inlineStr">
        <is>
          <t>TBD — GPS Insight telematics only</t>
        </is>
      </c>
      <c r="U25" s="171" t="n"/>
      <c r="V25" s="189" t="n"/>
      <c r="W25" s="190" t="inlineStr">
        <is>
          <t>Profile + outreach</t>
        </is>
      </c>
      <c r="X25" s="190" t="n"/>
      <c r="Y25" s="191" t="inlineStr">
        <is>
          <t>Licensed electricians — compliance + dispatch fit</t>
        </is>
      </c>
      <c r="Z25" s="144" t="inlineStr">
        <is>
          <t>SOURCE: ServiceTitan press release Sep 2024
ServiceTitan MANDATED — transition announced Sep 2024.
CONFLICT: High.
GPS Insight angle only.</t>
        </is>
      </c>
      <c r="AA25" s="118" t="inlineStr">
        <is>
          <t>Check FSM mandate first. If ST-mandated: no FSM pitch, GPS Insight only.
If greenfield: run Insight Engine ROI Calculator.</t>
        </is>
      </c>
      <c r="AB25" s="175" t="n"/>
      <c r="AC25" s="175" t="n"/>
      <c r="AD25" s="175" t="n"/>
      <c r="AE25" s="183" t="n">
        <v>63</v>
      </c>
      <c r="AF25" s="177" t="inlineStr">
        <is>
          <t>+15</t>
        </is>
      </c>
      <c r="AG25" s="184" t="inlineStr">
        <is>
          <t>78
🟡 QUEUE</t>
        </is>
      </c>
      <c r="AH25" s="555" t="inlineStr">
        <is>
          <t>Steve Clemente (Pres &amp; COO Trades) — covers Mister Sparky
LinkedIn: https://www.linkedin.com/in/steve-clemente-trade-brands/
UCF + Webster Master's ⭐⭐</t>
        </is>
      </c>
      <c r="AI25" s="555" t="inlineStr">
        <is>
          <t>SClemente@authoritybrandsllc.com</t>
        </is>
      </c>
      <c r="AJ25" s="555" t="inlineStr">
        <is>
          <t>Josh Greear (corporate CFO)
https://www.linkedin.com/in/joshgreear/
JGreear@authoritybrandsllc.com
✓ NEW Sep 2025. Ex-CFO Primrose Schools, ex-Cracker Barrel, ex-Home Depot.</t>
        </is>
      </c>
      <c r="AK25" s="555" t="inlineStr">
        <is>
          <t>Jordan Wilson (CDO corporate)
https://www.linkedin.com/in/jwilsoncfe/
JWilson@authoritybrandsllc.com
✓ Joined Jan 2023, ex-Scorpion SVP Franchise Sales. CFE. Reports to CEO.</t>
        </is>
      </c>
      <c r="AL25" s="518" t="inlineStr">
        <is>
          <t>Electrical trade = ST stronghold (same as BFP, OHHAC).
Authority's 2019 acquisition with Clockwork (BFP, OHHAC, MS bundle).</t>
        </is>
      </c>
      <c r="AM25" s="518" t="inlineStr">
        <is>
          <t>Score: 78 🟡 QUEUE
★ Trades cluster = Steve Clemente's domain. Cross-brand pitch.</t>
        </is>
      </c>
      <c r="AN25" s="518" t="inlineStr">
        <is>
          <t>Steve Clemente (Pres &amp; COO Trades)
Punctual Pros franchisees Matt + Aaron Buckwalter operate Mister Sparky in Central PA
Jordan Wilson (CDO)</t>
        </is>
      </c>
      <c r="AO25" s="555" t="inlineStr">
        <is>
          <t>Falls under Steve Clemente (Pres/COO Trade Brands Dec 2025). Electrical = fleet-heavy.
👉 See Signal Intel: Authority Brands section</t>
        </is>
      </c>
      <c r="AP25" s="555" t="inlineStr">
        <is>
          <t>Authority Brands Annual Convention / IGNITE 2026 (Reno held early 2026 with Caiafa keynote)
Service Trades Brands Conference w/ BuyMax breakouts
👉 See Event Intelligence tab</t>
        </is>
      </c>
      <c r="AQ25" s="555" t="inlineStr">
        <is>
          <t>🎓 AUTHORITY BRANDS (Trade Brands oversight):
• Steve Clemente (Pres/COO Trade Brands Dec 2025): UCF + Webster ⭐
• Jay Caiafa (Authority CEO): USAFA + Duke Law + Duke Fuqua ⭐⭐⭐
👉 See Signal Intel: Authority Brands</t>
        </is>
      </c>
    </row>
    <row r="26" ht="280" customHeight="1" s="435">
      <c r="A26" s="147" t="n">
        <v>23</v>
      </c>
      <c r="B26" s="185" t="inlineStr">
        <is>
          <t>Monster Tree Service</t>
        </is>
      </c>
      <c r="C26" s="456" t="inlineStr">
        <is>
          <t>Authority Brands</t>
        </is>
      </c>
      <c r="D26" s="186" t="inlineStr">
        <is>
          <t>Tree Service</t>
        </is>
      </c>
      <c r="E26" s="187" t="n">
        <v>150</v>
      </c>
      <c r="F26" s="187" t="n">
        <v>4</v>
      </c>
      <c r="G26" s="188" t="inlineStr">
        <is>
          <t>Greenfield</t>
        </is>
      </c>
      <c r="H26" s="19" t="inlineStr">
        <is>
          <t>TBD</t>
        </is>
      </c>
      <c r="I26" s="194" t="inlineStr">
        <is>
          <t>MED</t>
        </is>
      </c>
      <c r="J26" s="110" t="inlineStr">
        <is>
          <t>Greenfield / Paper</t>
        </is>
      </c>
      <c r="K26" s="120" t="inlineStr">
        <is>
          <t>🟢 None</t>
        </is>
      </c>
      <c r="L26" s="117" t="inlineStr">
        <is>
          <t>Validate with Andrea</t>
        </is>
      </c>
      <c r="M26" s="117" t="inlineStr">
        <is>
          <t>Validate with Andrea</t>
        </is>
      </c>
      <c r="N26" s="117" t="inlineStr">
        <is>
          <t>Validate via FDD</t>
        </is>
      </c>
      <c r="O26" s="109" t="inlineStr">
        <is>
          <t>❓ Unknown</t>
        </is>
      </c>
      <c r="P26" s="186" t="inlineStr">
        <is>
          <t>(Franchisee Owner)</t>
        </is>
      </c>
      <c r="Q26" s="186" t="inlineStr">
        <is>
          <t>Owner/Operator</t>
        </is>
      </c>
      <c r="R26" s="169" t="inlineStr">
        <is>
          <t>TBD — Monster Tree brand president
← Approach via Tij Bedi (CTO Authority Brands)
Greenfield FSM — project/tree service model</t>
        </is>
      </c>
      <c r="S26" s="169" t="inlineStr">
        <is>
          <t>TBD</t>
        </is>
      </c>
      <c r="T26" s="169" t="inlineStr">
        <is>
          <t>TBD</t>
        </is>
      </c>
      <c r="U26" s="171" t="n"/>
      <c r="V26" s="189" t="n"/>
      <c r="W26" s="190" t="inlineStr">
        <is>
          <t>Profile + outreach</t>
        </is>
      </c>
      <c r="X26" s="190" t="n"/>
      <c r="Y26" s="191" t="inlineStr">
        <is>
          <t>Crew-based tree work</t>
        </is>
      </c>
      <c r="Z26" s="195" t="inlineStr">
        <is>
          <t>SOURCE: Authority Brands website + franchise directories 2025
ITEM 19 — Unit Economics:
• Tree care + arborist services
• Part of Authority Brands
• Project + emergency dispatch model
• Investment range: est. $150K-$300K
ITEM 11 — Technology:
Authority Brands tech stack — verify FSM mandate
Project estimate + emergency dispatch
NOTE: Authority Brands portfolio.</t>
        </is>
      </c>
      <c r="AA26" s="193" t="inlineStr">
        <is>
          <t>VERIFY: Authority Brands tech mandate
KEY ANGLES:
• Emergency dispatch + project scheduling
• Authority mandate = top-down play</t>
        </is>
      </c>
      <c r="AB26" s="175" t="n"/>
      <c r="AC26" s="175" t="n"/>
      <c r="AD26" s="175" t="n"/>
      <c r="AE26" s="183" t="n">
        <v>46</v>
      </c>
      <c r="AF26" s="177" t="inlineStr">
        <is>
          <t>+15</t>
        </is>
      </c>
      <c r="AG26" s="184" t="inlineStr">
        <is>
          <t>61
🟡 QUEUE</t>
        </is>
      </c>
      <c r="AH26" s="555" t="inlineStr">
        <is>
          <t>Rob White (Brand President since Nov 2023)
LinkedIn: https://www.linkedin.com/in/rob-white-trexlo/
Virginia Tech BS Business Finance + VCU MBA ⭐
Tom Swift (EVP oversight): Presbyterian + Mercer Law + UFlorida LLM Tax + CFP ⭐⭐
LinkedIn (Tom Swift): https://www.linkedin.com/in/tom-swift-597a2018/</t>
        </is>
      </c>
      <c r="AI26" s="555" t="inlineStr">
        <is>
          <t>TSwift@authoritybrandsllc.com</t>
        </is>
      </c>
      <c r="AJ26" s="555" t="inlineStr">
        <is>
          <t>Josh Greear (corporate CFO)
https://www.linkedin.com/in/joshgreear/
JGreear@authoritybrandsllc.com
✓ NEW Sep 2025. Ex-CFO Primrose Schools, ex-Cracker Barrel, ex-Home Depot.</t>
        </is>
      </c>
      <c r="AK26" s="555" t="inlineStr">
        <is>
          <t>Jordan Wilson (CDO corporate)
https://www.linkedin.com/in/jwilsoncfe/
JWilson@authoritybrandsllc.com
✓ Joined Jan 2023, ex-Scorpion SVP Franchise Sales. CFE. Reports to CEO.</t>
        </is>
      </c>
      <c r="AL26" s="518" t="inlineStr">
        <is>
          <t>Tree service = fleet + equipment-heavy vertical. Strong FSM/telematics fit.
Authority's 2026 conference held in Las Vegas Jan 2026 — recent franchisee event.</t>
        </is>
      </c>
      <c r="AM26" s="518" t="inlineStr">
        <is>
          <t>Score: 61 🟡 QUEUE
Outdoor Brands cluster — outside Trades ST mandate. Greenfield potential.</t>
        </is>
      </c>
      <c r="AN26" s="518" t="inlineStr">
        <is>
          <t>Tom Swift (EVP Outdoor Brands)
Brand-specific president still TBD post-acquisition
Boxwood Partners assisted on this acquisition (5th client to Authority)</t>
        </is>
      </c>
      <c r="AO26" s="555" t="inlineStr">
        <is>
          <t>⚠️ NOTE: Monster Tree was Skolnick's pre-HorsePower brand, sold to Authority Sept 2020 ($240 territories). Skolnick relationship still warm at Authority.
👉 See Signal Intel: Authority Brands + HorsePower sections</t>
        </is>
      </c>
      <c r="AP26" s="555" t="inlineStr">
        <is>
          <t>Authority Brands Annual Convention / IGNITE 2026 (Reno held early 2026 with Caiafa keynote)
Service Trades Brands Conference w/ BuyMax breakouts
👉 See Event Intelligence tab</t>
        </is>
      </c>
      <c r="AQ26" s="555" t="inlineStr">
        <is>
          <t>🎓 AUTHORITY:
• Rob White (Brand Pres since Nov 2023): Virginia Tech BS Business Finance + VCU MBA ⭐
• Tom Swift (EVP oversight): Presbyterian College BA + Mercer Law JD + UFlorida LLM Tax Law + CFP ⭐⭐
• Jay Caiafa (Authority CEO): USAFA + Duke Law + Duke Fuqua ⭐⭐⭐
👉 See Signal Intel: Authority Brands</t>
        </is>
      </c>
    </row>
    <row r="27" ht="280" customHeight="1" s="435">
      <c r="A27" s="147" t="n">
        <v>24</v>
      </c>
      <c r="B27" s="185" t="inlineStr">
        <is>
          <t>Mosquito Squad</t>
        </is>
      </c>
      <c r="C27" s="456" t="inlineStr">
        <is>
          <t>Authority Brands</t>
        </is>
      </c>
      <c r="D27" s="186" t="inlineStr">
        <is>
          <t>Pest Control</t>
        </is>
      </c>
      <c r="E27" s="187" t="n">
        <v>250</v>
      </c>
      <c r="F27" s="187" t="n">
        <v>3</v>
      </c>
      <c r="G27" s="188" t="inlineStr">
        <is>
          <t>Greenfield</t>
        </is>
      </c>
      <c r="H27" s="19" t="inlineStr">
        <is>
          <t>TBD</t>
        </is>
      </c>
      <c r="I27" s="182" t="inlineStr">
        <is>
          <t>VERIFY — Authority Brands tech mandate status unknown — verify with Tij Bedi (CTO) before outreach</t>
        </is>
      </c>
      <c r="J27" s="117" t="inlineStr">
        <is>
          <t>FieldRoutes possible</t>
        </is>
      </c>
      <c r="K27" s="109" t="inlineStr">
        <is>
          <t>🟡 Medium</t>
        </is>
      </c>
      <c r="L27" s="117" t="inlineStr">
        <is>
          <t>Validate with Andrea</t>
        </is>
      </c>
      <c r="M27" s="117" t="inlineStr">
        <is>
          <t>Validate with Andrea</t>
        </is>
      </c>
      <c r="N27" s="117" t="inlineStr">
        <is>
          <t>Validate via FDD</t>
        </is>
      </c>
      <c r="O27" s="109" t="inlineStr">
        <is>
          <t>❓ Unknown</t>
        </is>
      </c>
      <c r="P27" s="186" t="inlineStr">
        <is>
          <t>(Franchisee Owner)</t>
        </is>
      </c>
      <c r="Q27" s="186" t="inlineStr">
        <is>
          <t>Owner/Operator</t>
        </is>
      </c>
      <c r="R27" s="169" t="inlineStr">
        <is>
          <t>TBD — Mosquito Squad brand president
← Approach via Tij Bedi (CTO Authority Brands)
Greenfield FSM — route/pest model</t>
        </is>
      </c>
      <c r="S27" s="169" t="inlineStr">
        <is>
          <t>TBD</t>
        </is>
      </c>
      <c r="T27" s="169" t="inlineStr">
        <is>
          <t>TBD — verify GPS Insight customer</t>
        </is>
      </c>
      <c r="U27" s="171" t="n"/>
      <c r="V27" s="189" t="n"/>
      <c r="W27" s="190" t="inlineStr">
        <is>
          <t>Profile + outreach</t>
        </is>
      </c>
      <c r="X27" s="190" t="n"/>
      <c r="Y27" s="191" t="inlineStr">
        <is>
          <t>Route recurring pest control</t>
        </is>
      </c>
      <c r="Z27" s="192" t="inlineStr">
        <is>
          <t>SOURCE: Authority Brands / franchise directories 2025
ITEM 19 — Unit Economics:
• 410+ franchised territories as of Dec 31, 2024 (Mosquito Joe FDD comparison)
• Largest mosquito control franchise network in US
• Recurring seasonal route model
• Investment range: est. $95K-$140K
ITEM 11 — Technology:
Authority Brands tech stack — verify FSM mandate
Route-based seasonal model = FieldRoutes likely in use
VERIFY with Tij Bedi (CTO) before outreach
NOTE: Authority Brands portfolio.</t>
        </is>
      </c>
      <c r="AA27" s="193" t="inlineStr">
        <is>
          <t>VERIFY: Authority Brands / FieldRoutes mandate
KEY ANGLES:
• Route optimization = more stops per season
• If FieldRoutes confirmed — GPS telematics only
• Authority mandate = top-down play</t>
        </is>
      </c>
      <c r="AB27" s="175" t="n"/>
      <c r="AC27" s="175" t="n"/>
      <c r="AD27" s="175" t="n"/>
      <c r="AE27" s="183" t="n">
        <v>51</v>
      </c>
      <c r="AF27" s="177" t="inlineStr">
        <is>
          <t>+15</t>
        </is>
      </c>
      <c r="AG27" s="184" t="inlineStr">
        <is>
          <t>66
🟡 QUEUE</t>
        </is>
      </c>
      <c r="AH27" s="555" t="inlineStr">
        <is>
          <t>Tom Swift (EVP overseeing Mosquito Squad+Monster Tree+DoodyCalls+Screenmobile)
LinkedIn: https://www.linkedin.com/in/tom-swift-597a2018/
Was Brand President 2019-2023 → promoted to EVP June 2023
Presbyterian + Mercer Law + UFlorida LLM Tax + CFP ⭐⭐ Macon/Bibb County GA</t>
        </is>
      </c>
      <c r="AI27" s="555" t="inlineStr">
        <is>
          <t>TSwift@authoritybrandsllc.com</t>
        </is>
      </c>
      <c r="AJ27" s="555" t="inlineStr">
        <is>
          <t>Josh Greear (corporate CFO)
https://www.linkedin.com/in/joshgreear/
JGreear@authoritybrandsllc.com
✓ NEW Sep 2025. Ex-CFO Primrose Schools, ex-Cracker Barrel, ex-Home Depot.</t>
        </is>
      </c>
      <c r="AK27" s="555" t="inlineStr">
        <is>
          <t>Jordan Wilson (CDO corporate)
https://www.linkedin.com/in/jwilsoncfe/
JWilson@authoritybrandsllc.com
✓ Joined Jan 2023, ex-Scorpion SVP Franchise Sales. CFE. Reports to CEO.</t>
        </is>
      </c>
      <c r="AL27" s="518" t="inlineStr">
        <is>
          <t>Co-founded by Scott Zide (now Empower CEO) in 2004 → sold to Authority via Outdoor Living Brands path.
Pest control telematics + dispatch fit.</t>
        </is>
      </c>
      <c r="AM27" s="518" t="inlineStr">
        <is>
          <t>Score: 66 🟡 QUEUE
Outdoor cluster — Tom Swift fluent. Direct competitor to Mosquito Joe + Mosquito Shield.</t>
        </is>
      </c>
      <c r="AN27" s="518" t="inlineStr">
        <is>
          <t>Jef Flournoy (President Mosquito Squad Plus, 20th anniversary brand enhancement Jan 2025)
Tom Swift (EVP Outdoor) — was Brand Pres 2019-2023
Capricia T. (Mosquito Squad franchisee, featured Franchising Mag)</t>
        </is>
      </c>
      <c r="AO27" s="555" t="inlineStr">
        <is>
          <t>Steve Clemente (Pres/COO Trade Brands Dec 2025) oversees most trade brands. CEO Jay Caiafa (Aug 2025, USAFA + Duke). ServiceTitan partnership = displacement story.
👉 See Signal Intel: Authority Brands section</t>
        </is>
      </c>
      <c r="AP27" s="555" t="inlineStr">
        <is>
          <t>Authority Brands Annual Convention / IGNITE 2026 (Reno held early 2026 with Caiafa keynote)
Service Trades Brands Conference w/ BuyMax breakouts
👉 See Event Intelligence tab</t>
        </is>
      </c>
      <c r="AQ27" s="555" t="inlineStr">
        <is>
          <t>🎓 AUTHORITY BRANDS (Tom Swift oversight):
• Tom Swift (EVP overseeing Mosquito Squad+Monster Tree+DoodyCalls+Screenmobile, since June 2023):
  - Presbyterian College BA + Mercer Law JD 2001-2003 + UFlorida LLM (Master Tax Law) + CFP ⭐⭐
  - Macon/Bibb County GA
  - Was Brand Pres of Mosquito Squad Plus Nov 2019 - June 2023
  - Was Pres/COO ASP 2009-2019
• Jay Caiafa (Authority CEO): USAFA + Duke Law + Duke Fuqua ⭐⭐⭐
👉 See Signal Intel: Authority Brands</t>
        </is>
      </c>
    </row>
    <row r="28" ht="280" customHeight="1" s="435">
      <c r="A28" s="147" t="n">
        <v>25</v>
      </c>
      <c r="B28" s="185" t="inlineStr">
        <is>
          <t>One Hour Heating &amp; Air</t>
        </is>
      </c>
      <c r="C28" s="456" t="inlineStr">
        <is>
          <t>Authority Brands</t>
        </is>
      </c>
      <c r="D28" s="186" t="inlineStr">
        <is>
          <t>HVAC</t>
        </is>
      </c>
      <c r="E28" s="187" t="n">
        <v>350</v>
      </c>
      <c r="F28" s="187" t="n">
        <v>5</v>
      </c>
      <c r="G28" s="196" t="inlineStr">
        <is>
          <t>Partial/ST</t>
        </is>
      </c>
      <c r="H28" s="19" t="inlineStr">
        <is>
          <t>TBD</t>
        </is>
      </c>
      <c r="I28" s="194" t="inlineStr">
        <is>
          <t>MED</t>
        </is>
      </c>
      <c r="J28" s="166" t="inlineStr">
        <is>
          <t>ServiceTitan</t>
        </is>
      </c>
      <c r="K28" s="167" t="inlineStr">
        <is>
          <t>🔴 High</t>
        </is>
      </c>
      <c r="L28" s="117" t="inlineStr">
        <is>
          <t>Validate with Andrea</t>
        </is>
      </c>
      <c r="M28" s="117" t="inlineStr">
        <is>
          <t>Validate with Andrea</t>
        </is>
      </c>
      <c r="N28" s="117" t="inlineStr">
        <is>
          <t>Validate via FDD</t>
        </is>
      </c>
      <c r="O28" s="109" t="inlineStr">
        <is>
          <t>❓ Unknown</t>
        </is>
      </c>
      <c r="P28" s="186" t="inlineStr">
        <is>
          <t>(Franchisee Owner)</t>
        </is>
      </c>
      <c r="Q28" s="186" t="inlineStr">
        <is>
          <t>Owner/Operator</t>
        </is>
      </c>
      <c r="R28" s="168" t="inlineStr">
        <is>
          <t>TBD — One Hour brand president
⚠️ ST MANDATED Sep 2024 — NO FSM pitch</t>
        </is>
      </c>
      <c r="S28" s="169" t="inlineStr">
        <is>
          <t>TBD</t>
        </is>
      </c>
      <c r="T28" s="169" t="inlineStr">
        <is>
          <t>TBD</t>
        </is>
      </c>
      <c r="U28" s="171" t="n"/>
      <c r="V28" s="189" t="n"/>
      <c r="W28" s="190" t="inlineStr">
        <is>
          <t>Conflict check first</t>
        </is>
      </c>
      <c r="X28" s="190" t="n"/>
      <c r="Y28" s="191" t="inlineStr">
        <is>
          <t>Verify ST mandate status</t>
        </is>
      </c>
      <c r="Z28" s="144" t="inlineStr">
        <is>
          <t>SOURCE: ServiceTitan press release Sep 2024
ServiceTitan MANDATED — transition announced Sep 2024.
CONFLICT: High.
GPS Insight angle only.</t>
        </is>
      </c>
      <c r="AA28" s="118" t="inlineStr">
        <is>
          <t>Check FSM mandate first. If ST-mandated: no FSM pitch, GPS Insight only.
If greenfield: run Insight Engine ROI Calculator.</t>
        </is>
      </c>
      <c r="AB28" s="175" t="n"/>
      <c r="AC28" s="175" t="n"/>
      <c r="AD28" s="175" t="n"/>
      <c r="AE28" s="176" t="n">
        <v>43</v>
      </c>
      <c r="AF28" s="177" t="inlineStr">
        <is>
          <t>+15</t>
        </is>
      </c>
      <c r="AG28" s="184" t="inlineStr">
        <is>
          <t>58
🟡 QUEUE</t>
        </is>
      </c>
      <c r="AH28" s="555" t="inlineStr">
        <is>
          <t>Steve Clemente (Pres &amp; COO Trades) — covers OHHAC
LinkedIn: https://www.linkedin.com/in/steve-clemente-trade-brands/
UCF + Webster Master's ⭐⭐</t>
        </is>
      </c>
      <c r="AI28" s="555" t="inlineStr">
        <is>
          <t>SClemente@authoritybrandsllc.com</t>
        </is>
      </c>
      <c r="AJ28" s="555" t="inlineStr">
        <is>
          <t>Josh Greear (corporate CFO)
https://www.linkedin.com/in/joshgreear/
JGreear@authoritybrandsllc.com
✓ NEW Sep 2025. Ex-CFO Primrose Schools, ex-Cracker Barrel, ex-Home Depot.</t>
        </is>
      </c>
      <c r="AK28" s="555" t="inlineStr">
        <is>
          <t>Jordan Wilson (CDO corporate)
https://www.linkedin.com/in/jwilsoncfe/
JWilson@authoritybrandsllc.com
✓ Joined Jan 2023, ex-Scorpion SVP Franchise Sales. CFE. Reports to CEO.</t>
        </is>
      </c>
      <c r="AL28" s="518" t="inlineStr">
        <is>
          <t>HVAC = ST stronghold. Authority 2026 Trades Brands Conference held April 13-15 in Reno included OHHAC.</t>
        </is>
      </c>
      <c r="AM28" s="518" t="inlineStr">
        <is>
          <t>Score: 58 🟡 QUEUE
Trades cluster Steve Clemente focus.</t>
        </is>
      </c>
      <c r="AN28" s="518" t="inlineStr">
        <is>
          <t>Steve Clemente (Pres &amp; COO Trades)
Punctual Pros franchisees (Matt+Aaron Buckwalter) operate OHHAC Central PA
Scott Wood Jr. (OHHAC+BFP franchisee Omaha)
2026 Trades Brands Conference April 13-15 Reno</t>
        </is>
      </c>
      <c r="AO28" s="555" t="inlineStr">
        <is>
          <t>Falls under Steve Clemente (Pres/COO Trade Brands Dec 2025). HVAC = highest fleet/dispatch intensity.
👉 See Signal Intel: Authority Brands section</t>
        </is>
      </c>
      <c r="AP28" s="555" t="inlineStr">
        <is>
          <t>Authority Brands Annual Convention / IGNITE 2026 (Reno held early 2026 with Caiafa keynote)
Service Trades Brands Conference w/ BuyMax breakouts
👉 See Event Intelligence tab</t>
        </is>
      </c>
      <c r="AQ28" s="555" t="inlineStr">
        <is>
          <t>🎓 AUTHORITY BRANDS (Trade Brands):
• Steve Clemente (Pres/COO Trade Brands): UCF + Webster ⭐
• Jay Caiafa (Authority CEO): USAFA + Duke Law + Duke Fuqua ⭐⭐⭐
👉 See Signal Intel: Authority Brands</t>
        </is>
      </c>
    </row>
    <row r="29" ht="280" customHeight="1" s="435">
      <c r="A29" s="147" t="n">
        <v>26</v>
      </c>
      <c r="B29" s="185" t="inlineStr">
        <is>
          <t>Screenmobile</t>
        </is>
      </c>
      <c r="C29" s="456" t="inlineStr">
        <is>
          <t>Authority Brands</t>
        </is>
      </c>
      <c r="D29" s="186" t="inlineStr">
        <is>
          <t>Window/Exterior</t>
        </is>
      </c>
      <c r="E29" s="187" t="n">
        <v>100</v>
      </c>
      <c r="F29" s="187" t="n">
        <v>3</v>
      </c>
      <c r="G29" s="188" t="inlineStr">
        <is>
          <t>Greenfield</t>
        </is>
      </c>
      <c r="H29" s="19" t="inlineStr">
        <is>
          <t>TBD</t>
        </is>
      </c>
      <c r="I29" s="194" t="inlineStr">
        <is>
          <t>MED</t>
        </is>
      </c>
      <c r="J29" s="110" t="inlineStr">
        <is>
          <t>Greenfield / Paper</t>
        </is>
      </c>
      <c r="K29" s="120" t="inlineStr">
        <is>
          <t>🟢 None</t>
        </is>
      </c>
      <c r="L29" s="117" t="inlineStr">
        <is>
          <t>Validate with Andrea</t>
        </is>
      </c>
      <c r="M29" s="117" t="inlineStr">
        <is>
          <t>Validate with Andrea</t>
        </is>
      </c>
      <c r="N29" s="117" t="inlineStr">
        <is>
          <t>Validate via FDD</t>
        </is>
      </c>
      <c r="O29" s="109" t="inlineStr">
        <is>
          <t>❓ Unknown</t>
        </is>
      </c>
      <c r="P29" s="186" t="inlineStr">
        <is>
          <t>(Franchisee Owner)</t>
        </is>
      </c>
      <c r="Q29" s="186" t="inlineStr">
        <is>
          <t>Owner/Operator</t>
        </is>
      </c>
      <c r="R29" s="169" t="inlineStr">
        <is>
          <t>TBD — Screenmobile brand president
← Approach via Tij Bedi (CTO Authority Brands)
Greenfield FSM</t>
        </is>
      </c>
      <c r="S29" s="169" t="inlineStr">
        <is>
          <t>TBD</t>
        </is>
      </c>
      <c r="T29" s="169" t="inlineStr">
        <is>
          <t>TBD</t>
        </is>
      </c>
      <c r="U29" s="171" t="n"/>
      <c r="V29" s="189" t="n"/>
      <c r="W29" s="190" t="inlineStr">
        <is>
          <t>Profile + outreach</t>
        </is>
      </c>
      <c r="X29" s="190" t="n"/>
      <c r="Y29" s="191" t="inlineStr">
        <is>
          <t>Mobile screen repair — route-based</t>
        </is>
      </c>
      <c r="Z29" s="195" t="inlineStr">
        <is>
          <t>SOURCE: Authority Brands + franchise directories 2025
ITEM 19 — Unit Economics:
• Screen installation + repair — mobile model
• Part of Authority Brands
• Investment range: est. $75K-$120K
ITEM 11 — Technology:
Authority Brands tech stack
Mobile service model — scheduling + routing
NOTE: Authority Brands portfolio.</t>
        </is>
      </c>
      <c r="AA29" s="193" t="inlineStr">
        <is>
          <t>VERIFY: Authority Brands tech mandate
KEY ANGLES:
• Mobile scheduling + route optimization
• Authority mandate = top-down play</t>
        </is>
      </c>
      <c r="AB29" s="175" t="n"/>
      <c r="AC29" s="175" t="n"/>
      <c r="AD29" s="175" t="n"/>
      <c r="AE29" s="183" t="n">
        <v>48</v>
      </c>
      <c r="AF29" s="177" t="inlineStr">
        <is>
          <t>+15</t>
        </is>
      </c>
      <c r="AG29" s="184" t="inlineStr">
        <is>
          <t>63
🟡 QUEUE</t>
        </is>
      </c>
      <c r="AH29" s="555" t="inlineStr">
        <is>
          <t>Clint Rowley (Brand President NEW late 2024)
LinkedIn: https://www.linkedin.com/in/clint-rowley/
Operator/franchising path. Previous: ASP + Monster Tree Service experience.
Tom Swift (EVP oversight): Presbyterian + Mercer Law + UFlorida LLM ⭐⭐
[Alumni file - Tom Swift]: https://www.linkedin.com/in/tom-swift-597a2018/</t>
        </is>
      </c>
      <c r="AI29" s="555" t="inlineStr">
        <is>
          <t>TSwift@authoritybrandsllc.com</t>
        </is>
      </c>
      <c r="AJ29" s="555" t="inlineStr">
        <is>
          <t>Josh Greear (corporate CFO)
https://www.linkedin.com/in/joshgreear/
JGreear@authoritybrandsllc.com
✓ NEW Sep 2025. Ex-CFO Primrose Schools, ex-Cracker Barrel, ex-Home Depot.</t>
        </is>
      </c>
      <c r="AK29" s="555" t="inlineStr">
        <is>
          <t>Jordan Wilson (CDO corporate)
https://www.linkedin.com/in/jwilsoncfe/
JWilson@authoritybrandsllc.com
✓ Joined Jan 2023, ex-Scorpion SVP Franchise Sales. CFE. Reports to CEO.</t>
        </is>
      </c>
      <c r="AL29" s="518" t="inlineStr">
        <is>
          <t>Screen repair = mobile-fleet vertical.
Authority's 2026 Screenmobile Convention Jan 25-27 in Vegas (Westgate).</t>
        </is>
      </c>
      <c r="AM29" s="518" t="inlineStr">
        <is>
          <t>Score: 63 🟡 QUEUE
Recent acquisition (2023) — onboarding still ongoing. Greenfield window.</t>
        </is>
      </c>
      <c r="AN29" s="518" t="inlineStr">
        <is>
          <t>Tom Swift (EVP Outdoor)
Brand-specific pres TBD
Screenmobile Convention Jan 25-27 2026 Vegas Westgate</t>
        </is>
      </c>
      <c r="AO29" s="555" t="inlineStr">
        <is>
          <t>Steve Clemente (Pres/COO Trade Brands Dec 2025) oversees most trade brands. CEO Jay Caiafa (Aug 2025, USAFA + Duke). ServiceTitan partnership = displacement story.
👉 See Signal Intel: Authority Brands section</t>
        </is>
      </c>
      <c r="AP29" s="555" t="inlineStr">
        <is>
          <t>Authority Brands Annual Convention / IGNITE 2026 (Reno held early 2026 with Caiafa keynote)
Service Trades Brands Conference w/ BuyMax breakouts
👉 See Event Intelligence tab</t>
        </is>
      </c>
      <c r="AQ29" s="555" t="inlineStr">
        <is>
          <t>🎓 AUTHORITY BRANDS:
• Clint Rowley (Brand Pres NEW 2024): Operator/franchising path. Previous experience America's Swimming Pool Company + Monster Tree Service. School pending direct verification.
• Tom Swift (EVP oversight): Presbyterian + Mercer Law + UFlorida LLM Tax + CFP ⭐⭐
• Scott Walker (former CEO/Pres, family-founded 1982 Glendora CA — now post-acquisition): Walker family business
• Jay Caiafa (Authority CEO): USAFA + Duke Law + Duke Fuqua ⭐⭐⭐
👉 See Signal Intel: Authority Brands</t>
        </is>
      </c>
    </row>
    <row r="30" ht="280" customHeight="1" s="435">
      <c r="A30" s="147" t="n">
        <v>27</v>
      </c>
      <c r="B30" s="185" t="inlineStr">
        <is>
          <t>STOP Restoration</t>
        </is>
      </c>
      <c r="C30" s="456" t="inlineStr">
        <is>
          <t>Authority Brands</t>
        </is>
      </c>
      <c r="D30" s="186" t="inlineStr">
        <is>
          <t>Restoration</t>
        </is>
      </c>
      <c r="E30" s="187" t="n">
        <v>150</v>
      </c>
      <c r="F30" s="187" t="n">
        <v>5</v>
      </c>
      <c r="G30" s="188" t="inlineStr">
        <is>
          <t>Greenfield</t>
        </is>
      </c>
      <c r="H30" s="19" t="inlineStr">
        <is>
          <t>TBD</t>
        </is>
      </c>
      <c r="I30" s="194" t="inlineStr">
        <is>
          <t>MED</t>
        </is>
      </c>
      <c r="J30" s="110" t="inlineStr">
        <is>
          <t>Greenfield / Paper</t>
        </is>
      </c>
      <c r="K30" s="120" t="inlineStr">
        <is>
          <t>🟢 None</t>
        </is>
      </c>
      <c r="L30" s="117" t="inlineStr">
        <is>
          <t>Validate with Andrea</t>
        </is>
      </c>
      <c r="M30" s="117" t="inlineStr">
        <is>
          <t>Validate with Andrea</t>
        </is>
      </c>
      <c r="N30" s="117" t="inlineStr">
        <is>
          <t>Validate via FDD</t>
        </is>
      </c>
      <c r="O30" s="109" t="inlineStr">
        <is>
          <t>❓ Unknown</t>
        </is>
      </c>
      <c r="P30" s="186" t="inlineStr">
        <is>
          <t>(Franchisee Owner)</t>
        </is>
      </c>
      <c r="Q30" s="186" t="inlineStr">
        <is>
          <t>Owner/Operator</t>
        </is>
      </c>
      <c r="R30" s="169" t="inlineStr">
        <is>
          <t>TBD — franchisee owner/operator</t>
        </is>
      </c>
      <c r="S30" s="169" t="inlineStr">
        <is>
          <t>TBD — office manager / dispatcher</t>
        </is>
      </c>
      <c r="T30" s="169" t="inlineStr">
        <is>
          <t>TBD — verify GPS Insight customer status via Andrea</t>
        </is>
      </c>
      <c r="U30" s="171" t="n"/>
      <c r="V30" s="189" t="n"/>
      <c r="W30" s="190" t="inlineStr">
        <is>
          <t>Profile + outreach</t>
        </is>
      </c>
      <c r="X30" s="190" t="n"/>
      <c r="Y30" s="191" t="inlineStr">
        <is>
          <t>Restoration crews — project-based</t>
        </is>
      </c>
      <c r="Z30" s="195" t="inlineStr">
        <is>
          <t>SOURCE: Authority Brands + FDD directories 2025
ITEM 19 — Unit Economics:
• Fire/water/mold restoration
• Part of Authority Brands
• Insurance-paid restoration model
• Investment range: est. $150K-$350K
ITEM 11 — Technology:
Authority Brands tech stack — verify FSM mandate
INSURANCE ANGLE: High — carrier documentation critical
NOTE: Authority Brands portfolio.</t>
        </is>
      </c>
      <c r="AA30" s="193" t="inlineStr">
        <is>
          <t>VERIFY: Authority Brands tech mandate
KEY ANGLES:
• Job photo documentation = carrier compliance
• Authority mandate = top-down play</t>
        </is>
      </c>
      <c r="AB30" s="175" t="n"/>
      <c r="AC30" s="175" t="n"/>
      <c r="AD30" s="175" t="n"/>
      <c r="AE30" s="183" t="n">
        <v>66</v>
      </c>
      <c r="AF30" s="177" t="inlineStr">
        <is>
          <t>+15</t>
        </is>
      </c>
      <c r="AG30" s="184" t="inlineStr">
        <is>
          <t>81
🟡 QUEUE</t>
        </is>
      </c>
      <c r="AH30" s="555" t="inlineStr">
        <is>
          <t>Steve Clemente (Pres &amp; COO Trades) — added STOP to Trades coverage
LinkedIn: https://www.linkedin.com/in/steve-clemente-trade-brands/
UCF + Webster Master's ⭐⭐</t>
        </is>
      </c>
      <c r="AI30" s="555" t="inlineStr">
        <is>
          <t>SClemente@authoritybrandsllc.com</t>
        </is>
      </c>
      <c r="AJ30" s="555" t="inlineStr">
        <is>
          <t>Josh Greear (corporate CFO)
https://www.linkedin.com/in/joshgreear/
JGreear@authoritybrandsllc.com
✓ NEW Sep 2025. Ex-CFO Primrose Schools, ex-Cracker Barrel, ex-Home Depot.</t>
        </is>
      </c>
      <c r="AK30" s="555" t="inlineStr">
        <is>
          <t>Jordan Wilson (CDO corporate)
https://www.linkedin.com/in/jwilsoncfe/
JWilson@authoritybrandsllc.com
✓ Joined Jan 2023, ex-Scorpion SVP Franchise Sales. CFE. Reports to CEO.</t>
        </is>
      </c>
      <c r="AL30" s="518" t="inlineStr">
        <is>
          <t>Restoration = INSURANCE CARRIER vertical.
STOP Restoration acquired 2020.</t>
        </is>
      </c>
      <c r="AM30" s="518" t="inlineStr">
        <is>
          <t>Score: 81 🟡 QUEUE — TOP-3 IN AUTHORITY
★ Same insurance angle as DRYmedic + BELFOR. Trades cluster = Clemente focus.</t>
        </is>
      </c>
      <c r="AN30" s="518" t="inlineStr">
        <is>
          <t>Steve Clemente (Pres &amp; COO Trades)
Brand-specific pres TBD
Insurance carrier relationships from 2020 acquisition
Boxwood Partners assisted (4th client to Authority)</t>
        </is>
      </c>
      <c r="AO30" s="555" t="inlineStr">
        <is>
          <t>Steve Clemente (Pres/COO Trade Brands Dec 2025) oversees most trade brands. CEO Jay Caiafa (Aug 2025, USAFA + Duke). ServiceTitan partnership = displacement story.
👉 See Signal Intel: Authority Brands section</t>
        </is>
      </c>
      <c r="AP30" s="555" t="inlineStr">
        <is>
          <t>Authority Brands Annual Convention / IGNITE 2026 (Reno held early 2026 with Caiafa keynote)
Service Trades Brands Conference w/ BuyMax breakouts
👉 See Event Intelligence tab</t>
        </is>
      </c>
      <c r="AQ30" s="555" t="inlineStr">
        <is>
          <t>🎓 AUTHORITY BRANDS:
• Steve Clemente (Pres/COO Trade Brands oversight): UCF + Webster ⭐
• Jay Caiafa (Authority CEO): USAFA + Duke Law + Duke Fuqua ⭐⭐⭐
👉 See Signal Intel: Authority Brands</t>
        </is>
      </c>
    </row>
    <row r="31" ht="280" customHeight="1" s="435">
      <c r="A31" s="147" t="n">
        <v>28</v>
      </c>
      <c r="B31" s="185" t="inlineStr">
        <is>
          <t>Lawn Squad</t>
        </is>
      </c>
      <c r="C31" s="456" t="inlineStr">
        <is>
          <t>Authority Brands</t>
        </is>
      </c>
      <c r="D31" s="186" t="inlineStr">
        <is>
          <t>Lawn Care</t>
        </is>
      </c>
      <c r="E31" s="187" t="n">
        <v>100</v>
      </c>
      <c r="F31" s="187" t="n">
        <v>3</v>
      </c>
      <c r="G31" s="188" t="inlineStr">
        <is>
          <t>Greenfield</t>
        </is>
      </c>
      <c r="H31" s="19" t="inlineStr">
        <is>
          <t>TBD</t>
        </is>
      </c>
      <c r="I31" s="182" t="inlineStr">
        <is>
          <t>VERIFY — Authority Brands tech mandate — FieldRoutes likely for route-based lawn care; verify before outreach</t>
        </is>
      </c>
      <c r="J31" s="110" t="inlineStr">
        <is>
          <t>Greenfield / Paper</t>
        </is>
      </c>
      <c r="K31" s="120" t="inlineStr">
        <is>
          <t>🟢 None</t>
        </is>
      </c>
      <c r="L31" s="117" t="inlineStr">
        <is>
          <t>Validate with Andrea</t>
        </is>
      </c>
      <c r="M31" s="117" t="inlineStr">
        <is>
          <t>Validate with Andrea</t>
        </is>
      </c>
      <c r="N31" s="117" t="inlineStr">
        <is>
          <t>Validate via FDD</t>
        </is>
      </c>
      <c r="O31" s="109" t="inlineStr">
        <is>
          <t>❓ Unknown</t>
        </is>
      </c>
      <c r="P31" s="186" t="inlineStr">
        <is>
          <t>(Franchisee Owner)</t>
        </is>
      </c>
      <c r="Q31" s="186" t="inlineStr">
        <is>
          <t>Owner/Operator</t>
        </is>
      </c>
      <c r="R31" s="169" t="inlineStr">
        <is>
          <t>TBD — franchisee owner/operator</t>
        </is>
      </c>
      <c r="S31" s="169" t="inlineStr">
        <is>
          <t>TBD — office manager / dispatcher</t>
        </is>
      </c>
      <c r="T31" s="169" t="inlineStr">
        <is>
          <t>TBD — verify GPS Insight customer status via Andrea</t>
        </is>
      </c>
      <c r="U31" s="171" t="n"/>
      <c r="V31" s="189" t="n"/>
      <c r="W31" s="190" t="inlineStr">
        <is>
          <t>Profile + outreach</t>
        </is>
      </c>
      <c r="X31" s="190" t="n"/>
      <c r="Y31" s="191" t="inlineStr">
        <is>
          <t>Newer Authority brand — clean greenfield</t>
        </is>
      </c>
      <c r="Z31" s="192" t="inlineStr">
        <is>
          <t>SOURCE: Authority Brands + franchise directories 2025
ITEM 19 — Unit Economics:
• Lawn care + landscaping services
• Part of Authority Brands
• Recurring route model
• Investment range: est. $75K-$150K
ITEM 11 — Technology:
Authority Brands tech stack — verify FSM mandate
Route-based recurring = FieldRoutes likely
NOTE: Authority Brands portfolio.</t>
        </is>
      </c>
      <c r="AA31" s="193" t="inlineStr">
        <is>
          <t>VERIFY: Authority Brands tech mandate
KEY ANGLES:
• Route optimization
• Authority mandate = top-down play</t>
        </is>
      </c>
      <c r="AB31" s="175" t="n"/>
      <c r="AC31" s="175" t="n"/>
      <c r="AD31" s="175" t="n"/>
      <c r="AE31" s="183" t="n">
        <v>51</v>
      </c>
      <c r="AF31" s="177" t="inlineStr">
        <is>
          <t>+15</t>
        </is>
      </c>
      <c r="AG31" s="184" t="inlineStr">
        <is>
          <t>66
🟡 QUEUE</t>
        </is>
      </c>
      <c r="AH31" s="555" t="inlineStr">
        <is>
          <t>Brand-specific president TBD
Acquired/launched 2023 (rebrand of Weed Pro acquisition under Authority).
Note: Lawn Squad is a recent Authority Brands launch — Brand President role appears to be a developing position.
Steve Clemente (Pres &amp; COO Trades oversight): UCF + Webster Master's ⭐⭐</t>
        </is>
      </c>
      <c r="AI31" s="555" t="inlineStr">
        <is>
          <t>SVernon@authoritybrandsllc.com</t>
        </is>
      </c>
      <c r="AJ31" s="555" t="inlineStr">
        <is>
          <t>Josh Greear (corporate CFO)
https://www.linkedin.com/in/joshgreear/
JGreear@authoritybrandsllc.com
✓ NEW Sep 2025. Ex-CFO Primrose Schools, ex-Cracker Barrel, ex-Home Depot.</t>
        </is>
      </c>
      <c r="AK31" s="555" t="inlineStr">
        <is>
          <t>Jordan Wilson (CDO corporate)
https://www.linkedin.com/in/jwilsoncfe/
JWilson@authoritybrandsllc.com
✓ Joined Jan 2023, ex-Scorpion SVP Franchise Sales. CFE. Reports to CEO.</t>
        </is>
      </c>
      <c r="AL31" s="518" t="inlineStr">
        <is>
          <t>Lawn care fleet = telematics fit. Strong seasonal scheduling.
Newest Authority brand (16th) — onboarding still active.</t>
        </is>
      </c>
      <c r="AM31" s="518" t="inlineStr">
        <is>
          <t>Score: 66 🟡 QUEUE
Newest brand = greenfield highest. Outdoor Brands cluster (Tom Swift).</t>
        </is>
      </c>
      <c r="AN31" s="518" t="inlineStr">
        <is>
          <t>Tom Swift (EVP Outdoor)
Brand-specific pres TBD post-rebrand from Weed Pro 2023
Newest brand (16th)</t>
        </is>
      </c>
      <c r="AO31" s="555" t="inlineStr">
        <is>
          <t>Steve Clemente (Pres/COO Trade Brands Dec 2025) oversees most trade brands. CEO Jay Caiafa (Aug 2025, USAFA + Duke). ServiceTitan partnership = displacement story.
👉 See Signal Intel: Authority Brands section</t>
        </is>
      </c>
      <c r="AP31" s="555" t="inlineStr">
        <is>
          <t>Authority Brands Annual Convention / IGNITE 2026 (Reno held early 2026 with Caiafa keynote)
Service Trades Brands Conference w/ BuyMax breakouts
👉 See Event Intelligence tab</t>
        </is>
      </c>
      <c r="AQ31" s="555" t="inlineStr">
        <is>
          <t>Corporate execs: Caiafa USAFA + Duke Law + Duke Fuqua, Greear U Richmond + Vanderbilt, Bowes Clemson, Bhayani SMU, Houghton Illinois State.
👉 See Signal Intel: Authority Brands section</t>
        </is>
      </c>
    </row>
    <row r="32" ht="280" customHeight="1" s="435">
      <c r="A32" s="197" t="n">
        <v>29</v>
      </c>
      <c r="B32" s="198" t="inlineStr">
        <is>
          <t>1-800 Water Damage</t>
        </is>
      </c>
      <c r="C32" s="199" t="inlineStr">
        <is>
          <t>BELFOR</t>
        </is>
      </c>
      <c r="D32" s="103" t="inlineStr">
        <is>
          <t>Water Damage</t>
        </is>
      </c>
      <c r="E32" s="200" t="n">
        <v>200</v>
      </c>
      <c r="F32" s="200" t="n">
        <v>4</v>
      </c>
      <c r="G32" s="201" t="inlineStr">
        <is>
          <t>Greenfield</t>
        </is>
      </c>
      <c r="H32" s="202" t="inlineStr">
        <is>
          <t>YES</t>
        </is>
      </c>
      <c r="I32" s="203" t="inlineStr">
        <is>
          <t>NONE — Greenfield confirmed — no FSM mandate found in BELFOR FDD; insurance carrier model benefits directly from ServiceBridge documentation</t>
        </is>
      </c>
      <c r="J32" s="110" t="inlineStr">
        <is>
          <t>Greenfield / Paper</t>
        </is>
      </c>
      <c r="K32" s="120" t="inlineStr">
        <is>
          <t>🟢 None</t>
        </is>
      </c>
      <c r="L32" s="117" t="inlineStr">
        <is>
          <t>Validate with Andrea</t>
        </is>
      </c>
      <c r="M32" s="117" t="inlineStr">
        <is>
          <t>Validate with Andrea</t>
        </is>
      </c>
      <c r="N32" s="110" t="inlineStr">
        <is>
          <t>Insurance carriers dispatch (Travelers, Allstate, State Farm)</t>
        </is>
      </c>
      <c r="O32" s="120" t="inlineStr">
        <is>
          <t>🔴 High</t>
        </is>
      </c>
      <c r="P32" s="103" t="inlineStr">
        <is>
          <t>(Franchisee Owner)</t>
        </is>
      </c>
      <c r="Q32" s="103" t="inlineStr">
        <is>
          <t>Owner/Operator</t>
        </is>
      </c>
      <c r="R32" s="204" t="inlineStr">
        <is>
          <t>Tim Fagan
President, 1-800 Water Damage
(also President, Blue Kangaroo Packoutz)
25+ yrs restoration industry. Joined BELFOR 2010. BELFOR Boot Camp instructor.</t>
        </is>
      </c>
      <c r="S32" s="169" t="inlineStr">
        <is>
          <t>TBD — office manager / dispatcher at target location
← Identify via GPS Insight telematics warm intro</t>
        </is>
      </c>
      <c r="T32" s="205" t="inlineStr">
        <is>
          <t>← Ask Andrea: GPS Insight account rep for target franchisee
Warm intro = owner answers the call</t>
        </is>
      </c>
      <c r="U32" s="171" t="n"/>
      <c r="V32" s="206" t="n"/>
      <c r="W32" s="207" t="inlineStr">
        <is>
          <t>Profile via GPS Insight list</t>
        </is>
      </c>
      <c r="X32" s="207" t="n"/>
      <c r="Y32" s="208" t="inlineStr">
        <is>
          <t>GPS warm — cross-reference telematics list first</t>
        </is>
      </c>
      <c r="Z32" s="111" t="inlineStr">
        <is>
          <t>SOURCE: Franchise Chatter / SharpSheets analysis of 2024 FDD
ITEM 19 (2023 data): 94 franchisees, 157 locations
• All-franchisee avg: ~$480K gross/location
• Top 25% avg: $1,654,321
• Est. EBITDA @15% margin: ~$72K/location
• Avg job invoice: ~$4,500
• Insurance carriers refer ~40% of jobs
ITEM 11: 'Proprietary business management and job tracking tools' — no 3rd party named.
ROYALTY: 10% → 7% (tiered on revenue) + 2% marketing</t>
        </is>
      </c>
      <c r="AA32" s="112" t="inlineStr">
        <is>
          <t>USE: ROI Calculator + 3-Way Scenario
INPUTS (FDD-sourced):
• 1 location, 3 techs (avg)
• Revenue/job: $4,500
• Jobs/day: 3 (emergency dispatch)
KEY OUTPUT TO SHOW:
5-pt margin lift = $24K EBITDA/location
Insurance carrier ref: 40% of jobs
Invoice cycle reduction = faster carrier payment</t>
        </is>
      </c>
      <c r="AB32" s="175" t="n"/>
      <c r="AC32" s="175" t="n"/>
      <c r="AD32" s="175" t="n"/>
      <c r="AE32" s="209" t="n">
        <v>81</v>
      </c>
      <c r="AF32" s="177" t="inlineStr">
        <is>
          <t>+25</t>
        </is>
      </c>
      <c r="AG32" s="210" t="inlineStr">
        <is>
          <t>106
🔴 LEAD PILOT</t>
        </is>
      </c>
      <c r="AH32" s="555" t="inlineStr">
        <is>
          <t>Tim Fagan (President 1-800 Water Damage + Blue Kangaroo Packoutz since 2018-19)
LinkedIn: https://www.linkedin.com/in/timfagan-belfor/
University of Michigan BS Education + Eastern Michigan University post-grad ⭐
RIA Certified Restorer (CR) + Water Loss Specialist (WLS).
[Alumni file - Kevin "Tim" Fagan]: https://www.linkedin.com/in/tim-fagan-5807782/</t>
        </is>
      </c>
      <c r="AI32" s="555" t="inlineStr">
        <is>
          <t>tim.fagan@belforfranchisegroup.com</t>
        </is>
      </c>
      <c r="AJ32" s="555" t="inlineStr">
        <is>
          <t>Dave Robertson (corporate)
https://www.linkedin.com/in/robertsond/
dave.robertson@belforfranchisegroup.com
✓ CFO since 2023. Ohio Wesleyan. Ex-Pres Lake's Lawn &amp; Landscape. CPA + CFE. Detroit.</t>
        </is>
      </c>
      <c r="AK32" s="555" t="inlineStr">
        <is>
          <t>Doug Smith (SVP FD) + Beth Toenies (VP FD)
https://www.linkedin.com/in/bethtoenies/
doug.smith@belforfranchisegroup.com  |  beth.toenies@belforfranchisegroup.com
🚨 Beth Toenies promoted to VP FD Sept 2025 — works with Doug Smith. Six Sigma Black Belt. Navy military spouse.</t>
        </is>
      </c>
      <c r="AL32" s="518" t="inlineStr">
        <is>
          <t>Restoration brand under BELFOR Franchise Group — INSURANCE CARRIER DRIVEN.
BELFOR Property Restoration = the carrier ecosystem anchor. 1-800 WD operates inside.</t>
        </is>
      </c>
      <c r="AM32" s="518" t="inlineStr">
        <is>
          <t>★ TOP TARGET in P2 Track 2.
Insurance reframe pitch (NOT FSM features). American Securities PE-backed.
Score: 116 🔴 LEAD PILOT</t>
        </is>
      </c>
      <c r="AN32" s="518" t="inlineStr">
        <is>
          <t>Tim Fagan (President 1-800 WD + Blue Kangaroo)
Sheldon Yellen (CEO BELFOR Holdings)
Rusty Amarante (Pres BFG)
Doug Smith (SVP Franchise Dev — MIKE'S WARM PATH)
Beth Toenies (VP Franchise Dev)</t>
        </is>
      </c>
      <c r="AO32" s="555" t="inlineStr">
        <is>
          <t>🥇 BELFOR umbrella. VP FD Beth Toenies oversees this brand. Restoration = same insurance-claims customer as BluSky/Servpro.
👉 See Signal Intel: BELFOR section</t>
        </is>
      </c>
      <c r="AP32" s="555" t="inlineStr">
        <is>
          <t>BELFOR Annual Conference (~March 2027, March 2026 just held)
Per-brand awards (HOODZ Triangle, Z Plumberz)
The Experience Convention Sept 2026
FRI Fire-Rescue Intl mid-August (1-800-BOARDUP)
👉 See Event Intelligence tab</t>
        </is>
      </c>
      <c r="AQ32" s="555" t="inlineStr">
        <is>
          <t>🎓 BELFOR umbrella leadership:
• Kevin "Tim" Fagan (President 1-800 Water Damage + Blue Kangaroo Packoutz since 2018): University of Michigan BS Education + Eastern Michigan University post-grad in educational leadership ⭐
  - RIA Certified Restorer (CR) + Water Loss Specialist (WLS) — highest level certifications
  - Principal instructor for BELFOR's continuing education courses for insurance agents
• Beth Toenies (BELFOR FG VP FD): Asbury University '06 ⭐
• Doug Smith (BELFOR FG SVP FD): U. of Louisville Business
• Sheldon Yellen (BELFOR Holdings CEO $3B): HS DROPOUT (got diploma at age 53!) ⭐⭐ Self-made operator story
👉 See Signal Intel: BELFOR</t>
        </is>
      </c>
    </row>
    <row r="33" ht="280" customHeight="1" s="435">
      <c r="A33" s="197" t="n">
        <v>30</v>
      </c>
      <c r="B33" s="198" t="inlineStr">
        <is>
          <t>1-800 BOARDUP</t>
        </is>
      </c>
      <c r="C33" s="199" t="inlineStr">
        <is>
          <t>BELFOR</t>
        </is>
      </c>
      <c r="D33" s="103" t="inlineStr">
        <is>
          <t>Board-Up</t>
        </is>
      </c>
      <c r="E33" s="200" t="n">
        <v>150</v>
      </c>
      <c r="F33" s="200" t="n">
        <v>4</v>
      </c>
      <c r="G33" s="201" t="inlineStr">
        <is>
          <t>Greenfield</t>
        </is>
      </c>
      <c r="H33" s="202" t="inlineStr">
        <is>
          <t>YES</t>
        </is>
      </c>
      <c r="I33" s="203" t="inlineStr">
        <is>
          <t>NONE — Greenfield confirmed — BELFOR FDD shows no third-party FSM mandate; proprietary BELFOR tools only</t>
        </is>
      </c>
      <c r="J33" s="110" t="inlineStr">
        <is>
          <t>Greenfield / Paper</t>
        </is>
      </c>
      <c r="K33" s="120" t="inlineStr">
        <is>
          <t>🟢 None</t>
        </is>
      </c>
      <c r="L33" s="117" t="inlineStr">
        <is>
          <t>Validate with Andrea</t>
        </is>
      </c>
      <c r="M33" s="117" t="inlineStr">
        <is>
          <t>Validate with Andrea</t>
        </is>
      </c>
      <c r="N33" s="110" t="inlineStr">
        <is>
          <t>Insurance carriers dispatch (Travelers, Allstate, State Farm)</t>
        </is>
      </c>
      <c r="O33" s="120" t="inlineStr">
        <is>
          <t>🔴 High</t>
        </is>
      </c>
      <c r="P33" s="103" t="inlineStr">
        <is>
          <t>(Franchisee Owner)</t>
        </is>
      </c>
      <c r="Q33" s="103" t="inlineStr">
        <is>
          <t>Owner/Operator</t>
        </is>
      </c>
      <c r="R33" s="204" t="inlineStr">
        <is>
          <t>Beth Toenies
COO, 1-800-BOARDUP / VP Franchise Development, BELFOR FG
2025 Stevie Award, Top 50 Women in Construction 2025.
20+ yrs franchise leadership, Six Sigma Black Belt.</t>
        </is>
      </c>
      <c r="S33" s="169" t="inlineStr">
        <is>
          <t>TBD — ops contact at target location
← Beth Toenies is also the FD contact for vendor conversations</t>
        </is>
      </c>
      <c r="T33" s="205" t="inlineStr">
        <is>
          <t>← Ask Andrea: GPS Insight account rep for BOARDUP franchisee
Beth Toenies also accessible via franchise dev channel</t>
        </is>
      </c>
      <c r="U33" s="171" t="n"/>
      <c r="V33" s="206" t="n"/>
      <c r="W33" s="207" t="inlineStr">
        <is>
          <t>Profile via GPS Insight list</t>
        </is>
      </c>
      <c r="X33" s="207" t="n"/>
      <c r="Y33" s="208" t="inlineStr">
        <is>
          <t>GPS warm — disaster response, strong dispatch fit</t>
        </is>
      </c>
      <c r="Z33" s="118" t="inlineStr">
        <is>
          <t>SOURCE: BELFOR FDD family — same structure as 1-800 Water Damage
ITEM 11: Proprietary tools per BELFOR FDD. No third-party FSM.
Insurance dispatch model — emergency board-up called by carrier after claim.
Pull brand-specific FDD from state registry for Item 19 unit economics.</t>
        </is>
      </c>
      <c r="AA33" s="112" t="inlineStr">
        <is>
          <t>USE: ROI Calculator
Emergency dispatch model — same as 1-800 WD.
Avg job value lower (~$1,500-2,500).
Key metric: response time + doc quality = more carrier referrals.</t>
        </is>
      </c>
      <c r="AB33" s="175" t="n"/>
      <c r="AC33" s="175" t="n"/>
      <c r="AD33" s="175" t="n"/>
      <c r="AE33" s="209" t="n">
        <v>71</v>
      </c>
      <c r="AF33" s="177" t="inlineStr">
        <is>
          <t>+25</t>
        </is>
      </c>
      <c r="AG33" s="210" t="inlineStr">
        <is>
          <t>96
🔴 LEAD PILOT</t>
        </is>
      </c>
      <c r="AH33" s="555" t="inlineStr">
        <is>
          <t>Beth Toenies (COO 1-800-BOARDUP + VP FD BELFOR FG)
LinkedIn: https://www.linkedin.com/in/bethtoenies/
Asbury University '06 (Journalism, varsity tennis, honors) ⭐
Navy military spouse. Jacksonville FL.
Bronze Stevie Award Woman of Year Business Services + Top 50 Women Leaders Construction 2025.</t>
        </is>
      </c>
      <c r="AI33" s="555" t="inlineStr">
        <is>
          <t>beth.toenies@belforfranchisegroup.com</t>
        </is>
      </c>
      <c r="AJ33" s="555" t="inlineStr">
        <is>
          <t>Dave Robertson (corporate)
https://www.linkedin.com/in/robertsond/
dave.robertson@belforfranchisegroup.com
✓ CFO since 2023. Ohio Wesleyan. Ex-Pres Lake's Lawn &amp; Landscape. CPA + CFE. Detroit.</t>
        </is>
      </c>
      <c r="AK33" s="555" t="inlineStr">
        <is>
          <t>Doug Smith (SVP FD) + Beth Toenies (VP FD)
https://www.linkedin.com/in/bethtoenies/
doug.smith@belforfranchisegroup.com  |  beth.toenies@belforfranchisegroup.com
🚨 Beth Toenies promoted to VP FD Sept 2025 — works with Doug Smith. Six Sigma Black Belt. Navy military spouse.</t>
        </is>
      </c>
      <c r="AL33" s="518" t="inlineStr">
        <is>
          <t>Boardup = emergency property securing. Insurance-carrier-driven by definition.
Beth has dual role = strong franchise dev lens AND brand operations lens.</t>
        </is>
      </c>
      <c r="AM33" s="518" t="inlineStr">
        <is>
          <t>★ HIGH PRIORITY P2.
Beth's dual role = ideal entry — she sees both brand-level ops AND franchise-dev scale. Frame as franchisee enablement.
Score: high (varies by row)</t>
        </is>
      </c>
      <c r="AN33" s="518" t="inlineStr">
        <is>
          <t>Beth Toenies (COO 1-800-BOARDUP + VP Franchise Dev BFG)
Sheldon Yellen, Rusty Amarante, Doug Smith</t>
        </is>
      </c>
      <c r="AO33" s="555" t="inlineStr">
        <is>
          <t>🥇 BELFOR umbrella. VP FD Beth Toenies oversees. FRI2023 Booth #1826. FRI Fire-Rescue Intl mid-August event.
👉 See Signal Intel: BELFOR section</t>
        </is>
      </c>
      <c r="AP33" s="555" t="inlineStr">
        <is>
          <t>FRI Fire-Rescue Intl mid-August
The Experience Convention Sept 2026
BELFOR Annual Conference (~March 2027)
👉 See Event Intelligence tab</t>
        </is>
      </c>
      <c r="AQ33" s="555" t="inlineStr">
        <is>
          <t>🎓 BELFOR umbrella leadership:
• Beth Toenies (VP FD): Asbury University '06.
• Doug Smith (SVP FD): U. of Louisville Business connection.
👉 See Signal Intel: BELFOR</t>
        </is>
      </c>
    </row>
    <row r="34" ht="280" customHeight="1" s="435">
      <c r="A34" s="197" t="n">
        <v>31</v>
      </c>
      <c r="B34" s="198" t="inlineStr">
        <is>
          <t>Blue Kangaroo Packoutz</t>
        </is>
      </c>
      <c r="C34" s="199" t="inlineStr">
        <is>
          <t>BELFOR</t>
        </is>
      </c>
      <c r="D34" s="103" t="inlineStr">
        <is>
          <t>Contents/Packout</t>
        </is>
      </c>
      <c r="E34" s="200" t="n">
        <v>100</v>
      </c>
      <c r="F34" s="200" t="n">
        <v>5</v>
      </c>
      <c r="G34" s="201" t="inlineStr">
        <is>
          <t>Greenfield</t>
        </is>
      </c>
      <c r="H34" s="202" t="inlineStr">
        <is>
          <t>YES</t>
        </is>
      </c>
      <c r="I34" s="203" t="inlineStr">
        <is>
          <t>NONE — Greenfield confirmed — contents restoration, no FSM mandate found in BELFOR FDD family</t>
        </is>
      </c>
      <c r="J34" s="110" t="inlineStr">
        <is>
          <t>Greenfield / Paper</t>
        </is>
      </c>
      <c r="K34" s="120" t="inlineStr">
        <is>
          <t>🟢 None</t>
        </is>
      </c>
      <c r="L34" s="117" t="inlineStr">
        <is>
          <t>Validate with Andrea</t>
        </is>
      </c>
      <c r="M34" s="117" t="inlineStr">
        <is>
          <t>Validate with Andrea</t>
        </is>
      </c>
      <c r="N34" s="110" t="inlineStr">
        <is>
          <t>Insurance carriers dispatch — packout/contents</t>
        </is>
      </c>
      <c r="O34" s="120" t="inlineStr">
        <is>
          <t>🔴 High</t>
        </is>
      </c>
      <c r="P34" s="103" t="inlineStr">
        <is>
          <t>(Franchisee Owner)</t>
        </is>
      </c>
      <c r="Q34" s="103" t="inlineStr">
        <is>
          <t>Owner/Operator</t>
        </is>
      </c>
      <c r="R34" s="204" t="inlineStr">
        <is>
          <t>Tim Fagan
President, Blue Kangaroo Packoutz
(also President, 1-800 Water Damage)
Contents cleaning + restoration. Insurance dispatch model.</t>
        </is>
      </c>
      <c r="S34" s="169" t="inlineStr">
        <is>
          <t>TBD — local franchisee ops contact</t>
        </is>
      </c>
      <c r="T34" s="205" t="inlineStr">
        <is>
          <t>← Ask Andrea: GPS Insight account rep for target location</t>
        </is>
      </c>
      <c r="U34" s="171" t="n"/>
      <c r="V34" s="206" t="n"/>
      <c r="W34" s="207" t="inlineStr">
        <is>
          <t>Profile + outreach</t>
        </is>
      </c>
      <c r="X34" s="207" t="n"/>
      <c r="Y34" s="208" t="inlineStr">
        <is>
          <t>Packout crews — job documentation critical fit</t>
        </is>
      </c>
      <c r="Z34" s="118" t="inlineStr">
        <is>
          <t>SOURCE: BELFOR FDD family
Contents packout — dispatched by insurance carriers for pack-out after water/fire damage.
ITEM 11: Proprietary tools. No FSM named.
Pull brand-specific FDD for Item 19.</t>
        </is>
      </c>
      <c r="AA34" s="112" t="inlineStr">
        <is>
          <t>USE: ROI Calculator
Packout/contents model — project-based.
Key metric: Job documentation completeness
= faster insurance settlement = faster payment.</t>
        </is>
      </c>
      <c r="AB34" s="175" t="n"/>
      <c r="AC34" s="175" t="n"/>
      <c r="AD34" s="175" t="n"/>
      <c r="AE34" s="209" t="n">
        <v>81</v>
      </c>
      <c r="AF34" s="177" t="inlineStr">
        <is>
          <t>+25</t>
        </is>
      </c>
      <c r="AG34" s="210" t="inlineStr">
        <is>
          <t>106
🔴 LEAD PILOT</t>
        </is>
      </c>
      <c r="AH34" s="555" t="inlineStr">
        <is>
          <t>Tim Fagan (President — same role as 1-800 Water Damage)
LinkedIn: https://www.linkedin.com/in/timfagan-belfor/
UMich BS Education + EMU post-grad ⭐
RIA CR + WLS certifications.
[Alumni file - Kevin "Tim" Fagan]: https://www.linkedin.com/in/tim-fagan-5807782/</t>
        </is>
      </c>
      <c r="AI34" s="555" t="inlineStr">
        <is>
          <t>tim.fagan@belforfranchisegroup.com</t>
        </is>
      </c>
      <c r="AJ34" s="555" t="inlineStr">
        <is>
          <t>Dave Robertson (corporate)
https://www.linkedin.com/in/robertsond/
dave.robertson@belforfranchisegroup.com
✓ CFO since 2023. Ohio Wesleyan. Ex-Pres Lake's Lawn &amp; Landscape. CPA + CFE. Detroit.</t>
        </is>
      </c>
      <c r="AK34" s="555" t="inlineStr">
        <is>
          <t>Doug Smith (SVP FD) + Beth Toenies (VP FD)
https://www.linkedin.com/in/bethtoenies/
doug.smith@belforfranchisegroup.com  |  beth.toenies@belforfranchisegroup.com
🚨 Beth Toenies promoted to VP FD Sept 2025 — works with Doug Smith. Six Sigma Black Belt. Navy military spouse.</t>
        </is>
      </c>
      <c r="AL34" s="518" t="inlineStr">
        <is>
          <t>Sheldon Yellen (BlueKangaroo franchise site):
"We started out as one individual in a small business... Now we have operations in 33 countries around the world with about 9,200 of the greatest people on earth. We have built a culture of trust, loyalty, and doing the right thing, even when nobody is watching."</t>
        </is>
      </c>
      <c r="AM34" s="518" t="inlineStr">
        <is>
          <t>Contents/packouts = restoration adjacency. Insurance angle.
Score: high
Tim Fagan controls 2 brands — single approach, dual conversation.</t>
        </is>
      </c>
      <c r="AN34" s="518" t="inlineStr">
        <is>
          <t>Tim Fagan (President 1-800 WD + Blue Kangaroo)
Sheldon Yellen, Rusty Amarante (corporate)</t>
        </is>
      </c>
      <c r="AO34" s="555" t="inlineStr">
        <is>
          <t>🥇 BELFOR umbrella. VP FD Beth Toenies oversees.
👉 See Signal Intel: BELFOR section</t>
        </is>
      </c>
      <c r="AP34" s="555" t="inlineStr">
        <is>
          <t>BELFOR Annual Conference (~March 2027, March 2026 just held)
Per-brand awards (HOODZ Triangle, Z Plumberz)
The Experience Convention Sept 2026
FRI Fire-Rescue Intl mid-August (1-800-BOARDUP)
👉 See Event Intelligence tab</t>
        </is>
      </c>
      <c r="AQ34" s="555" t="inlineStr">
        <is>
          <t>🎓 BELFOR umbrella leadership:
• Kevin "Tim" Fagan (Pres 1-800 Water Damage + Blue Kangaroo Packoutz since 2019): UMich BS Education + Eastern Michigan post-grad ⭐. CR + WLS certifications.
• Beth Toenies (VP FD): Asbury University '06 ⭐
• Sheldon Yellen (BELFOR Holdings CEO $3B): HS DROPOUT (got diploma at 53!) ⭐⭐
👉 See Signal Intel: BELFOR</t>
        </is>
      </c>
    </row>
    <row r="35" ht="280" customHeight="1" s="435">
      <c r="A35" s="197" t="n">
        <v>32</v>
      </c>
      <c r="B35" s="198" t="inlineStr">
        <is>
          <t>DUCTZ</t>
        </is>
      </c>
      <c r="C35" s="199" t="inlineStr">
        <is>
          <t>BELFOR</t>
        </is>
      </c>
      <c r="D35" s="103" t="inlineStr">
        <is>
          <t>HVAC/Air Duct</t>
        </is>
      </c>
      <c r="E35" s="200" t="n">
        <v>100</v>
      </c>
      <c r="F35" s="200" t="n">
        <v>4</v>
      </c>
      <c r="G35" s="201" t="inlineStr">
        <is>
          <t>Greenfield</t>
        </is>
      </c>
      <c r="H35" s="202" t="inlineStr">
        <is>
          <t>YES</t>
        </is>
      </c>
      <c r="I35" s="203" t="inlineStr">
        <is>
          <t>NONE — Greenfield confirmed — BELFOR FDD family, no third-party FSM mandate; HVAC restoration model</t>
        </is>
      </c>
      <c r="J35" s="110" t="inlineStr">
        <is>
          <t>Greenfield / Paper</t>
        </is>
      </c>
      <c r="K35" s="120" t="inlineStr">
        <is>
          <t>🟢 None</t>
        </is>
      </c>
      <c r="L35" s="117" t="inlineStr">
        <is>
          <t>Validate with Andrea</t>
        </is>
      </c>
      <c r="M35" s="117" t="inlineStr">
        <is>
          <t>Validate with Andrea</t>
        </is>
      </c>
      <c r="N35" s="108" t="inlineStr">
        <is>
          <t>N/A — commercial route</t>
        </is>
      </c>
      <c r="O35" s="211" t="inlineStr">
        <is>
          <t>🟢 Low</t>
        </is>
      </c>
      <c r="P35" s="103" t="inlineStr">
        <is>
          <t>(Franchisee Owner)</t>
        </is>
      </c>
      <c r="Q35" s="103" t="inlineStr">
        <is>
          <t>Owner/Operator</t>
        </is>
      </c>
      <c r="R35" s="204" t="inlineStr">
        <is>
          <t>Jessica Wicks
Brand President, DUCTZ International
First female DUCTZ president (appointed July 2022)
10+ yrs at brand — marketing coord → franchise coach → president
← Approach via Rusty Amarante (BFG President) or Beth Toenies (VP FD)</t>
        </is>
      </c>
      <c r="S35" s="169" t="inlineStr">
        <is>
          <t>TBD — local franchisee ops contact</t>
        </is>
      </c>
      <c r="T35" s="205" t="inlineStr">
        <is>
          <t>← Ask Andrea: GPS Insight account rep for DUCTZ franchisee
DUCTZ FoY 2025 — warm brand</t>
        </is>
      </c>
      <c r="U35" s="171" t="n"/>
      <c r="V35" s="206" t="n"/>
      <c r="W35" s="207" t="inlineStr">
        <is>
          <t>Profile + outreach</t>
        </is>
      </c>
      <c r="X35" s="207" t="n"/>
      <c r="Y35" s="208" t="inlineStr">
        <is>
          <t>Duct cleaning route — scheduling + route</t>
        </is>
      </c>
      <c r="Z35" s="111" t="inlineStr">
        <is>
          <t>BELFOR family FDD — pull brand-specific FDD for Items 8, 11, 19. GPS Insight warm flag confirmed.</t>
        </is>
      </c>
      <c r="AA35" s="112" t="inlineStr">
        <is>
          <t>USE: ROI Calculator
Inputs: $4,500/job avg (FDD), 3 jobs/day, 3 techs.
Key output: invoice cycle reduction + carrier doc quality.
GPS Insight warm — integrate telematics ROI in same model.</t>
        </is>
      </c>
      <c r="AB35" s="175" t="n"/>
      <c r="AC35" s="175" t="n"/>
      <c r="AD35" s="175" t="n"/>
      <c r="AE35" s="209" t="n">
        <v>78</v>
      </c>
      <c r="AF35" s="177" t="inlineStr">
        <is>
          <t>+25</t>
        </is>
      </c>
      <c r="AG35" s="210" t="inlineStr">
        <is>
          <t>103
🔴 LEAD PILOT</t>
        </is>
      </c>
      <c r="AH35" s="555" t="inlineStr">
        <is>
          <t>Jessica Wicks (Brand President DUCTZ International)
LinkedIn: https://www.linkedin.com/in/jessica-wicks-b69b4425/
School pending direct verification — operator path through DUCTZ ranks.
DUCTZ acquired by BELFOR Holdings.
Sheldon Yellen oversight: HS DROPOUT (got diploma at age 53!) ⭐⭐</t>
        </is>
      </c>
      <c r="AI35" s="555" t="inlineStr">
        <is>
          <t>jessica.wicks@belforfranchisegroup.com</t>
        </is>
      </c>
      <c r="AJ35" s="555" t="inlineStr">
        <is>
          <t>Dave Robertson (corporate)
https://www.linkedin.com/in/robertsond/
dave.robertson@belforfranchisegroup.com
✓ CFO since 2023. Ohio Wesleyan. Ex-Pres Lake's Lawn &amp; Landscape. CPA + CFE. Detroit.</t>
        </is>
      </c>
      <c r="AK35" s="555" t="inlineStr">
        <is>
          <t>Doug Smith (SVP FD) + Beth Toenies (VP FD)
https://www.linkedin.com/in/bethtoenies/
doug.smith@belforfranchisegroup.com  |  beth.toenies@belforfranchisegroup.com
🚨 Beth Toenies promoted to VP FD Sept 2025 — works with Doug Smith. Six Sigma Black Belt. Navy military spouse.</t>
        </is>
      </c>
      <c r="AL35" s="518" t="inlineStr">
        <is>
          <t>DUCTZ = air duct cleaning + indoor air quality. Service van fleet-driven.
94% organic ServiceBridge adoption per GPSI data — DEEPLY ESTABLISHED.
Mike's contact at NADCA event likely valuable here.</t>
        </is>
      </c>
      <c r="AM35" s="518" t="inlineStr">
        <is>
          <t>★★ TIER-1 BELFOR brand — HOODZ + DUCTZ are the SB-saturated pair.
Convert de facto adoption to mandate at the brand level.
Score: high</t>
        </is>
      </c>
      <c r="AN35" s="518" t="inlineStr">
        <is>
          <t>Jessica Wicks (DUCTZ Brand President — first female brand pres at BFG)
Mike Mendez (HOODZ leader — sister brand)
NADCA event circle for DUCTZ (Mike has contact)</t>
        </is>
      </c>
      <c r="AO35" s="555" t="inlineStr">
        <is>
          <t>🥇 BELFOR umbrella. VP FD Beth Toenies oversees.
👉 See Signal Intel: BELFOR section</t>
        </is>
      </c>
      <c r="AP35" s="555" t="inlineStr">
        <is>
          <t>BELFOR Annual Conference (~March 2027, March 2026 just held)
Per-brand awards (HOODZ Triangle, Z Plumberz)
The Experience Convention Sept 2026
FRI Fire-Rescue Intl mid-August (1-800-BOARDUP)
👉 See Event Intelligence tab</t>
        </is>
      </c>
      <c r="AQ35" s="555" t="inlineStr">
        <is>
          <t>🎓 BELFOR umbrella (acquired by BELFOR Holdings):
• Jessica Wicks (Brand Pres): Pending verification
• Sheldon Yellen (BELFOR Holdings CEO): HS DROPOUT (got diploma at age 53!) ⭐⭐
• Rusty Amarante (BELFOR FG Pres): 40+ yrs restoration, past-Pres RIA
👉 See Signal Intel: BELFOR</t>
        </is>
      </c>
    </row>
    <row r="36" ht="280" customHeight="1" s="435">
      <c r="A36" s="197" t="n">
        <v>33</v>
      </c>
      <c r="B36" s="198" t="inlineStr">
        <is>
          <t>Z Plumberz</t>
        </is>
      </c>
      <c r="C36" s="199" t="inlineStr">
        <is>
          <t>BELFOR</t>
        </is>
      </c>
      <c r="D36" s="103" t="inlineStr">
        <is>
          <t>Plumbing</t>
        </is>
      </c>
      <c r="E36" s="200" t="n">
        <v>100</v>
      </c>
      <c r="F36" s="200" t="n">
        <v>5</v>
      </c>
      <c r="G36" s="201" t="inlineStr">
        <is>
          <t>Greenfield</t>
        </is>
      </c>
      <c r="H36" s="202" t="inlineStr">
        <is>
          <t>YES</t>
        </is>
      </c>
      <c r="I36" s="203" t="inlineStr">
        <is>
          <t>NONE — Greenfield confirmed — BELFOR FDD family, no third-party FSM mandate; plumbing dispatch model</t>
        </is>
      </c>
      <c r="J36" s="110" t="inlineStr">
        <is>
          <t>Greenfield / Paper</t>
        </is>
      </c>
      <c r="K36" s="120" t="inlineStr">
        <is>
          <t>🟢 None</t>
        </is>
      </c>
      <c r="L36" s="117" t="inlineStr">
        <is>
          <t>Validate with Andrea</t>
        </is>
      </c>
      <c r="M36" s="117" t="inlineStr">
        <is>
          <t>Validate with Andrea</t>
        </is>
      </c>
      <c r="N36" s="117" t="inlineStr">
        <is>
          <t>Validate via FDD</t>
        </is>
      </c>
      <c r="O36" s="109" t="inlineStr">
        <is>
          <t>🟡 Medium</t>
        </is>
      </c>
      <c r="P36" s="103" t="inlineStr">
        <is>
          <t>(Franchisee Owner)</t>
        </is>
      </c>
      <c r="Q36" s="103" t="inlineStr">
        <is>
          <t>Owner/Operator</t>
        </is>
      </c>
      <c r="R36" s="204" t="inlineStr">
        <is>
          <t>Matt O'Rourke
Founder &amp; Brand President, Z PLUMBERZ
Licensed plumber. Founded brand 2007.
22 new units added 2025 — fastest growing BELFOR plumbing brand
← Approach via Rusty Amarante or Beth Toenies (VP FD, BFG)</t>
        </is>
      </c>
      <c r="S36" s="169" t="inlineStr">
        <is>
          <t>TBD — local franchisee ops contact
Plumbing = emergency dispatch — strong FSM fit</t>
        </is>
      </c>
      <c r="T36" s="205" t="inlineStr">
        <is>
          <t>← Ask Andrea: GPS Insight account rep for Z PLUMBERZ franchisee</t>
        </is>
      </c>
      <c r="U36" s="171" t="n"/>
      <c r="V36" s="206" t="n"/>
      <c r="W36" s="207" t="inlineStr">
        <is>
          <t>Profile + outreach</t>
        </is>
      </c>
      <c r="X36" s="207" t="n"/>
      <c r="Y36" s="208" t="inlineStr">
        <is>
          <t>Plumbing franchise — emergency dispatch fit</t>
        </is>
      </c>
      <c r="Z36" s="111" t="inlineStr">
        <is>
          <t>BELFOR family FDD — pull brand-specific FDD for Items 8, 11, 19. GPS Insight warm flag confirmed.</t>
        </is>
      </c>
      <c r="AA36" s="112" t="inlineStr">
        <is>
          <t>USE: ROI Calculator
Inputs: $4,500/job avg (FDD), 3 jobs/day, 3 techs.
Key output: invoice cycle reduction + carrier doc quality.
GPS Insight warm — integrate telematics ROI in same model.</t>
        </is>
      </c>
      <c r="AB36" s="175" t="n"/>
      <c r="AC36" s="175" t="n"/>
      <c r="AD36" s="175" t="n"/>
      <c r="AE36" s="209" t="n">
        <v>88</v>
      </c>
      <c r="AF36" s="177" t="inlineStr">
        <is>
          <t>+25</t>
        </is>
      </c>
      <c r="AG36" s="210" t="inlineStr">
        <is>
          <t>113
🔴 LEAD PILOT</t>
        </is>
      </c>
      <c r="AH36" s="555" t="inlineStr">
        <is>
          <t>Matt O'Rourke (Founder &amp; Brand President)
LinkedIn: https://www.linkedin.com/in/matthew-o-rourke-a835459/
Oakland University ⭐ Ann Arbor MI. Licensed Master Plumber.
Founded plumbing company 2007, grew to 7 locations.
BELFOR Franchise Group acquired 2019 → began franchising as Z PLUMBERZ.</t>
        </is>
      </c>
      <c r="AI36" s="555" t="inlineStr">
        <is>
          <t>matthew.orourke@belforfranchisegroup.com</t>
        </is>
      </c>
      <c r="AJ36" s="555" t="inlineStr">
        <is>
          <t>Dave Robertson (corporate)
https://www.linkedin.com/in/robertsond/
dave.robertson@belforfranchisegroup.com
✓ CFO since 2023. Ohio Wesleyan. Ex-Pres Lake's Lawn &amp; Landscape. CPA + CFE. Detroit.</t>
        </is>
      </c>
      <c r="AK36" s="555" t="inlineStr">
        <is>
          <t>Doug Smith (SVP FD) + Beth Toenies (VP FD)
https://www.linkedin.com/in/bethtoenies/
doug.smith@belforfranchisegroup.com  |  beth.toenies@belforfranchisegroup.com
🚨 Beth Toenies promoted to VP FD Sept 2025 — works with Doug Smith. Six Sigma Black Belt. Navy military spouse.</t>
        </is>
      </c>
      <c r="AL36" s="518" t="inlineStr">
        <is>
          <t>Z PLUMBERZ = newer BELFOR brand (emerging). Plumbing trade.
Different category from BELFOR Restoration DNA — likely LESS insurance-driven.</t>
        </is>
      </c>
      <c r="AM36" s="518" t="inlineStr">
        <is>
          <t>Score: high
★ Founder-led brand = Matt accessible. Plumbing trade = ST competitive market. Greenfield potential at brand level.</t>
        </is>
      </c>
      <c r="AN36" s="518" t="inlineStr">
        <is>
          <t>Matt O'Rourke (Founder &amp; Brand Pres Z PLUMBERZ — licensed master plumber)
Rusty Amarante oversight</t>
        </is>
      </c>
      <c r="AO36" s="555" t="inlineStr">
        <is>
          <t>BELFOR umbrella. Plumbing = highest FSM intensity.
👉 See Signal Intel: BELFOR section</t>
        </is>
      </c>
      <c r="AP36" s="555" t="inlineStr">
        <is>
          <t>BELFOR Annual Conference (~March 2027, March 2026 just held)
Per-brand awards (HOODZ Triangle, Z Plumberz)
The Experience Convention Sept 2026
FRI Fire-Rescue Intl mid-August (1-800-BOARDUP)
👉 See Event Intelligence tab</t>
        </is>
      </c>
      <c r="AQ36" s="555" t="inlineStr">
        <is>
          <t>🎓 BELFOR umbrella:
• Matt O'Rourke (Brand Pres): Pending verification
• Sheldon Yellen (BELFOR Holdings CEO): HS DROPOUT (got diploma at 53!) ⭐⭐
👉 See Signal Intel: BELFOR</t>
        </is>
      </c>
    </row>
    <row r="37" ht="280" customHeight="1" s="435">
      <c r="A37" s="197" t="n">
        <v>34</v>
      </c>
      <c r="B37" s="198" t="inlineStr">
        <is>
          <t>BELFOR Property Restoration</t>
        </is>
      </c>
      <c r="C37" s="199" t="inlineStr">
        <is>
          <t>BELFOR</t>
        </is>
      </c>
      <c r="D37" s="103" t="inlineStr">
        <is>
          <t>Restoration</t>
        </is>
      </c>
      <c r="E37" s="200" t="n">
        <v>150</v>
      </c>
      <c r="F37" s="200" t="n">
        <v>8</v>
      </c>
      <c r="G37" s="201" t="inlineStr">
        <is>
          <t>Not FSM Scope</t>
        </is>
      </c>
      <c r="H37" s="202" t="inlineStr">
        <is>
          <t>YES</t>
        </is>
      </c>
      <c r="I37" s="203" t="inlineStr">
        <is>
          <t>NONE — Greenfield confirmed — parent company operates ServiceBridge-compatible model</t>
        </is>
      </c>
      <c r="J37" s="110" t="inlineStr">
        <is>
          <t>Restoration management software (Xactimate/Symbility ecosystem) — not FSM category</t>
        </is>
      </c>
      <c r="K37" s="120" t="inlineStr">
        <is>
          <t>🟢 None</t>
        </is>
      </c>
      <c r="L37" s="117" t="inlineStr">
        <is>
          <t>Validate with Andrea</t>
        </is>
      </c>
      <c r="M37" s="117" t="inlineStr">
        <is>
          <t>Validate with Andrea</t>
        </is>
      </c>
      <c r="N37" s="110" t="inlineStr">
        <is>
          <t>Insurance carriers dispatch — all major carriers</t>
        </is>
      </c>
      <c r="O37" s="120" t="inlineStr">
        <is>
          <t>🔴 High</t>
        </is>
      </c>
      <c r="P37" s="103" t="inlineStr">
        <is>
          <t>(Franchisee Owner)</t>
        </is>
      </c>
      <c r="Q37" s="103" t="inlineStr">
        <is>
          <t>Owner/Operator</t>
        </is>
      </c>
      <c r="R37" s="212" t="inlineStr">
        <is>
          <t>TBD — GPS Insight customer
← Andrea: identify owner at target location
Rusty Amarante (BFG President) is top-of-house contact</t>
        </is>
      </c>
      <c r="S37" s="169" t="inlineStr">
        <is>
          <t>TBD — office manager / dispatcher
← Key internal champion for ServiceBridge pilot</t>
        </is>
      </c>
      <c r="T37" s="205" t="inlineStr">
        <is>
          <t>← Ask Andrea: GPS Insight account rep for this BELFOR franchisee
Warm intro = pilot conversation vs cold call</t>
        </is>
      </c>
      <c r="U37" s="171" t="n"/>
      <c r="V37" s="206" t="n"/>
      <c r="W37" s="207" t="inlineStr">
        <is>
          <t>Profile + outreach</t>
        </is>
      </c>
      <c r="X37" s="207" t="n"/>
      <c r="Y37" s="208" t="inlineStr">
        <is>
          <t>⛔ EXCLUDED — different software ecosystem (restoration management). Engage at parent franchisor level (BELFOR FG) only, not as Stage 2 brand-corp target. | Large restoration crews — documentation + compliance</t>
        </is>
      </c>
      <c r="Z37" s="111" t="inlineStr">
        <is>
          <t>BELFOR family FDD — pull brand-specific FDD for Items 8, 11, 19. GPS Insight warm flag confirmed.</t>
        </is>
      </c>
      <c r="AA37" s="112" t="inlineStr">
        <is>
          <t>USE: ROI Calculator
Inputs: $4,500/job avg (FDD), 3 jobs/day, 3 techs.
Key output: invoice cycle reduction + carrier doc quality.
GPS Insight warm — integrate telematics ROI in same model.</t>
        </is>
      </c>
      <c r="AB37" s="175" t="n"/>
      <c r="AC37" s="175" t="n"/>
      <c r="AD37" s="175" t="n"/>
      <c r="AE37" s="209" t="n">
        <v>91</v>
      </c>
      <c r="AF37" s="177" t="inlineStr">
        <is>
          <t>+25</t>
        </is>
      </c>
      <c r="AG37" s="210" t="inlineStr">
        <is>
          <t>EXCLUDE
⛔ NOT FSM SCOPE</t>
        </is>
      </c>
      <c r="AH37" s="555" t="inlineStr">
        <is>
          <t>Sheldon Yellen (CEO BELFOR Holdings $3B)
LinkedIn: https://www.linkedin.com/in/sheldon-yellen-belfor/
Southfield-Lathrup HS DROPOUT (got HS diploma at age 53!) ⭐⭐ Honorary Doctorate Oakland U 2019.
Detroit welfare childhood. Started age 11 dishwashing Leo's Coney Island. Joined BELFOR 1984 as 19th employee.
Rusty Amarante (Pres BELFOR FG, Director of Ops Property Restoration): 40+ yrs. Past-Pres RIA. Vice Chair IICRC S500.</t>
        </is>
      </c>
      <c r="AL37" s="518" t="inlineStr">
        <is>
          <t>Sheldon Yellen quote (sheldonyellen.com):
Famous for handwritten birthday cards. "They may feel old-fashioned in a world of dashboards and data, but for CEOs they remain one of the most powerful tools for building trust."
→ AVOID dashboards-and-data framing. Insurance carrier relationships = the key.</t>
        </is>
      </c>
      <c r="AM37" s="518" t="inlineStr">
        <is>
          <t>EXCLUDE from Track 2 FSM scope per CRM (corporate-managed crews, not franchisees).
Score: ⛔ NOT FSM SCOPE</t>
        </is>
      </c>
      <c r="AN37" s="518" t="inlineStr">
        <is>
          <t>Sheldon Yellen (CEO BELFOR Holdings)
Rusty Amarante (Pres BFG + DOO BPR)
Dan Tarantin DEPARTED
EXCLUDE from FSM scope (corporate-managed crews)</t>
        </is>
      </c>
      <c r="AO37" s="555" t="inlineStr">
        <is>
          <t>🥇🥇 #1 P1 TARGET (American Securities PE, 9,250 techs, ZERO FSM).
CEO: Doug Smith (Dan Tarantin departed).
🔗 WARM-INTRO: Josh Skolnick sold Redbox+ to BELFOR June 2021.
🎯 KEY SIGNAL: Beth Toenies VP FD direct quote: "BELFOR's emphasis on using SMARTER TOOLS, BUILDING SHARED SERVICES PROGRAMS."
PE EXIT MATH: every $1 EBITDA = $10-12x at exit. $2.5M EBITDA improvement × 10-12x = $25-30M exit value for $555K/yr platform.
👉 See Signal Intel: BELFOR section</t>
        </is>
      </c>
      <c r="AP37" s="555" t="inlineStr">
        <is>
          <t>BELFOR Annual Conference (~March 2027) — KEY EVENT
The Experience Convention Sept 2026
Restoration industry events shared with BluSky/Servpro
👉 See Event Intelligence tab</t>
        </is>
      </c>
      <c r="AQ37" s="555" t="inlineStr">
        <is>
          <t>🎓 BELFOR LEADERSHIP:
• Sheldon Yellen (CEO BELFOR Holdings $3B): Southfield-Lathrup HS DROPOUT (got diploma at 53!). Detroit MI welfare childhood. ⭐⭐ Self-made operator story.
• Chris Jones (CFO BELFOR Holdings): School pending.
• Rusty Amarante (Pres BELFOR FG + Dir Ops BELFOR Property Restoration): 40+ yrs restoration. Past-Pres RIA. Vice Chair IICRC S500.
• Doug Smith (SVP FD): U. of Louisville Business
• Beth Toenies (VP FD): Asbury University '06 ⭐
👉 See Signal Intel: BELFOR</t>
        </is>
      </c>
    </row>
    <row r="38" ht="280" customHeight="1" s="435">
      <c r="A38" s="197" t="n">
        <v>35</v>
      </c>
      <c r="B38" s="198" t="inlineStr">
        <is>
          <t>BELFOR (other brands)</t>
        </is>
      </c>
      <c r="C38" s="199" t="inlineStr">
        <is>
          <t>BELFOR</t>
        </is>
      </c>
      <c r="D38" s="103" t="inlineStr">
        <is>
          <t>Mixed</t>
        </is>
      </c>
      <c r="E38" s="200" t="n">
        <v>200</v>
      </c>
      <c r="F38" s="200" t="n">
        <v>4</v>
      </c>
      <c r="G38" s="201" t="inlineStr">
        <is>
          <t>Greenfield</t>
        </is>
      </c>
      <c r="H38" s="202" t="inlineStr">
        <is>
          <t>YES</t>
        </is>
      </c>
      <c r="I38" s="26" t="inlineStr">
        <is>
          <t>MED</t>
        </is>
      </c>
      <c r="J38" s="110" t="inlineStr">
        <is>
          <t>Greenfield / Paper</t>
        </is>
      </c>
      <c r="K38" s="120" t="inlineStr">
        <is>
          <t>🟢 None</t>
        </is>
      </c>
      <c r="L38" s="117" t="inlineStr">
        <is>
          <t>Validate with Andrea</t>
        </is>
      </c>
      <c r="M38" s="117" t="inlineStr">
        <is>
          <t>Validate with Andrea</t>
        </is>
      </c>
      <c r="N38" s="117" t="inlineStr">
        <is>
          <t>Validate via FDD</t>
        </is>
      </c>
      <c r="O38" s="109" t="inlineStr">
        <is>
          <t>🟡 Medium</t>
        </is>
      </c>
      <c r="P38" s="103" t="inlineStr">
        <is>
          <t>(Franchisee Owner)</t>
        </is>
      </c>
      <c r="Q38" s="103" t="inlineStr">
        <is>
          <t>Owner/Operator</t>
        </is>
      </c>
      <c r="R38" s="213" t="inlineStr">
        <is>
          <t>Brand presidents by brand (via Rusty Amarante or Beth Toenies):
• HOODZ: Keith Turner, Brand President
• N-Hance: Chris Seman, President (Jan 2026)
• JUNKCO+: TBD — brand president
• The Patch Boys: TBD — brand president
• redbox+ Dumpsters: TBD — brand president
• WINMAR: TBD — brand president
• Helpful Heroes: TBD — brand president
• Clear Pest Pros: TBD — brand president
← All approach via Rusty Amarante (BFG President) or Beth Toenies (VP FD)</t>
        </is>
      </c>
      <c r="S38" s="169" t="inlineStr">
        <is>
          <t>TBD — office manager / dispatcher
← Key internal champion for ServiceBridge pilot</t>
        </is>
      </c>
      <c r="T38" s="205" t="inlineStr">
        <is>
          <t>← Ask Andrea: GPS Insight account rep for this BELFOR franchisee
Warm intro = pilot conversation vs cold call</t>
        </is>
      </c>
      <c r="U38" s="171" t="n"/>
      <c r="V38" s="206" t="n"/>
      <c r="W38" s="207" t="inlineStr">
        <is>
          <t>Profile + outreach</t>
        </is>
      </c>
      <c r="X38" s="207" t="n"/>
      <c r="Y38" s="208" t="inlineStr">
        <is>
          <t>Remaining BELFOR brands — mandate unlocks all</t>
        </is>
      </c>
      <c r="Z38" s="111" t="inlineStr">
        <is>
          <t>BELFOR family FDD — pull brand-specific FDD for Items 8, 11, 19. GPS Insight warm flag confirmed.</t>
        </is>
      </c>
      <c r="AA38" s="112" t="inlineStr">
        <is>
          <t>USE: ROI Calculator
Inputs: $4,500/job avg (FDD), 3 jobs/day, 3 techs.
Key output: invoice cycle reduction + carrier doc quality.
GPS Insight warm — integrate telematics ROI in same model.</t>
        </is>
      </c>
      <c r="AB38" s="175" t="n"/>
      <c r="AC38" s="175" t="n"/>
      <c r="AD38" s="175" t="n"/>
      <c r="AE38" s="209" t="n">
        <v>71</v>
      </c>
      <c r="AF38" s="177" t="inlineStr">
        <is>
          <t>+25</t>
        </is>
      </c>
      <c r="AG38" s="210" t="inlineStr">
        <is>
          <t>96
🔴 LEAD PILOT</t>
        </is>
      </c>
      <c r="AH38" s="555" t="inlineStr">
        <is>
          <t>Aggregate — Sheldon Yellen / Rusty Amarante / Beth Toenies / Tim Fagan / Matt O'Rourke oversight
LinkedIn (Sheldon Yellen): https://www.linkedin.com/in/sheldon-yellen-belfor/
Sheldon Yellen (CEO BELFOR Holdings): HS DROPOUT (got diploma at age 53!) ⭐⭐
Tim Fagan (1-800 WD + Blue Kangaroo Pres): UMich + EMU ⭐
Beth Toenies (1-800-BOARDUP COO + VP FD): Asbury University '06 ⭐
Matt O'Rourke (Z Plumberz Founder/Pres): Oakland University ⭐
Rusty Amarante (Pres BELFOR FG): 40+ yrs operator path</t>
        </is>
      </c>
      <c r="AL38" s="518" t="inlineStr">
        <is>
          <t>HOODZ at 94% organic ServiceBridge adoption = sister vertical to DUCTZ.
Multi-brand BFG approach = relationship-driven culture per Yellen.</t>
        </is>
      </c>
      <c r="AM38" s="518" t="inlineStr">
        <is>
          <t>★★ #1 P2 TARGET — entire portfolio.
Insurance carrier reframe + EBITDA story for American Securities PE.
Score: 96 🔴 LEAD PILOT</t>
        </is>
      </c>
      <c r="AN38" s="518" t="inlineStr">
        <is>
          <t>Brand-specific presidents now identified:
• Sean Foley — redbox+ Dumpsters Brand Pres (Patrick Kiessling departed to TWS)
• Bob DeGraff — N-Hance Brand Pres (Feb 2024, former NY franchisee)
• Leo Goldberger — The Patch Boys Founder &amp; CEO (founded 2006)
• Mike Mendez — HOODZ leader
• Jim Swayne — Safer Home Services Founder
• Chuck Steinmetz — Safer Home Services Chairman (PMP Hall of Famer 2017)
Plus Chem-Dry: D'Wayne Tanner SVP Franchise Dev, Dre Carter Director Franchise Dev
Larry Oglesby — redbox+ franchisee Athens GA (podcast guest)</t>
        </is>
      </c>
      <c r="AO38" s="555" t="inlineStr">
        <is>
          <t>🥇 BELFOR umbrella — Mike's #1 P1 target. VP FD Beth Toenies oversees brand portfolio. American Securities PE.
👉 See Signal Intel: BELFOR section</t>
        </is>
      </c>
      <c r="AP38" s="555" t="inlineStr">
        <is>
          <t>BELFOR Annual Conference (~March 2027, March 2026 just held)
Per-brand awards (HOODZ Triangle, Z Plumberz)
The Experience Convention Sept 2026
FRI Fire-Rescue Intl mid-August (1-800-BOARDUP)
👉 See Event Intelligence tab</t>
        </is>
      </c>
      <c r="AQ38" s="555" t="inlineStr">
        <is>
          <t>Doug Smith (CEO): U. of Louisville Business.
🎯 Beth Toenies (VP FD): Asbury University '06 (Journalism, varsity tennis, honors). Navy military spouse, Jacksonville FL.
👉 See Signal Intel: BELFOR section</t>
        </is>
      </c>
    </row>
    <row r="39" ht="280" customHeight="1" s="435">
      <c r="A39" s="214" t="n">
        <v>36</v>
      </c>
      <c r="B39" s="215" t="inlineStr">
        <is>
          <t>MaidPro</t>
        </is>
      </c>
      <c r="C39" s="216" t="inlineStr">
        <is>
          <t>Threshold Brands</t>
        </is>
      </c>
      <c r="D39" s="217" t="inlineStr">
        <is>
          <t>Cleaning</t>
        </is>
      </c>
      <c r="E39" s="218" t="n">
        <v>448</v>
      </c>
      <c r="F39" s="218" t="n">
        <v>3</v>
      </c>
      <c r="G39" s="219" t="inlineStr">
        <is>
          <t>Greenfield</t>
        </is>
      </c>
      <c r="H39" s="19" t="inlineStr">
        <is>
          <t>TBD</t>
        </is>
      </c>
      <c r="I39" s="180" t="inlineStr">
        <is>
          <t>HIGH — Proprietary MaidPro software MANDATED — $500/month tech fee, confirmed in FDD Item 11</t>
        </is>
      </c>
      <c r="J39" s="110" t="inlineStr">
        <is>
          <t>Proprietary / Paper</t>
        </is>
      </c>
      <c r="K39" s="120" t="inlineStr">
        <is>
          <t>🟢 None</t>
        </is>
      </c>
      <c r="L39" s="117" t="inlineStr">
        <is>
          <t>Validate with Andrea</t>
        </is>
      </c>
      <c r="M39" s="117" t="inlineStr">
        <is>
          <t>Validate with Andrea</t>
        </is>
      </c>
      <c r="N39" s="117" t="inlineStr">
        <is>
          <t>Validate via FDD</t>
        </is>
      </c>
      <c r="O39" s="109" t="inlineStr">
        <is>
          <t>❓ Unknown</t>
        </is>
      </c>
      <c r="P39" s="217" t="inlineStr">
        <is>
          <t>(Franchisee Owner)</t>
        </is>
      </c>
      <c r="Q39" s="217" t="inlineStr">
        <is>
          <t>Owner/Operator</t>
        </is>
      </c>
      <c r="R39" s="169" t="inlineStr">
        <is>
          <t>TBD — franchisee owner/operator</t>
        </is>
      </c>
      <c r="S39" s="169" t="inlineStr">
        <is>
          <t>TBD — office manager / dispatcher</t>
        </is>
      </c>
      <c r="T39" s="169" t="inlineStr">
        <is>
          <t>TBD — verify GPS Insight customer status via Andrea</t>
        </is>
      </c>
      <c r="U39" s="171" t="n"/>
      <c r="V39" s="220" t="n"/>
      <c r="W39" s="221" t="inlineStr">
        <is>
          <t>Profile + outreach</t>
        </is>
      </c>
      <c r="X39" s="221" t="n"/>
      <c r="Y39" s="222" t="inlineStr">
        <is>
          <t>Largest Threshold brand. Recurring cleaning model</t>
        </is>
      </c>
      <c r="Z39" s="195" t="inlineStr">
        <is>
          <t>SOURCE: 2025 FDD (2024 data) — sharpsheets.io + franchisechatter.com
ITEM 19 — Unit Economics:
• 231 franchisees open 12 months ending Dec 31, 2024
• Avg gross revenue: ~$461,941/location (franzy.com) / $375,000 AUV (sharpsheets)
• Top quartile avg: $958K | Bottom quartile avg: $134K (7:1 ratio)
• 265+ locations across US and Canada
• Royalty: 6% gross sales + 2% brand fund = 8% total
• Investment range: $109,860–$158,650
ITEM 11 — Technology:
⚠️ PROPRIETARY SOFTWARE CONFIRMED: Technology fee of $500/month ($6,000/year)
MaidPro uses proprietary business software for scheduling, CRM, and operations
FSM CONFLICT RISK: High — proprietary system with mandatory monthly fee
MANDATE SOURCE: MaidPro (Threshold Brands brand-level, not PE mandate)</t>
        </is>
      </c>
      <c r="AA39" s="193" t="inlineStr">
        <is>
          <t>⚠️ CONFLICT: Proprietary FSM with $500/mo tech fee
DO NOT pitch ServiceBridge FSM replacement
ANGLE IF ENGAGED:
• GPS Insight telematics standalone — if confirmed customer
• Frame as complement, not replacement
• OR wait for Threshold mandate conversation at PE level
Threshold PE exit window (Riverside Year 4) = brand-level override possible</t>
        </is>
      </c>
      <c r="AB39" s="175" t="n"/>
      <c r="AC39" s="175" t="n"/>
      <c r="AD39" s="175" t="n"/>
      <c r="AE39" s="183" t="n">
        <v>51</v>
      </c>
      <c r="AF39" s="177" t="inlineStr">
        <is>
          <t>+25</t>
        </is>
      </c>
      <c r="AG39" s="184" t="inlineStr">
        <is>
          <t>76
🟡 QUEUE</t>
        </is>
      </c>
      <c r="AH39" s="555" t="inlineStr">
        <is>
          <t>Brand-specific president TBD post-Threshold acquisition
LinkedIn (founder Mark Kushinsky): https://www.linkedin.com/in/markkushinsky/
Founder Mark Kushinsky: Arizona State University ⭐
Co-founder Richard Sparacio: Suffolk University (left senior year) ⭐
Boston MA. Founded 1991. 250+ locations.</t>
        </is>
      </c>
      <c r="AI39" s="555" t="inlineStr">
        <is>
          <t>eestes@thresholdbrands.com</t>
        </is>
      </c>
      <c r="AJ39" s="555" t="inlineStr">
        <is>
          <t>Billy Newby (corporate)
https://www.linkedin.com/in/billy-newby-cpa-098a82a8
bnewby@thresholdbrands.com
✓ DIRECT email confirmed via Threshold website.</t>
        </is>
      </c>
      <c r="AK39" s="555" t="inlineStr">
        <is>
          <t>Jim Nichols CFE (VP Franchise Dev)
https://www.linkedin.com/in/jimnichols-cfe/
jnichols@thresholdbrands.com
🚨 Ron Bender (former CGO) passed away — Jim Nichols is now primary FD contact. Greer SC.</t>
        </is>
      </c>
      <c r="AL39" s="518" t="inlineStr">
        <is>
          <t>MaidPro is ~50% of Threshold's units (per Kappler 2022 quote). Cleaning vertical.
Hagan Kappler departed in 2024 — Ted DeMarino (CEO since 2024) replaced.</t>
        </is>
      </c>
      <c r="AM39" s="518" t="inlineStr">
        <is>
          <t>Score: TBD
Largest brand in Threshold but cleaning = lower FSM priority. Booking-focused.</t>
        </is>
      </c>
      <c r="AN39" s="518" t="inlineStr">
        <is>
          <t>Emily Estes (Brand President MaidPro)
Ted DeMarino (Threshold CEO since 2024)
Billy Newby (CFO)
Cory Hughes (COO, linkedin.com/in/corymhughes/)</t>
        </is>
      </c>
      <c r="AO39" s="555" t="inlineStr">
        <is>
          <t>Founder Mark Kushinsky (~270 locations, half of Threshold portfolio). Largest brand in Threshold.
👉 See Signal Intel: Threshold section</t>
        </is>
      </c>
      <c r="AP39" s="555" t="inlineStr">
        <is>
          <t>Threshold Annual Convention (date/location TBD)
Riverside Company portfolio events
👉 See Event Intelligence tab</t>
        </is>
      </c>
      <c r="AQ39" s="555" t="inlineStr">
        <is>
          <t>Most leaders pending verification.
Founders: Kushinsky (MaidPro), van Diepen (Pestmaster), Pitrone (USA Insulation family-founded).
👉 See Signal Intel: Threshold section</t>
        </is>
      </c>
    </row>
    <row r="40" ht="280" customHeight="1" s="435">
      <c r="A40" s="214" t="n">
        <v>37</v>
      </c>
      <c r="B40" s="215" t="inlineStr">
        <is>
          <t>USA Insulation</t>
        </is>
      </c>
      <c r="C40" s="216" t="inlineStr">
        <is>
          <t>Threshold Brands</t>
        </is>
      </c>
      <c r="D40" s="217" t="inlineStr">
        <is>
          <t>Insulation</t>
        </is>
      </c>
      <c r="E40" s="218" t="n">
        <v>150</v>
      </c>
      <c r="F40" s="218" t="n">
        <v>5</v>
      </c>
      <c r="G40" s="219" t="inlineStr">
        <is>
          <t>At-Risk SB</t>
        </is>
      </c>
      <c r="H40" s="19" t="inlineStr">
        <is>
          <t>TBD</t>
        </is>
      </c>
      <c r="I40" s="203" t="inlineStr">
        <is>
          <t>NONE — Greenfield confirmed — 2025 FDD Item 11 shows no FSM mandate; project-based install model</t>
        </is>
      </c>
      <c r="J40" s="110" t="inlineStr">
        <is>
          <t>ServiceBridge (75%, AT-RISK — transitioning off per Andrea Apr 2026)</t>
        </is>
      </c>
      <c r="K40" s="120" t="inlineStr">
        <is>
          <t>🟢 None</t>
        </is>
      </c>
      <c r="L40" s="117" t="inlineStr">
        <is>
          <t>Validate with Andrea</t>
        </is>
      </c>
      <c r="M40" s="117" t="inlineStr">
        <is>
          <t>Validate with Andrea</t>
        </is>
      </c>
      <c r="N40" s="117" t="inlineStr">
        <is>
          <t>Validate via FDD</t>
        </is>
      </c>
      <c r="O40" s="109" t="inlineStr">
        <is>
          <t>❓ Unknown</t>
        </is>
      </c>
      <c r="P40" s="217" t="inlineStr">
        <is>
          <t>(Franchisee Owner)</t>
        </is>
      </c>
      <c r="Q40" s="217" t="inlineStr">
        <is>
          <t>Owner/Operator</t>
        </is>
      </c>
      <c r="R40" s="169" t="inlineStr">
        <is>
          <t>TBD — franchisee owner/operator</t>
        </is>
      </c>
      <c r="S40" s="169" t="inlineStr">
        <is>
          <t>TBD — office manager / dispatcher</t>
        </is>
      </c>
      <c r="T40" s="169" t="inlineStr">
        <is>
          <t>TBD — verify GPS Insight customer status via Andrea</t>
        </is>
      </c>
      <c r="U40" s="171" t="n"/>
      <c r="V40" s="220" t="n"/>
      <c r="W40" s="221" t="inlineStr">
        <is>
          <t>Profile + outreach</t>
        </is>
      </c>
      <c r="X40" s="221" t="n"/>
      <c r="Y40" s="222" t="inlineStr">
        <is>
          <t>⚠️ AT-RISK / RETENTION PLAY — Andrea confirmed Apr 2026: USA Insulation transitioning off ServiceBridge over next year. Posture: dual-track — defend if reversible, reset relationship at brand-corp level (Ted DeMarino CEO + Billy Newby CFO new in role). | Seasonal scheduling — strong dispatch fit</t>
        </is>
      </c>
      <c r="Z40" s="195" t="inlineStr">
        <is>
          <t>SOURCE: 2025 FDD (2024 data) — franchisechatter.com + frandb.com analysis
ITEM 19 — Unit Economics:
• 41 franchises, 79 territories, full year Dec 31 2024
• Avg gross revenue per territory: $2,437,318
• Top quartile avg: $3M+
• Gross margin system-wide: 50-55% (top performers 57%)
• 101.6% unit increase over 3 years — fastest growing Threshold brand
• Royalty: greater of 5% gross sales or $1,000/mo
• Investment range: $299,500–$470,000
ITEM 11 — Technology:
No FSM mandate found in public sources — GREENFIELD confirmed
Project-based model — estimate to invoice flow = ServiceBridge sweet spot
ITEM 8 — Vendors:
Proprietary foam products (cost = 37-112% of gross sales per territory)
Vendor supply chain is key cost driver</t>
        </is>
      </c>
      <c r="AA40" s="223" t="inlineStr">
        <is>
          <t>USE: ROI Calculator — PROJECT MODEL
PRE-POPULATE WITH:
• Avg revenue/job: $8,000-$15,000 (insulation install)
• Jobs/tech/day: 1-2 (project-based, not route)
• Territories: 79 active
• Avg gross revenue/territory: $2.4M
KEY ANGLES:
• GreenSky® financing — high-ticket jobs ($5K-$15K) = direct conversion lift
• Estimate-to-invoice flow — digital estimates reduce no-shows
• Job documentation — photo capture = carrier/warranty compliance
• 5-pt margin lift on $2.4M territory = $120K EBITDA/territory
• 79 territories × $120K = $9.5M system EBITDA impact at 5% margin lift
Riverside PE exit window — EBITDA story lands well</t>
        </is>
      </c>
      <c r="AB40" s="175" t="n"/>
      <c r="AC40" s="175" t="n"/>
      <c r="AD40" s="175" t="n"/>
      <c r="AE40" s="183" t="n">
        <v>59</v>
      </c>
      <c r="AF40" s="177" t="inlineStr">
        <is>
          <t>+25</t>
        </is>
      </c>
      <c r="AG40" s="184" t="inlineStr">
        <is>
          <t>84*
⚠️ RECALIBRATE — at-risk, not greenfield</t>
        </is>
      </c>
      <c r="AH40" s="555" t="inlineStr">
        <is>
          <t>🚨 BRAND PRESIDENT VACANT (per The Org)
Threshold actively HIRING for 'Brand Leader' role.
LinkedIn (Threshold parent / Hagan Kappler era - LEFT 2024): https://www.linkedin.com/in/hagan-kappler-7b41194/
Hagan Kappler (former Threshold CEO): Williams BA + UVA Darden MBA ⭐⭐
Now CEO Daisy.</t>
        </is>
      </c>
      <c r="AI40" s="555" t="inlineStr">
        <is>
          <t>ppitrone@thresholdbrands.com</t>
        </is>
      </c>
      <c r="AJ40" s="555" t="inlineStr">
        <is>
          <t>Billy Newby (corporate)
https://www.linkedin.com/in/billy-newby-cpa-098a82a8
bnewby@thresholdbrands.com
✓ DIRECT email confirmed via Threshold website.</t>
        </is>
      </c>
      <c r="AK40" s="555" t="inlineStr">
        <is>
          <t>Jim Nichols CFE (VP Franchise Dev)
https://www.linkedin.com/in/jimnichols-cfe/
jnichols@thresholdbrands.com
🚨 Ron Bender (former CGO) passed away — Jim Nichols is now primary FD contact. Greer SC.</t>
        </is>
      </c>
      <c r="AL40" s="518" t="inlineStr">
        <is>
          <t>Hagan Kappler (2022): "USA Insulation is seeing tremendous growth with an unparalleled product. They're entrepreneurial and they're excited about growth."
70-unit concept growing fast — was the growth darling of Threshold.</t>
        </is>
      </c>
      <c r="AM40" s="518" t="inlineStr">
        <is>
          <t>★ DEFENSIVE WINDOW — until new pres named, transition off SB will continue.
Strategy: Reach Ted DeMarino directly NOW or wait for new pres + immediately re-pitch.
Score: TBD</t>
        </is>
      </c>
      <c r="AN40" s="518" t="inlineStr">
        <is>
          <t>🚨 BRAND PRES VACANT — hiring open
Pat Pitrone (was group pres USA Insulation, son of founder, departed)
Ted DeMarino (CEO) direct outreach until pres named</t>
        </is>
      </c>
      <c r="AO40" s="555" t="inlineStr">
        <is>
          <t>Pat Pitrone (CEO/Leader, family-founded, 70 units). Hagan Kappler quote: "tremendous growth with an unparalleled product."
👉 See Signal Intel: Threshold section</t>
        </is>
      </c>
      <c r="AP40" s="555" t="inlineStr">
        <is>
          <t>Threshold Annual Convention (date/location TBD)
Riverside Company portfolio events
👉 See Event Intelligence tab</t>
        </is>
      </c>
      <c r="AQ40" s="555" t="inlineStr">
        <is>
          <t>Most leaders pending verification.
Founders: Kushinsky (MaidPro), van Diepen (Pestmaster), Pitrone (USA Insulation family-founded).
👉 See Signal Intel: Threshold section</t>
        </is>
      </c>
    </row>
    <row r="41" ht="280" customHeight="1" s="435">
      <c r="A41" s="214" t="n">
        <v>38</v>
      </c>
      <c r="B41" s="215" t="inlineStr">
        <is>
          <t>Men In Kilts</t>
        </is>
      </c>
      <c r="C41" s="216" t="inlineStr">
        <is>
          <t>Threshold Brands</t>
        </is>
      </c>
      <c r="D41" s="217" t="inlineStr">
        <is>
          <t>Window Cleaning</t>
        </is>
      </c>
      <c r="E41" s="218" t="n">
        <v>150</v>
      </c>
      <c r="F41" s="218" t="n">
        <v>4</v>
      </c>
      <c r="G41" s="219" t="inlineStr">
        <is>
          <t>Greenfield</t>
        </is>
      </c>
      <c r="H41" s="19" t="inlineStr">
        <is>
          <t>TBD</t>
        </is>
      </c>
      <c r="I41" s="224" t="inlineStr">
        <is>
          <t>MED</t>
        </is>
      </c>
      <c r="J41" s="110" t="inlineStr">
        <is>
          <t>Greenfield / Paper</t>
        </is>
      </c>
      <c r="K41" s="120" t="inlineStr">
        <is>
          <t>🟢 None</t>
        </is>
      </c>
      <c r="L41" s="117" t="inlineStr">
        <is>
          <t>Validate with Andrea</t>
        </is>
      </c>
      <c r="M41" s="117" t="inlineStr">
        <is>
          <t>Validate with Andrea</t>
        </is>
      </c>
      <c r="N41" s="117" t="inlineStr">
        <is>
          <t>Validate via FDD</t>
        </is>
      </c>
      <c r="O41" s="109" t="inlineStr">
        <is>
          <t>❓ Unknown</t>
        </is>
      </c>
      <c r="P41" s="217" t="inlineStr">
        <is>
          <t>(Franchisee Owner)</t>
        </is>
      </c>
      <c r="Q41" s="217" t="inlineStr">
        <is>
          <t>Owner/Operator</t>
        </is>
      </c>
      <c r="R41" s="169" t="inlineStr">
        <is>
          <t>TBD — franchisee owner/operator</t>
        </is>
      </c>
      <c r="S41" s="169" t="inlineStr">
        <is>
          <t>TBD — office manager / dispatcher</t>
        </is>
      </c>
      <c r="T41" s="169" t="inlineStr">
        <is>
          <t>TBD — verify GPS Insight customer status via Andrea</t>
        </is>
      </c>
      <c r="U41" s="171" t="n"/>
      <c r="V41" s="220" t="n"/>
      <c r="W41" s="221" t="inlineStr">
        <is>
          <t>Profile + outreach</t>
        </is>
      </c>
      <c r="X41" s="221" t="n"/>
      <c r="Y41" s="222" t="inlineStr">
        <is>
          <t>Route-heavy exterior cleaning</t>
        </is>
      </c>
      <c r="Z41" s="195" t="inlineStr">
        <is>
          <t>SOURCE: 2025 FDD — sharpsheets.io + franzy.com + franchisepayback.com
ITEM 19 — Unit Economics:
• Avg gross revenue: ~$147,164/location (below sector avg of $881K)
• 36 locations North America as of Dec 2024
• Investment range: $127,000–$223,000
• Royalty: 6% + 2% national marketing
• Territory: 40,000+ qualified households per territory
ITEM 11 — Technology:
Cloud-based scheduling mentioned. No specific FSM mandate found.
GREENFIELD likely — small brand, exterior cleaning model
Acquired by Threshold Brands 2020 — tech stack under review
NOTE: Low AUV ($147K) — small brand, pilot value is limited unless targeting
multi-territory operators</t>
        </is>
      </c>
      <c r="AA41" s="193" t="inlineStr">
        <is>
          <t>USE: Conservative ROI model only
PRE-POPULATE:
• Revenue/job: $200-$400 (window/gutter cleaning)
• Jobs/tech/day: 3-4
• Avg location: $147K revenue
KEY ANGLE:
• Route optimization = same-day scheduling efficiency
• Job Confirmations 2-way SMS = no-shows
• Small brand — wait for Threshold mandate conversation
• Better ROI story after Threshold PE intro</t>
        </is>
      </c>
      <c r="AB41" s="175" t="n"/>
      <c r="AC41" s="175" t="n"/>
      <c r="AD41" s="175" t="n"/>
      <c r="AE41" s="183" t="n">
        <v>51</v>
      </c>
      <c r="AF41" s="177" t="inlineStr">
        <is>
          <t>+25</t>
        </is>
      </c>
      <c r="AG41" s="184" t="inlineStr">
        <is>
          <t>76
🟡 QUEUE</t>
        </is>
      </c>
      <c r="AH41" s="555" t="inlineStr">
        <is>
          <t>Rachel Southard (Brand President since June 2021)
LinkedIn: https://www.linkedin.com/in/rachelsouthard/
School pending direct verification.
Founder of 'She Dreams' women's empowerment platform.</t>
        </is>
      </c>
      <c r="AI41" s="555" t="inlineStr">
        <is>
          <t>nbrand@thresholdbrands.com</t>
        </is>
      </c>
      <c r="AJ41" s="555" t="inlineStr">
        <is>
          <t>Billy Newby (corporate)
https://www.linkedin.com/in/billy-newby-cpa-098a82a8
bnewby@thresholdbrands.com
✓ DIRECT email confirmed via Threshold website.</t>
        </is>
      </c>
      <c r="AK41" s="555" t="inlineStr">
        <is>
          <t>Jim Nichols CFE (VP Franchise Dev)
https://www.linkedin.com/in/jimnichols-cfe/
jnichols@thresholdbrands.com
🚨 Ron Bender (former CGO) passed away — Jim Nichols is now primary FD contact. Greer SC.</t>
        </is>
      </c>
      <c r="AL41" s="518" t="inlineStr">
        <is>
          <t>Window cleaning + exterior services. Direct competitor to Pink's and Shine.
Original Canadian brand acquired by Threshold via Riverside.</t>
        </is>
      </c>
      <c r="AM41" s="518" t="inlineStr">
        <is>
          <t>Score: TBD
Window cleaning — fleet-light vertical.</t>
        </is>
      </c>
      <c r="AN41" s="518" t="inlineStr">
        <is>
          <t>Bryan McMurray (was Manager Operations Men In Kilts, now GGF Brand Pres)
Ted DeMarino, Cory Hughes</t>
        </is>
      </c>
      <c r="AO41" s="555" t="inlineStr">
        <is>
          <t>CEO Hagan Kappler (since 2022, ex-Merry Maids/ServiceMaster Clean). Riverside Capital backed.
👉 See Signal Intel: Threshold section</t>
        </is>
      </c>
      <c r="AP41" s="555" t="inlineStr">
        <is>
          <t>Threshold Annual Convention (date/location TBD)
Riverside Company portfolio events
👉 See Event Intelligence tab</t>
        </is>
      </c>
      <c r="AQ41" s="555" t="inlineStr">
        <is>
          <t>🎓 THRESHOLD BRANDS:
• Rachel Southard (Brand Pres): Pending verification
• Hagan Kappler (former Threshold CEO, now Daisy CEO): Williams College + UVA Darden MBA ⭐
• R. Scott Sutton (former CGO, now Empower CDO): University of Oklahoma BA, CFE+CMAA
👉 See Signal Intel: Threshold</t>
        </is>
      </c>
    </row>
    <row r="42" ht="280" customHeight="1" s="435">
      <c r="A42" s="214" t="n">
        <v>39</v>
      </c>
      <c r="B42" s="215" t="inlineStr">
        <is>
          <t>Pestmaster Services</t>
        </is>
      </c>
      <c r="C42" s="216" t="inlineStr">
        <is>
          <t>Threshold Brands</t>
        </is>
      </c>
      <c r="D42" s="217" t="inlineStr">
        <is>
          <t>Pest Control</t>
        </is>
      </c>
      <c r="E42" s="218" t="n">
        <v>150</v>
      </c>
      <c r="F42" s="218" t="n">
        <v>3</v>
      </c>
      <c r="G42" s="219" t="inlineStr">
        <is>
          <t>Greenfield</t>
        </is>
      </c>
      <c r="H42" s="19" t="inlineStr">
        <is>
          <t>TBD</t>
        </is>
      </c>
      <c r="I42" s="203" t="inlineStr">
        <is>
          <t>NONE — Greenfield likely — no FSM mandate found; government contract route model benefits from job documentation</t>
        </is>
      </c>
      <c r="J42" s="117" t="inlineStr">
        <is>
          <t>FieldRoutes possible</t>
        </is>
      </c>
      <c r="K42" s="109" t="inlineStr">
        <is>
          <t>🟡 Medium</t>
        </is>
      </c>
      <c r="L42" s="117" t="inlineStr">
        <is>
          <t>Validate with Andrea</t>
        </is>
      </c>
      <c r="M42" s="117" t="inlineStr">
        <is>
          <t>Validate with Andrea</t>
        </is>
      </c>
      <c r="N42" s="117" t="inlineStr">
        <is>
          <t>Validate via FDD</t>
        </is>
      </c>
      <c r="O42" s="109" t="inlineStr">
        <is>
          <t>❓ Unknown</t>
        </is>
      </c>
      <c r="P42" s="217" t="inlineStr">
        <is>
          <t>(Franchisee Owner)</t>
        </is>
      </c>
      <c r="Q42" s="217" t="inlineStr">
        <is>
          <t>Owner/Operator</t>
        </is>
      </c>
      <c r="R42" s="169" t="inlineStr">
        <is>
          <t>TBD — franchisee owner/operator</t>
        </is>
      </c>
      <c r="S42" s="169" t="inlineStr">
        <is>
          <t>TBD — office manager / dispatcher</t>
        </is>
      </c>
      <c r="T42" s="169" t="inlineStr">
        <is>
          <t>TBD — verify GPS Insight customer status via Andrea</t>
        </is>
      </c>
      <c r="U42" s="171" t="n"/>
      <c r="V42" s="220" t="n"/>
      <c r="W42" s="221" t="inlineStr">
        <is>
          <t>Profile + outreach</t>
        </is>
      </c>
      <c r="X42" s="221" t="n"/>
      <c r="Y42" s="222" t="inlineStr">
        <is>
          <t>Seasonal pest route — recurring</t>
        </is>
      </c>
      <c r="Z42" s="195" t="inlineStr">
        <is>
          <t>SOURCE: 2025 FDD — franzy.com + sharpsheets.io
ITEM 19 — Unit Economics:
• Avg gross revenue: $542,842/location
• 57 franchised locations, 23 states (as of 2025 FDD)
• Investment range: $85,000–$189,000
• Royalty: 7% gross sales + 2% advertising
• Government contract model — pre-qualified for federal agencies
• Multiple revenue streams: pest, vector, vegetation management
ITEM 11 — Technology:
No specific FSM mandate found — GREENFIELD likely
Pestmaster mentions 'software and newest treatment technology'
Route-based model with recurring government contracts
NOTE: Government + commercial contracts = recurring route model
Strong ServiceBridge fit for route scheduling + job documentation</t>
        </is>
      </c>
      <c r="AA42" s="193" t="inlineStr">
        <is>
          <t>USE: ROI Calculator — ROUTE MODEL
PRE-POPULATE:
• Avg revenue/location: $542K
• Route-based recurring contracts
• Government contract model = compliance documentation critical
KEY ANGLES:
• Route optimization = more stops per day
• Job completion documentation = government contract compliance
• 2-way SMS job confirmations = no-shows reduction
• $542K × 5% margin lift = $27K/location
• 57 locations × $27K = $1.5M system case
• Riverside PE exit math</t>
        </is>
      </c>
      <c r="AB42" s="175" t="n"/>
      <c r="AC42" s="175" t="n"/>
      <c r="AD42" s="175" t="n"/>
      <c r="AE42" s="183" t="n">
        <v>54</v>
      </c>
      <c r="AF42" s="177" t="inlineStr">
        <is>
          <t>+25</t>
        </is>
      </c>
      <c r="AG42" s="184" t="inlineStr">
        <is>
          <t>79
🟡 QUEUE</t>
        </is>
      </c>
      <c r="AH42" s="555" t="inlineStr">
        <is>
          <t>Bryan Shamhart, A.C.E. (Brand President since Nov 3, 2025)
LinkedIn: https://www.linkedin.com/in/bryan-shamhart-a-c-e-b9898598/
A.C.E. (Associate Certified Entomologist) ⭐
Ex-Orkin Operations Manager 15+ yrs. North Olmsted OH.
Pestmaster franchisee Cleveland → promoted to Brand Pres (succeeded Brett Shraiar).</t>
        </is>
      </c>
      <c r="AI42" s="555" t="inlineStr">
        <is>
          <t>kscott@thresholdbrands.com</t>
        </is>
      </c>
      <c r="AJ42" s="555" t="inlineStr">
        <is>
          <t>Billy Newby (corporate)
https://www.linkedin.com/in/billy-newby-cpa-098a82a8
bnewby@thresholdbrands.com
✓ DIRECT email confirmed via Threshold website.</t>
        </is>
      </c>
      <c r="AK42" s="555" t="inlineStr">
        <is>
          <t>Jim Nichols CFE (VP Franchise Dev)
https://www.linkedin.com/in/jimnichols-cfe/
jnichols@thresholdbrands.com
🚨 Ron Bender (former CGO) passed away — Jim Nichols is now primary FD contact. Greer SC.</t>
        </is>
      </c>
      <c r="AL42" s="518" t="inlineStr">
        <is>
          <t>Pest control = competitor to Mosquito Joe (Neighborly), Mosquito Squad (Authority), Mosquito Shield (Five Star).</t>
        </is>
      </c>
      <c r="AM42" s="518" t="inlineStr">
        <is>
          <t>Score: TBD
Lower priority — pest market saturated.</t>
        </is>
      </c>
      <c r="AN42" s="518" t="inlineStr">
        <is>
          <t>Bryan Shamhart A.C.E. (Brand Pres Nov 2025)
Brett Shraiar (prior president)
Kieran Scott (former 2022)
Melanie Perez (Marketing Manager, 2026 hire)</t>
        </is>
      </c>
      <c r="AO42" s="555" t="inlineStr">
        <is>
          <t>Founder Jeff van Diepen, 35 locations. Pest control = high-frequency route service.
👉 See Signal Intel: Threshold section</t>
        </is>
      </c>
      <c r="AP42" s="555" t="inlineStr">
        <is>
          <t>Threshold Annual Convention (date/location TBD)
Riverside Company portfolio events
👉 See Event Intelligence tab</t>
        </is>
      </c>
      <c r="AQ42" s="555" t="inlineStr">
        <is>
          <t>🎓 THRESHOLD:
• Bryan Shamhart A.C.E. (NEW Brand Pres Nov 2025): A.C.E. cert. Ex-Orkin 15+ yrs. North Olmsted OH. Education pending.
• Predecessor Brett Shraiar (former brand leader): Pending verification
👉 See Signal Intel: Threshold</t>
        </is>
      </c>
    </row>
    <row r="43" ht="280" customHeight="1" s="435">
      <c r="A43" s="214" t="n">
        <v>40</v>
      </c>
      <c r="B43" s="215" t="inlineStr">
        <is>
          <t>FlyFoe</t>
        </is>
      </c>
      <c r="C43" s="216" t="inlineStr">
        <is>
          <t>Threshold Brands</t>
        </is>
      </c>
      <c r="D43" s="217" t="inlineStr">
        <is>
          <t>Pest Control</t>
        </is>
      </c>
      <c r="E43" s="218" t="n">
        <v>100</v>
      </c>
      <c r="F43" s="218" t="n">
        <v>3</v>
      </c>
      <c r="G43" s="219" t="inlineStr">
        <is>
          <t>Greenfield</t>
        </is>
      </c>
      <c r="H43" s="19" t="inlineStr">
        <is>
          <t>TBD</t>
        </is>
      </c>
      <c r="I43" s="224" t="inlineStr">
        <is>
          <t>MED</t>
        </is>
      </c>
      <c r="J43" s="117" t="inlineStr">
        <is>
          <t>FieldRoutes possible</t>
        </is>
      </c>
      <c r="K43" s="109" t="inlineStr">
        <is>
          <t>🟡 Medium</t>
        </is>
      </c>
      <c r="L43" s="117" t="inlineStr">
        <is>
          <t>Validate with Andrea</t>
        </is>
      </c>
      <c r="M43" s="117" t="inlineStr">
        <is>
          <t>Validate with Andrea</t>
        </is>
      </c>
      <c r="N43" s="117" t="inlineStr">
        <is>
          <t>Validate via FDD</t>
        </is>
      </c>
      <c r="O43" s="109" t="inlineStr">
        <is>
          <t>❓ Unknown</t>
        </is>
      </c>
      <c r="P43" s="217" t="inlineStr">
        <is>
          <t>(Franchisee Owner)</t>
        </is>
      </c>
      <c r="Q43" s="217" t="inlineStr">
        <is>
          <t>Owner/Operator</t>
        </is>
      </c>
      <c r="R43" s="169" t="inlineStr">
        <is>
          <t>TBD — franchisee owner/operator</t>
        </is>
      </c>
      <c r="S43" s="169" t="inlineStr">
        <is>
          <t>TBD — office manager / dispatcher</t>
        </is>
      </c>
      <c r="T43" s="169" t="inlineStr">
        <is>
          <t>TBD — verify GPS Insight customer status via Andrea</t>
        </is>
      </c>
      <c r="U43" s="171" t="n"/>
      <c r="V43" s="220" t="n"/>
      <c r="W43" s="221" t="inlineStr">
        <is>
          <t>Profile + outreach</t>
        </is>
      </c>
      <c r="X43" s="221" t="n"/>
      <c r="Y43" s="222" t="inlineStr">
        <is>
          <t>Mosquito + pest control</t>
        </is>
      </c>
      <c r="Z43" s="192" t="inlineStr">
        <is>
          <t>SOURCE: FranNet + Franchise Gator + Franchising.com (2025)
ITEM 19 — Unit Economics:
• Very small brand — only 7 locations as of 2019 data (limited public FDD data)
• Investment range: $72,940–$178,490
• Royalty: sliding scale 9-6% gross sales
• Mosquito + tick control — seasonal recurring model
• Proprietary software for scheduling + route management mentioned
ITEM 11 — Technology:
⚠️ PROPRIETARY SOFTWARE MENTIONED: scheduling + route management
FlyFoe mentions 'one-of-a-kind software for scheduling and route management'
CONFLICT RISK: Medium — verify if ServiceBridge would conflict
NOTE: Micro-brand within Threshold (acquired by MaidPro/BG). Very small.
Wait for Threshold mandate conversation — do not approach direct</t>
        </is>
      </c>
      <c r="AA43" s="193" t="inlineStr">
        <is>
          <t>⚠️ VERIFY: Proprietary scheduling software — possible conflict
NOTE: Micro-brand, very small (7 locations). Low priority.
Wait for Threshold mandate conversation.
IF ENGAGED:
• GPS Insight telematics route optimization angle
• Seasonal route model = strong route optimization case
• Upgrade path if current software is basic</t>
        </is>
      </c>
      <c r="AB43" s="175" t="n"/>
      <c r="AC43" s="175" t="n"/>
      <c r="AD43" s="175" t="n"/>
      <c r="AE43" s="183" t="n">
        <v>54</v>
      </c>
      <c r="AF43" s="177" t="inlineStr">
        <is>
          <t>+25</t>
        </is>
      </c>
      <c r="AG43" s="184" t="inlineStr">
        <is>
          <t>79
🟡 QUEUE</t>
        </is>
      </c>
      <c r="AH43" s="555" t="inlineStr">
        <is>
          <t>🆕 FlyFoe REBRANDED to PATIO PATROL
LinkedIn (Threshold leadership): https://www.linkedin.com/in/hagan-kappler-7b41194/
Per Threshold/Hagan Kappler 2023 announcement.
Threshold/Roark Capital portfolio.
Hagan Kappler (former Threshold CEO): Williams BA + UVA Darden MBA ⭐⭐ (now Daisy CEO)</t>
        </is>
      </c>
      <c r="AI43" s="555" t="inlineStr">
        <is>
          <t>[brand transitioning]</t>
        </is>
      </c>
      <c r="AJ43" s="555" t="inlineStr">
        <is>
          <t>Billy Newby (corporate)
https://www.linkedin.com/in/billy-newby-cpa-098a82a8
bnewby@thresholdbrands.com
✓ DIRECT email confirmed via Threshold website.</t>
        </is>
      </c>
      <c r="AK43" s="555" t="inlineStr">
        <is>
          <t>Jim Nichols CFE (VP Franchise Dev)
https://www.linkedin.com/in/jimnichols-cfe/
jnichols@thresholdbrands.com
🚨 Ron Bender (former CGO) passed away — Jim Nichols is now primary FD contact. Greer SC.</t>
        </is>
      </c>
      <c r="AL43" s="518" t="inlineStr">
        <is>
          <t>FlyFoe = new-to-industry brand launched 2021 by Threshold.</t>
        </is>
      </c>
      <c r="AM43" s="518" t="inlineStr">
        <is>
          <t>Score: TBD
Emerging brand — onboarding active.</t>
        </is>
      </c>
      <c r="AN43" s="518" t="inlineStr">
        <is>
          <t>🆕 Rebranded to PATIO PATROL per 2023 Kappler announcement
Cory Hughes (COO) operational oversight
Ted DeMarino CEO</t>
        </is>
      </c>
      <c r="AO43" s="555" t="inlineStr">
        <is>
          <t>CEO Hagan Kappler (since 2022, ex-Merry Maids/ServiceMaster Clean). Riverside Capital backed.
👉 See Signal Intel: Threshold section</t>
        </is>
      </c>
      <c r="AP43" s="555" t="inlineStr">
        <is>
          <t>Threshold Annual Convention (date/location TBD)
Riverside Company portfolio events
👉 See Event Intelligence tab</t>
        </is>
      </c>
      <c r="AQ43" s="555" t="inlineStr">
        <is>
          <t>Most leaders pending verification.
Founders: Kushinsky (MaidPro), van Diepen (Pestmaster), Pitrone (USA Insulation family-founded).
👉 See Signal Intel: Threshold section</t>
        </is>
      </c>
    </row>
    <row r="44" ht="280" customHeight="1" s="435">
      <c r="A44" s="214" t="n">
        <v>41</v>
      </c>
      <c r="B44" s="215" t="inlineStr">
        <is>
          <t>Granite Garage Floors</t>
        </is>
      </c>
      <c r="C44" s="216" t="inlineStr">
        <is>
          <t>Threshold Brands</t>
        </is>
      </c>
      <c r="D44" s="217" t="inlineStr">
        <is>
          <t>Flooring</t>
        </is>
      </c>
      <c r="E44" s="218" t="n">
        <v>100</v>
      </c>
      <c r="F44" s="218" t="n">
        <v>3</v>
      </c>
      <c r="G44" s="219" t="inlineStr">
        <is>
          <t>Greenfield</t>
        </is>
      </c>
      <c r="H44" s="19" t="inlineStr">
        <is>
          <t>TBD</t>
        </is>
      </c>
      <c r="I44" s="224" t="inlineStr">
        <is>
          <t>MED</t>
        </is>
      </c>
      <c r="J44" s="110" t="inlineStr">
        <is>
          <t>Greenfield / Paper</t>
        </is>
      </c>
      <c r="K44" s="120" t="inlineStr">
        <is>
          <t>🟢 None</t>
        </is>
      </c>
      <c r="L44" s="117" t="inlineStr">
        <is>
          <t>Validate with Andrea</t>
        </is>
      </c>
      <c r="M44" s="117" t="inlineStr">
        <is>
          <t>Validate with Andrea</t>
        </is>
      </c>
      <c r="N44" s="117" t="inlineStr">
        <is>
          <t>Validate via FDD</t>
        </is>
      </c>
      <c r="O44" s="109" t="inlineStr">
        <is>
          <t>❓ Unknown</t>
        </is>
      </c>
      <c r="P44" s="217" t="inlineStr">
        <is>
          <t>(Franchisee Owner)</t>
        </is>
      </c>
      <c r="Q44" s="217" t="inlineStr">
        <is>
          <t>Owner/Operator</t>
        </is>
      </c>
      <c r="R44" s="169" t="inlineStr">
        <is>
          <t>TBD — franchisee owner/operator</t>
        </is>
      </c>
      <c r="S44" s="169" t="inlineStr">
        <is>
          <t>TBD — office manager / dispatcher</t>
        </is>
      </c>
      <c r="T44" s="169" t="inlineStr">
        <is>
          <t>TBD — verify GPS Insight customer status via Andrea</t>
        </is>
      </c>
      <c r="U44" s="171" t="n"/>
      <c r="V44" s="220" t="n"/>
      <c r="W44" s="221" t="inlineStr">
        <is>
          <t>Profile + outreach</t>
        </is>
      </c>
      <c r="X44" s="221" t="n"/>
      <c r="Y44" s="222" t="inlineStr">
        <is>
          <t>Project-based flooring</t>
        </is>
      </c>
      <c r="Z44" s="195" t="inlineStr">
        <is>
          <t>SOURCE: LinkedIn + Threshold Brands + FDD Exchange 2025
ITEM 19 — Unit Economics:
• Brand President: Kayla Cina (named Top 50 Women in Franchising 2023)
• Garage floor coating installation — project-based model
• Investment range: est. $100K-$200K (no specific public AUV found)
• Part of Threshold Brands portfolio (Riverside Company)
• Franchise count: est. 40-60 locations
ITEM 11 — Technology:
No specific FSM mandate found — GREENFIELD likely
Project-based install model — estimate to invoice flow
NOTE: Smaller brand within Threshold. Kayla Cina is approachable.
Wait for Threshold mandate conversation before direct outreach</t>
        </is>
      </c>
      <c r="AA44" s="193" t="inlineStr">
        <is>
          <t>USE: ROI Calculator — PROJECT INSTALL MODEL
PRE-POPULATE:
• Project-based: avg job $2,000-$5,000 (garage floor coating)
• High-ticket, low volume
KEY ANGLES:
• Digital estimates + photo before/after capture
• GreenSky financing for $2K-$5K jobs
• Same-day payment
• Wait for Threshold mandate conversation</t>
        </is>
      </c>
      <c r="AB44" s="175" t="n"/>
      <c r="AC44" s="175" t="n"/>
      <c r="AD44" s="175" t="n"/>
      <c r="AE44" s="183" t="n">
        <v>49</v>
      </c>
      <c r="AF44" s="177" t="inlineStr">
        <is>
          <t>+25</t>
        </is>
      </c>
      <c r="AG44" s="184" t="inlineStr">
        <is>
          <t>74
🟡 QUEUE</t>
        </is>
      </c>
      <c r="AH44" s="555" t="inlineStr">
        <is>
          <t>Bryan McMurray (Brand President GGF)
LinkedIn: https://www.linkedin.com/in/bryan-mcmurray-72a40418/
School pending direct verification (operator path).
Threshold portfolio, Roark Capital backing.</t>
        </is>
      </c>
      <c r="AI44" s="555" t="inlineStr">
        <is>
          <t>bmcmurray@thresholdbrands.com</t>
        </is>
      </c>
      <c r="AJ44" s="555" t="inlineStr">
        <is>
          <t>Billy Newby (corporate)
https://www.linkedin.com/in/billy-newby-cpa-098a82a8
bnewby@thresholdbrands.com
✓ DIRECT email confirmed via Threshold website.</t>
        </is>
      </c>
      <c r="AK44" s="555" t="inlineStr">
        <is>
          <t>Jim Nichols CFE (VP Franchise Dev)
https://www.linkedin.com/in/jimnichols-cfe/
jnichols@thresholdbrands.com
🚨 Ron Bender (former CGO) passed away — Jim Nichols is now primary FD contact. Greer SC.</t>
        </is>
      </c>
      <c r="AL44" s="518" t="inlineStr">
        <is>
          <t>Alan Mishkoff (Founder, on LinkedIn):
Founder of Granite Garage Floors. Threshold acquired in 2022.
Garage epoxy = niche home improvement.</t>
        </is>
      </c>
      <c r="AM44" s="518" t="inlineStr">
        <is>
          <t>Score: TBD
Garage epoxy = direct competitor to Garage Up (ResiBrands).</t>
        </is>
      </c>
      <c r="AN44" s="518" t="inlineStr">
        <is>
          <t>Bryan McMurray (Brand Pres)
Alan Mishkoff (Founder, 2009 with wife Kelly Mishkoff)
Kayla Cina (former GGF Brand Leader 2022)
Ted DeMarino, Cory Hughes</t>
        </is>
      </c>
      <c r="AO44" s="555" t="inlineStr">
        <is>
          <t>CEO Hagan Kappler (since 2022, ex-Merry Maids/ServiceMaster Clean). Riverside Capital backed.
👉 See Signal Intel: Threshold section</t>
        </is>
      </c>
      <c r="AP44" s="555" t="inlineStr">
        <is>
          <t>Threshold Annual Convention (date/location TBD)
Riverside Company portfolio events
👉 See Event Intelligence tab</t>
        </is>
      </c>
      <c r="AQ44" s="555" t="inlineStr">
        <is>
          <t>🎓 THRESHOLD BRANDS:
• Bryan McMurray (Brand Pres): Pending verification — Granite Garage Floors acquired by Threshold (Riverside) per 2022.
• Hagan Kappler (former Threshold CEO, now Daisy): Williams + UVA Darden ⭐
👉 See Signal Intel: Threshold</t>
        </is>
      </c>
    </row>
    <row r="45" ht="280" customHeight="1" s="435">
      <c r="A45" s="214" t="n">
        <v>42</v>
      </c>
      <c r="B45" s="215" t="inlineStr">
        <is>
          <t>Heating + Air Paramedics</t>
        </is>
      </c>
      <c r="C45" s="216" t="inlineStr">
        <is>
          <t>Threshold Brands</t>
        </is>
      </c>
      <c r="D45" s="217" t="inlineStr">
        <is>
          <t>HVAC</t>
        </is>
      </c>
      <c r="E45" s="218" t="n">
        <v>100</v>
      </c>
      <c r="F45" s="218" t="n">
        <v>5</v>
      </c>
      <c r="G45" s="219" t="inlineStr">
        <is>
          <t>Greenfield</t>
        </is>
      </c>
      <c r="H45" s="19" t="inlineStr">
        <is>
          <t>TBD</t>
        </is>
      </c>
      <c r="I45" s="203" t="inlineStr">
        <is>
          <t>NONE — Greenfield confirmed — very new brand (2021), no mandate found; HVAC dispatch model</t>
        </is>
      </c>
      <c r="J45" s="110" t="inlineStr">
        <is>
          <t>Greenfield / Paper</t>
        </is>
      </c>
      <c r="K45" s="120" t="inlineStr">
        <is>
          <t>🟢 None</t>
        </is>
      </c>
      <c r="L45" s="117" t="inlineStr">
        <is>
          <t>Validate with Andrea</t>
        </is>
      </c>
      <c r="M45" s="117" t="inlineStr">
        <is>
          <t>Validate with Andrea</t>
        </is>
      </c>
      <c r="N45" s="117" t="inlineStr">
        <is>
          <t>Validate via FDD</t>
        </is>
      </c>
      <c r="O45" s="109" t="inlineStr">
        <is>
          <t>❓ Unknown</t>
        </is>
      </c>
      <c r="P45" s="217" t="inlineStr">
        <is>
          <t>(Franchisee Owner)</t>
        </is>
      </c>
      <c r="Q45" s="217" t="inlineStr">
        <is>
          <t>Owner/Operator</t>
        </is>
      </c>
      <c r="R45" s="169" t="inlineStr">
        <is>
          <t>TBD — franchisee owner/operator</t>
        </is>
      </c>
      <c r="S45" s="169" t="inlineStr">
        <is>
          <t>TBD — office manager / dispatcher</t>
        </is>
      </c>
      <c r="T45" s="169" t="inlineStr">
        <is>
          <t>TBD — verify GPS Insight customer status via Andrea</t>
        </is>
      </c>
      <c r="U45" s="171" t="n"/>
      <c r="V45" s="220" t="n"/>
      <c r="W45" s="221" t="inlineStr">
        <is>
          <t>Profile + outreach</t>
        </is>
      </c>
      <c r="X45" s="221" t="n"/>
      <c r="Y45" s="222" t="inlineStr">
        <is>
          <t>HVAC emergency + scheduled dispatch</t>
        </is>
      </c>
      <c r="Z45" s="195" t="inlineStr">
        <is>
          <t>SOURCE: Franchise Payback + Heating Air Paramedics website (2025 FDD)
ITEM 19 — Unit Economics:
• 14 franchised units as of 2025 FDD
• Investment range: $124,000–$309,000
• HVAC installation + service (residential + light commercial)
• Founded Indianapolis — part of Threshold Brands
• Small but fast-growing brand
ITEM 11 — Technology:
No specific FSM mandate found — GREENFIELD likely
HVAC = high avg ticket ($500-$5,000+), emergency dispatch model
NOTE: Very small brand (14 units). High avg ticket size.
Wait for Threshold mandate conversation before direct outreach</t>
        </is>
      </c>
      <c r="AA45" s="193" t="inlineStr">
        <is>
          <t>USE: ROI Calculator — HVAC/EMERGENCY DISPATCH MODEL
PRE-POPULATE:
• HVAC avg job: $500-$5,000 (repair/install)
• Emergency dispatch model
• 14 units — small brand
KEY ANGLES:
• Emergency dispatch = Smart Scheduler AI critical
• Same-day service + payment
• Job documentation for warranty compliance
• High ticket = strong ROI per tech
• Wait for Threshold mandate first</t>
        </is>
      </c>
      <c r="AB45" s="175" t="n"/>
      <c r="AC45" s="175" t="n"/>
      <c r="AD45" s="175" t="n"/>
      <c r="AE45" s="183" t="n">
        <v>66</v>
      </c>
      <c r="AF45" s="177" t="inlineStr">
        <is>
          <t>+25</t>
        </is>
      </c>
      <c r="AG45" s="210" t="inlineStr">
        <is>
          <t>91
🔴 LEAD PILOT</t>
        </is>
      </c>
      <c r="AH45" s="555" t="inlineStr">
        <is>
          <t>Ryan Carpenter (Founder &amp; President — DUAL ROLE Plumbing Paramedics + Heating + Air Paramedics)
LinkedIn: https://www.linkedin.com/in/ryan-carpenter-25/
School pending — Calgary-based founder, operator path.
Brought into Threshold via Sean &amp; Adam Boudreau acquisition.</t>
        </is>
      </c>
      <c r="AI45" s="555" t="inlineStr">
        <is>
          <t>rcarpenter@thresholdbrands.com</t>
        </is>
      </c>
      <c r="AJ45" s="555" t="inlineStr">
        <is>
          <t>Billy Newby (corporate)
https://www.linkedin.com/in/billy-newby-cpa-098a82a8
bnewby@thresholdbrands.com
✓ DIRECT email confirmed via Threshold website.</t>
        </is>
      </c>
      <c r="AK45" s="555" t="inlineStr">
        <is>
          <t>Jim Nichols CFE (VP Franchise Dev)
https://www.linkedin.com/in/jimnichols-cfe/
jnichols@thresholdbrands.com
🚨 Ron Bender (former CGO) passed away — Jim Nichols is now primary FD contact. Greer SC.</t>
        </is>
      </c>
      <c r="AL45" s="518" t="inlineStr">
        <is>
          <t>Threshold-launched 2021. HVAC trade.</t>
        </is>
      </c>
      <c r="AM45" s="518" t="inlineStr">
        <is>
          <t>Score: TBD
Emerging brand.</t>
        </is>
      </c>
      <c r="AN45" s="518" t="inlineStr">
        <is>
          <t>Founders of Plumbing Heating Paramedics 'remained as brand presidents after acquisition' per Kappler (specific names not yet captured)</t>
        </is>
      </c>
      <c r="AO45" s="555" t="inlineStr">
        <is>
          <t>CEO Hagan Kappler (since 2022, ex-Merry Maids/ServiceMaster Clean). Riverside Capital backed.
👉 See Signal Intel: Threshold section</t>
        </is>
      </c>
      <c r="AP45" s="555" t="inlineStr">
        <is>
          <t>Threshold Annual Convention (date/location TBD)
Riverside Company portfolio events
👉 See Event Intelligence tab</t>
        </is>
      </c>
      <c r="AQ45" s="555" t="inlineStr">
        <is>
          <t>🎓 THRESHOLD BRANDS (new-to-industry brand launched 2021):
• Ryan Carpenter (Brand Pres): Pending verification
• Hagan Kappler (former Threshold CEO): Williams + UVA Darden ⭐
👉 See Signal Intel: Threshold</t>
        </is>
      </c>
    </row>
    <row r="46" ht="280" customHeight="1" s="435">
      <c r="A46" s="214" t="n">
        <v>43</v>
      </c>
      <c r="B46" s="215" t="inlineStr">
        <is>
          <t>Plumbing Paramedics</t>
        </is>
      </c>
      <c r="C46" s="216" t="inlineStr">
        <is>
          <t>Threshold Brands</t>
        </is>
      </c>
      <c r="D46" s="217" t="inlineStr">
        <is>
          <t>Plumbing</t>
        </is>
      </c>
      <c r="E46" s="218" t="n">
        <v>100</v>
      </c>
      <c r="F46" s="218" t="n">
        <v>5</v>
      </c>
      <c r="G46" s="219" t="inlineStr">
        <is>
          <t>Greenfield</t>
        </is>
      </c>
      <c r="H46" s="19" t="inlineStr">
        <is>
          <t>TBD</t>
        </is>
      </c>
      <c r="I46" s="203" t="inlineStr">
        <is>
          <t>NONE — Greenfield confirmed — brand new franchise (2021), no mandate; plumbing emergency dispatch</t>
        </is>
      </c>
      <c r="J46" s="110" t="inlineStr">
        <is>
          <t>Greenfield / Paper</t>
        </is>
      </c>
      <c r="K46" s="120" t="inlineStr">
        <is>
          <t>🟢 None</t>
        </is>
      </c>
      <c r="L46" s="117" t="inlineStr">
        <is>
          <t>Validate with Andrea</t>
        </is>
      </c>
      <c r="M46" s="117" t="inlineStr">
        <is>
          <t>Validate with Andrea</t>
        </is>
      </c>
      <c r="N46" s="117" t="inlineStr">
        <is>
          <t>Validate via FDD</t>
        </is>
      </c>
      <c r="O46" s="109" t="inlineStr">
        <is>
          <t>❓ Unknown</t>
        </is>
      </c>
      <c r="P46" s="217" t="inlineStr">
        <is>
          <t>(Franchisee Owner)</t>
        </is>
      </c>
      <c r="Q46" s="217" t="inlineStr">
        <is>
          <t>Owner/Operator</t>
        </is>
      </c>
      <c r="R46" s="169" t="inlineStr">
        <is>
          <t>TBD — franchisee owner/operator</t>
        </is>
      </c>
      <c r="S46" s="169" t="inlineStr">
        <is>
          <t>TBD — office manager / dispatcher</t>
        </is>
      </c>
      <c r="T46" s="169" t="inlineStr">
        <is>
          <t>TBD — verify GPS Insight customer status via Andrea</t>
        </is>
      </c>
      <c r="U46" s="171" t="n"/>
      <c r="V46" s="220" t="n"/>
      <c r="W46" s="221" t="inlineStr">
        <is>
          <t>Profile + outreach</t>
        </is>
      </c>
      <c r="X46" s="221" t="n"/>
      <c r="Y46" s="222" t="inlineStr">
        <is>
          <t>Plumbing — emergency dispatch critical fit</t>
        </is>
      </c>
      <c r="Z46" s="195" t="inlineStr">
        <is>
          <t>SOURCE: FDD Exchange (2024 + 2025 FDD data)
ITEM 19 — Unit Economics:
• PHP Franchise LLC — formed Oct 2021, began franchising Nov 2021
• Investment range: $128,575–$271,125 (2024 FDD)
• Plumbing installation + service
• Founded Cleveland, OH — part of Threshold Brands
• Very new brand — limited Item 19 data publicly available
ITEM 11 — Technology:
No specific FSM mandate found — GREENFIELD likely
Plumbing = emergency dispatch + recurring maintenance model
NOTE: Brand new franchise (2021). Very small.
Wait for Threshold mandate conversation before direct outreach</t>
        </is>
      </c>
      <c r="AA46" s="193" t="inlineStr">
        <is>
          <t>USE: ROI Calculator — PLUMBING/EMERGENCY DISPATCH MODEL
PRE-POPULATE:
• Avg plumbing job: $300-$2,500
• Emergency dispatch + recurring maintenance
KEY ANGLES:
• Emergency dispatch = Smart Scheduler critical
• Same-day payment
• Job photo documentation
• Very new brand — wait for Threshold mandate first</t>
        </is>
      </c>
      <c r="AB46" s="175" t="n"/>
      <c r="AC46" s="175" t="n"/>
      <c r="AD46" s="175" t="n"/>
      <c r="AE46" s="183" t="n">
        <v>66</v>
      </c>
      <c r="AF46" s="177" t="inlineStr">
        <is>
          <t>+25</t>
        </is>
      </c>
      <c r="AG46" s="210" t="inlineStr">
        <is>
          <t>91
🔴 LEAD PILOT</t>
        </is>
      </c>
      <c r="AH46" s="555" t="inlineStr">
        <is>
          <t>Ryan Carpenter (Founder &amp; President — DUAL ROLE)
LinkedIn: https://www.linkedin.com/in/ryan-carpenter-43900239/
Same person as Heating + Air Paramedics. School pending.
Calgary-based founder, operator path.</t>
        </is>
      </c>
      <c r="AI46" s="555" t="inlineStr">
        <is>
          <t>rcarpenter@thresholdbrands.com</t>
        </is>
      </c>
      <c r="AJ46" s="555" t="inlineStr">
        <is>
          <t>Billy Newby (corporate)
https://www.linkedin.com/in/billy-newby-cpa-098a82a8
bnewby@thresholdbrands.com
✓ DIRECT email confirmed via Threshold website.</t>
        </is>
      </c>
      <c r="AK46" s="555" t="inlineStr">
        <is>
          <t>Jim Nichols CFE (VP Franchise Dev)
https://www.linkedin.com/in/jimnichols-cfe/
jnichols@thresholdbrands.com
🚨 Ron Bender (former CGO) passed away — Jim Nichols is now primary FD contact. Greer SC.</t>
        </is>
      </c>
      <c r="AL46" s="518" t="inlineStr">
        <is>
          <t>Threshold-launched 2021. Plumbing trade.</t>
        </is>
      </c>
      <c r="AM46" s="518" t="inlineStr">
        <is>
          <t>Score: TBD
Emerging brand.</t>
        </is>
      </c>
      <c r="AN46" s="518" t="inlineStr">
        <is>
          <t>Same founders as Heating + Air Paramedics (Plumbing Paramedics is sister brand)</t>
        </is>
      </c>
      <c r="AO46" s="555" t="inlineStr">
        <is>
          <t>CEO Hagan Kappler (since 2022, ex-Merry Maids/ServiceMaster Clean). Riverside Capital backed.
👉 See Signal Intel: Threshold section</t>
        </is>
      </c>
      <c r="AP46" s="555" t="inlineStr">
        <is>
          <t>Threshold Annual Convention (date/location TBD)
Riverside Company portfolio events
👉 See Event Intelligence tab</t>
        </is>
      </c>
      <c r="AQ46" s="555" t="inlineStr">
        <is>
          <t>🎓 THRESHOLD BRANDS (new-to-industry brand launched 2021):
• Ryan Carpenter (Brand Pres): Pending verification
• Hagan Kappler (former Threshold CEO): Williams + UVA Darden ⭐
👉 See Signal Intel: Threshold</t>
        </is>
      </c>
    </row>
    <row r="47" ht="280" customHeight="1" s="435">
      <c r="A47" s="214" t="n">
        <v>44</v>
      </c>
      <c r="B47" s="215" t="inlineStr">
        <is>
          <t>Sir Grout</t>
        </is>
      </c>
      <c r="C47" s="216" t="inlineStr">
        <is>
          <t>Threshold Brands</t>
        </is>
      </c>
      <c r="D47" s="217" t="inlineStr">
        <is>
          <t>Tile/Grout</t>
        </is>
      </c>
      <c r="E47" s="218" t="n">
        <v>150</v>
      </c>
      <c r="F47" s="218" t="n">
        <v>3</v>
      </c>
      <c r="G47" s="219" t="inlineStr">
        <is>
          <t>Greenfield</t>
        </is>
      </c>
      <c r="H47" s="19" t="inlineStr">
        <is>
          <t>TBD</t>
        </is>
      </c>
      <c r="I47" s="224" t="inlineStr">
        <is>
          <t>MED</t>
        </is>
      </c>
      <c r="J47" s="110" t="inlineStr">
        <is>
          <t>Greenfield / Paper</t>
        </is>
      </c>
      <c r="K47" s="120" t="inlineStr">
        <is>
          <t>🟢 None</t>
        </is>
      </c>
      <c r="L47" s="117" t="inlineStr">
        <is>
          <t>Validate with Andrea</t>
        </is>
      </c>
      <c r="M47" s="117" t="inlineStr">
        <is>
          <t>Validate with Andrea</t>
        </is>
      </c>
      <c r="N47" s="117" t="inlineStr">
        <is>
          <t>Validate via FDD</t>
        </is>
      </c>
      <c r="O47" s="109" t="inlineStr">
        <is>
          <t>❓ Unknown</t>
        </is>
      </c>
      <c r="P47" s="217" t="inlineStr">
        <is>
          <t>(Franchisee Owner)</t>
        </is>
      </c>
      <c r="Q47" s="217" t="inlineStr">
        <is>
          <t>Owner/Operator</t>
        </is>
      </c>
      <c r="R47" s="169" t="inlineStr">
        <is>
          <t>TBD — franchisee owner/operator</t>
        </is>
      </c>
      <c r="S47" s="169" t="inlineStr">
        <is>
          <t>TBD — office manager / dispatcher</t>
        </is>
      </c>
      <c r="T47" s="169" t="inlineStr">
        <is>
          <t>TBD — verify GPS Insight customer status via Andrea</t>
        </is>
      </c>
      <c r="U47" s="171" t="n"/>
      <c r="V47" s="220" t="n"/>
      <c r="W47" s="221" t="inlineStr">
        <is>
          <t>Profile + outreach</t>
        </is>
      </c>
      <c r="X47" s="221" t="n"/>
      <c r="Y47" s="222" t="inlineStr">
        <is>
          <t>Small crew tile/grout restoration</t>
        </is>
      </c>
      <c r="Z47" s="195" t="inlineStr">
        <is>
          <t>SOURCE: 2025 FDD — sharpsheets.io + franzimp.com
ITEM 19 — Unit Economics:
• Avg gross revenue: $482,000/location (sharpsheets)
• Est. $366,058 (franchimp analysis)
• 61 franchised locations, 20 states (2024 FDD)
• Investment range: $120,930–$183,110
• Royalty: 7% + 2% marketing
• Hard surface restoration — tile, grout, stone, caulking
ITEM 11 — Technology:
No specific FSM mandate found — GREENFIELD likely
Project-based model (residential + commercial)
National call center provided by Threshold Brands
NOTE: Part of Threshold Brands (Riverside). Small brand — wait for
franchisor mandate conversation before direct outreach</t>
        </is>
      </c>
      <c r="AA47" s="193" t="inlineStr">
        <is>
          <t>USE: ROI Calculator — PROJECT MODEL
PRE-POPULATE:
• Avg revenue/location: $482K
• Project-based: avg job $500-$1,500 (hard surface restoration)
• Estimate-to-invoice flow
KEY ANGLES:
• Digital estimates + photo capture
• Same-day payment
• $482K × 5% lift = $24K/location
• Wait for Threshold mandate conversation first</t>
        </is>
      </c>
      <c r="AB47" s="175" t="n"/>
      <c r="AC47" s="175" t="n"/>
      <c r="AD47" s="175" t="n"/>
      <c r="AE47" s="183" t="n">
        <v>49</v>
      </c>
      <c r="AF47" s="177" t="inlineStr">
        <is>
          <t>+25</t>
        </is>
      </c>
      <c r="AG47" s="184" t="inlineStr">
        <is>
          <t>74
🟡 QUEUE</t>
        </is>
      </c>
      <c r="AH47" s="555" t="inlineStr">
        <is>
          <t>Brand-specific president TBD (operator/franchisee path leadership emerging post-Threshold acquisition)
LinkedIn (founder Jeff Gill - emeritus): https://www.linkedin.com/in/jeff-gill-sir-grout/
Sir Grout founders Jeff Gill + Tom Lindberg sold to Threshold/Riverside.
Threshold/Roark Capital portfolio. Education path: founder operator background.</t>
        </is>
      </c>
      <c r="AI47" s="555" t="inlineStr">
        <is>
          <t>[needs verify]</t>
        </is>
      </c>
      <c r="AJ47" s="555" t="inlineStr">
        <is>
          <t>Billy Newby (corporate)
https://www.linkedin.com/in/billy-newby-cpa-098a82a8
bnewby@thresholdbrands.com
✓ DIRECT email confirmed via Threshold website.</t>
        </is>
      </c>
      <c r="AK47" s="555" t="inlineStr">
        <is>
          <t>Jim Nichols CFE (VP Franchise Dev)
https://www.linkedin.com/in/jimnichols-cfe/
jnichols@thresholdbrands.com
🚨 Ron Bender (former CGO) passed away — Jim Nichols is now primary FD contact. Greer SC.</t>
        </is>
      </c>
      <c r="AL47" s="518" t="inlineStr">
        <is>
          <t>Sir Grout owners conference held Atlanta (per Cory Hughes LinkedIn).
Hard-surface restoration vertical.</t>
        </is>
      </c>
      <c r="AM47" s="518" t="inlineStr">
        <is>
          <t>Score: TBD</t>
        </is>
      </c>
      <c r="AN47" s="518" t="inlineStr">
        <is>
          <t>Jeff Gill (Founder)
Tom Lindberg (Founder)
Sir Grout owners conference held in Atlanta annually</t>
        </is>
      </c>
      <c r="AO47" s="555" t="inlineStr">
        <is>
          <t>CEO Hagan Kappler (since 2022, ex-Merry Maids/ServiceMaster Clean). Riverside Capital backed.
👉 See Signal Intel: Threshold section</t>
        </is>
      </c>
      <c r="AP47" s="555" t="inlineStr">
        <is>
          <t>Threshold Annual Convention (date/location TBD)
Riverside Company portfolio events
👉 See Event Intelligence tab</t>
        </is>
      </c>
      <c r="AQ47" s="555" t="inlineStr">
        <is>
          <t>Most leaders pending verification.
Founders: Kushinsky (MaidPro), van Diepen (Pestmaster), Pitrone (USA Insulation family-founded).
👉 See Signal Intel: Threshold section</t>
        </is>
      </c>
    </row>
    <row r="48" ht="280" customHeight="1" s="435">
      <c r="A48" s="214" t="n">
        <v>45</v>
      </c>
      <c r="B48" s="215" t="inlineStr">
        <is>
          <t>TruBlue</t>
        </is>
      </c>
      <c r="C48" s="216" t="inlineStr">
        <is>
          <t>Threshold Brands</t>
        </is>
      </c>
      <c r="D48" s="217" t="inlineStr">
        <is>
          <t>Handyman/Senior</t>
        </is>
      </c>
      <c r="E48" s="218" t="inlineStr">
        <is>
          <t>100</t>
        </is>
      </c>
      <c r="F48" s="218" t="n">
        <v>3</v>
      </c>
      <c r="G48" s="219" t="inlineStr">
        <is>
          <t>Greenfield</t>
        </is>
      </c>
      <c r="H48" s="19" t="inlineStr">
        <is>
          <t>TBD</t>
        </is>
      </c>
      <c r="I48" s="224" t="inlineStr">
        <is>
          <t>MED</t>
        </is>
      </c>
      <c r="J48" s="110" t="inlineStr">
        <is>
          <t>Greenfield / Paper</t>
        </is>
      </c>
      <c r="K48" s="120" t="inlineStr">
        <is>
          <t>🟢 None</t>
        </is>
      </c>
      <c r="L48" s="117" t="inlineStr">
        <is>
          <t>Validate with Andrea</t>
        </is>
      </c>
      <c r="M48" s="117" t="inlineStr">
        <is>
          <t>Validate with Andrea</t>
        </is>
      </c>
      <c r="N48" s="117" t="inlineStr">
        <is>
          <t>Validate via FDD</t>
        </is>
      </c>
      <c r="O48" s="109" t="inlineStr">
        <is>
          <t>❓ Unknown</t>
        </is>
      </c>
      <c r="P48" s="217" t="inlineStr">
        <is>
          <t>(Franchisee Owner)</t>
        </is>
      </c>
      <c r="Q48" s="217" t="inlineStr">
        <is>
          <t>Owner/Operator</t>
        </is>
      </c>
      <c r="R48" s="169" t="inlineStr">
        <is>
          <t>TBD — franchisee owner/operator</t>
        </is>
      </c>
      <c r="S48" s="169" t="inlineStr">
        <is>
          <t>TBD — office manager / dispatcher</t>
        </is>
      </c>
      <c r="T48" s="169" t="inlineStr">
        <is>
          <t>TBD — verify GPS Insight customer status via Andrea</t>
        </is>
      </c>
      <c r="U48" s="171" t="n"/>
      <c r="V48" s="220" t="n"/>
      <c r="W48" s="221" t="inlineStr">
        <is>
          <t>Profile + outreach</t>
        </is>
      </c>
      <c r="X48" s="221" t="n"/>
      <c r="Y48" s="222" t="inlineStr">
        <is>
          <t>Home maintenance for seniors — recurring</t>
        </is>
      </c>
      <c r="Z48" s="195" t="inlineStr">
        <is>
          <t>SOURCE: 2025 FDD (2024 data) — franchisechatter.com + franchisepayback.com
ITEM 19 — Unit Economics:
• 104 franchises as of Dec 31, 2024
• 44 initial units reporting full year 2024 (continuous ownership)
• Avg gross revenue: ~$319,000/location
• Investment range: $70,000–$96,400
• Royalty: 6% gross revenues ($500/mo min yr 1; $1,000/mo thereafter)
• National Branding Fee: 2% or $500/mo
• Senior home care + handyman = recurring subscription model
ITEM 11 — Technology:
No specific FSM mandate found — GREENFIELD likely
Home-based model — limited tech stack visible in public sources
Senior care focus = appointment scheduling, 2-way SMS critical
MODEL: Subscription/recurring services for seniors aging in place</t>
        </is>
      </c>
      <c r="AA48" s="193" t="inlineStr">
        <is>
          <t>USE: ROI Calculator — SUBSCRIPTION/RECURRING MODEL
PRE-POPULATE:
• Avg revenue/location: $319K
• Recurring subscription model (weekly/monthly care visits)
• Senior/handyman = avg job $150-$400
KEY ANGLES:
• 2-way SMS job confirmations = critical for senior clients
• Recurring scheduling automation
• Job completion docs = family peace of mind
• $319K × 5% lift = $16K/location
• 104 locations × $16K = $1.7M system case
• Riverside PE exit math — Threshold Year 4</t>
        </is>
      </c>
      <c r="AB48" s="175" t="n"/>
      <c r="AC48" s="175" t="n"/>
      <c r="AD48" s="175" t="n"/>
      <c r="AE48" s="183" t="n">
        <v>49</v>
      </c>
      <c r="AF48" s="177" t="inlineStr">
        <is>
          <t>+25</t>
        </is>
      </c>
      <c r="AG48" s="184" t="inlineStr">
        <is>
          <t>74
🟡 QUEUE</t>
        </is>
      </c>
      <c r="AH48" s="555" t="inlineStr">
        <is>
          <t>Stephen Nichols (Brand President per Threshold leadership)
LinkedIn: https://www.linkedin.com/in/stephen-nichols-trublue/
School pending direct verification. Threshold/Roark Capital portfolio.
TruBlue Total House Care = senior care + home care services.
[Alumni file - Sean Fitzgerald]: https://www.linkedin.com/in/seancfitzgerald/</t>
        </is>
      </c>
      <c r="AI48" s="555" t="inlineStr">
        <is>
          <t>[needs verify]</t>
        </is>
      </c>
      <c r="AJ48" s="555" t="inlineStr">
        <is>
          <t>Billy Newby (corporate)
https://www.linkedin.com/in/billy-newby-cpa-098a82a8
bnewby@thresholdbrands.com
✓ DIRECT email confirmed via Threshold website.</t>
        </is>
      </c>
      <c r="AK48" s="555" t="inlineStr">
        <is>
          <t>Jim Nichols CFE (VP Franchise Dev)
https://www.linkedin.com/in/jimnichols-cfe/
jnichols@thresholdbrands.com
🚨 Ron Bender (former CGO) passed away — Jim Nichols is now primary FD contact. Greer SC.</t>
        </is>
      </c>
      <c r="AL48" s="518" t="inlineStr">
        <is>
          <t>If Miracle Method: surface refinishing.
If TruBlue: senior services / handyman.</t>
        </is>
      </c>
      <c r="AM48" s="518" t="inlineStr">
        <is>
          <t>Score: TBD
★ VERIFY brand identity — Miracle Method is in Threshold per Riverside; TruBlue is actually Bath/Senior brand owned elsewhere.</t>
        </is>
      </c>
      <c r="AN48" s="518" t="inlineStr">
        <is>
          <t>If Miracle Method: John Tubiolo (Brand Leader since Apr 2024)
If TruBlue: HomeFranchise Concepts (DIFFERENT parent — verify CRM)
Tim Swackhammer (Mold Medics Founder, retained 2023)</t>
        </is>
      </c>
      <c r="AO48" s="555" t="inlineStr">
        <is>
          <t>CEO Hagan Kappler (since 2022, ex-Merry Maids/ServiceMaster Clean). Riverside Capital backed.
👉 See Signal Intel: Threshold section</t>
        </is>
      </c>
      <c r="AP48" s="555" t="inlineStr">
        <is>
          <t>Threshold Annual Convention (date/location TBD)
Riverside Company portfolio events
👉 See Event Intelligence tab</t>
        </is>
      </c>
      <c r="AQ48" s="555" t="inlineStr">
        <is>
          <t>Most leaders pending verification.
Founders: Kushinsky (MaidPro), van Diepen (Pestmaster), Pitrone (USA Insulation family-founded).
👉 See Signal Intel: Threshold section</t>
        </is>
      </c>
    </row>
    <row r="49" ht="280" customHeight="1" s="435">
      <c r="A49" s="225" t="n">
        <v>46</v>
      </c>
      <c r="B49" s="226" t="inlineStr">
        <is>
          <t>JAN-PRO</t>
        </is>
      </c>
      <c r="C49" s="227" t="inlineStr">
        <is>
          <t>Empower Brands</t>
        </is>
      </c>
      <c r="D49" s="228" t="inlineStr">
        <is>
          <t>Commercial Cleaning</t>
        </is>
      </c>
      <c r="E49" s="229" t="n">
        <v>1000</v>
      </c>
      <c r="F49" s="229" t="n">
        <v>4</v>
      </c>
      <c r="G49" s="230" t="inlineStr">
        <is>
          <t>Greenfield</t>
        </is>
      </c>
      <c r="H49" s="19" t="inlineStr">
        <is>
          <t>TBD</t>
        </is>
      </c>
      <c r="I49" s="180" t="inlineStr">
        <is>
          <t>HIGH — Proprietary FSM mandated — $60/month tech fee, confirmed in FDD Item 8/11</t>
        </is>
      </c>
      <c r="J49" s="117" t="inlineStr">
        <is>
          <t>Aspire (ST) possible</t>
        </is>
      </c>
      <c r="K49" s="109" t="inlineStr">
        <is>
          <t>🟡 Medium</t>
        </is>
      </c>
      <c r="L49" s="117" t="inlineStr">
        <is>
          <t>Validate with Andrea</t>
        </is>
      </c>
      <c r="M49" s="117" t="inlineStr">
        <is>
          <t>Validate with Andrea</t>
        </is>
      </c>
      <c r="N49" s="117" t="inlineStr">
        <is>
          <t>Validate via FDD</t>
        </is>
      </c>
      <c r="O49" s="109" t="inlineStr">
        <is>
          <t>❓ Unknown</t>
        </is>
      </c>
      <c r="P49" s="228" t="inlineStr">
        <is>
          <t>Gary Bauer</t>
        </is>
      </c>
      <c r="Q49" s="228" t="inlineStr">
        <is>
          <t>Brand President, JAN-PRO</t>
        </is>
      </c>
      <c r="R49" s="168" t="inlineStr">
        <is>
          <t>Gary Bauer
Brand President, JAN-PRO Systems International
30+ yr ServiceMaster background. Knows Aspire inside out.
⚠️ Approach via Scott Zide (CEO Empower) — not direct</t>
        </is>
      </c>
      <c r="S49" s="169" t="inlineStr">
        <is>
          <t>TBD — regional developer contact</t>
        </is>
      </c>
      <c r="T49" s="169" t="inlineStr">
        <is>
          <t>No confirmed GPS Insight relationship
⚠️ JAN-PRO has proprietary FSM with $60/mo fee — conflict risk</t>
        </is>
      </c>
      <c r="U49" s="171" t="n"/>
      <c r="V49" s="231" t="n"/>
      <c r="W49" s="232" t="inlineStr">
        <is>
          <t>Gary Bauer direct outreach</t>
        </is>
      </c>
      <c r="X49" s="232" t="n"/>
      <c r="Y49" s="233" t="inlineStr">
        <is>
          <t>30+ yrs ServiceMaster background. PRIMARY brand wedge into Empower</t>
        </is>
      </c>
      <c r="Z49" s="118" t="inlineStr">
        <is>
          <t>SOURCE: assettfranchise.com analysis of 2024/2025 FDD
ITEM 8/11: Proprietary software MANDATED with $60/month technology fee.
Three-level structure: Empower → Regional Developer → Unit Franchisee.
Mandate must come from Scott Zide (CEO) level.
⚠️ CONFLICT FLAG: Proprietary FSM already in place and fee built into cost structure.
Confirm gap vs ServiceBridge functionality before outreach.</t>
        </is>
      </c>
      <c r="AA49" s="112" t="inlineStr">
        <is>
          <t>⚠️ CONFLICT — proprietary FSM with $60/mo fee in FDD.
DO NOT run standard Insight Engine pitch.
If ServiceBridge can replace/augment at lower cost:
Model the $60/mo saving × 11,265 units = $8.1M/yr cost elimination.</t>
        </is>
      </c>
      <c r="AB49" s="175" t="n"/>
      <c r="AC49" s="175" t="n"/>
      <c r="AD49" s="175" t="n"/>
      <c r="AE49" s="183" t="n">
        <v>48</v>
      </c>
      <c r="AF49" s="177" t="inlineStr">
        <is>
          <t>+15</t>
        </is>
      </c>
      <c r="AG49" s="184" t="inlineStr">
        <is>
          <t>63
🟡 QUEUE</t>
        </is>
      </c>
      <c r="AH49" s="555" t="inlineStr">
        <is>
          <t>Gary Bauer (Brand President JAN-PRO)
LinkedIn: https://www.linkedin.com/in/garymbauer/
Coe College ⭐. 30+ yrs ServiceMaster, ex-COO ServiceMaster Clean/Restore.
Tom Welter (Empower COO oversight): U Nebraska-Lincoln + NFL Cardinals alumni ⭐⭐</t>
        </is>
      </c>
      <c r="AI49" s="555" t="inlineStr">
        <is>
          <t>gbauer@empowerfranchising.com</t>
        </is>
      </c>
      <c r="AJ49" s="555" t="inlineStr">
        <is>
          <t>Michael Borreca (corporate)
https://www.linkedin.com/in/michael-borreca-a4142361/
mborreca@empowerfranchising.com
✓ DIRECT email confirmed via ContactOut.</t>
        </is>
      </c>
      <c r="AK49" s="555" t="inlineStr">
        <is>
          <t>R. Scott Sutton (CDO corporate)
https://www.linkedin.com/in/rscottsutton/
ssutton@empowerfranchising.com
✓ Joined July 2021 (1 wk before CEO Zide). Co-founded Mosquito Squad 2004.</t>
        </is>
      </c>
      <c r="AL49" s="518" t="inlineStr">
        <is>
          <t>JAN-PRO = commercial cleaning. $705.6M system sales 2024 (up 10%) — Empower's LARGEST brand.
B2B model — different ops profile from residential. Different FSM needs.</t>
        </is>
      </c>
      <c r="AM49" s="518" t="inlineStr">
        <is>
          <t>Score: high (Mike already engaged here)
★ Mike already had outreach. Gary Bauer is the JAN-PRO entry. B2B commercial = longer cycle but bigger contracts.</t>
        </is>
      </c>
      <c r="AN49" s="518" t="inlineStr">
        <is>
          <t>Volker Wellman (SVP Operations JAN-PRO, 2026 NEW)
Scott Zide (CEO)
Michael Borreca (CFO)
Thomas Welter (Group Pres Residential)</t>
        </is>
      </c>
      <c r="AO49" s="555" t="inlineStr">
        <is>
          <t>Brand Pres: Gary Bauer (Coe College, 30+ yrs ServiceMaster including 4yrs COO ServiceMaster Clean/Restore). Industry depth.
👉 See Signal Intel: Empower Brands section</t>
        </is>
      </c>
      <c r="AP49" s="555" t="inlineStr">
        <is>
          <t>Empower Ignite 2027 (~Feb 2027, Orlando likely)
1,100+ attendees, 85 vendor partners
Build vendor relationship NOW
👉 See Event Intelligence tab</t>
        </is>
      </c>
      <c r="AQ49" s="555" t="inlineStr">
        <is>
          <t>🎓 EMPOWER:
• Gary Bauer (Brand Pres): Coe College. 30+ yrs ServiceMaster, ex-COO ServiceMaster Clean/Restore.
• Neal Leon (VP Business Development): Pending verification
• Tom Welter (Empower COO/Pres Residential): U Nebraska-Lincoln + NFL alumni ⭐⭐
• R. Scott Sutton (CDO): U Oklahoma BA, CFE+CMAA
👉 See Signal Intel: Empower</t>
        </is>
      </c>
    </row>
    <row r="50" ht="280" customHeight="1" s="435">
      <c r="A50" s="225" t="n">
        <v>47</v>
      </c>
      <c r="B50" s="226" t="inlineStr">
        <is>
          <t>Archadeck Outdoor Living</t>
        </is>
      </c>
      <c r="C50" s="227" t="inlineStr">
        <is>
          <t>Empower Brands</t>
        </is>
      </c>
      <c r="D50" s="228" t="inlineStr">
        <is>
          <t>Outdoor Living</t>
        </is>
      </c>
      <c r="E50" s="229" t="n">
        <v>100</v>
      </c>
      <c r="F50" s="229" t="n">
        <v>4</v>
      </c>
      <c r="G50" s="230" t="inlineStr">
        <is>
          <t>Greenfield</t>
        </is>
      </c>
      <c r="H50" s="19" t="inlineStr">
        <is>
          <t>TBD</t>
        </is>
      </c>
      <c r="I50" s="234" t="inlineStr">
        <is>
          <t>MED</t>
        </is>
      </c>
      <c r="J50" s="110" t="inlineStr">
        <is>
          <t>Greenfield / Paper</t>
        </is>
      </c>
      <c r="K50" s="120" t="inlineStr">
        <is>
          <t>🟢 None</t>
        </is>
      </c>
      <c r="L50" s="117" t="inlineStr">
        <is>
          <t>Validate with Andrea</t>
        </is>
      </c>
      <c r="M50" s="117" t="inlineStr">
        <is>
          <t>Validate with Andrea</t>
        </is>
      </c>
      <c r="N50" s="117" t="inlineStr">
        <is>
          <t>Validate via FDD</t>
        </is>
      </c>
      <c r="O50" s="109" t="inlineStr">
        <is>
          <t>❓ Unknown</t>
        </is>
      </c>
      <c r="P50" s="228" t="inlineStr">
        <is>
          <t>(Franchisee Owner)</t>
        </is>
      </c>
      <c r="Q50" s="228" t="inlineStr">
        <is>
          <t>Owner/Operator</t>
        </is>
      </c>
      <c r="R50" s="169" t="inlineStr">
        <is>
          <t>TBD — franchisee owner/operator</t>
        </is>
      </c>
      <c r="S50" s="169" t="inlineStr">
        <is>
          <t>TBD — office manager / dispatcher</t>
        </is>
      </c>
      <c r="T50" s="169" t="inlineStr">
        <is>
          <t>TBD — verify GPS Insight customer status via Andrea</t>
        </is>
      </c>
      <c r="U50" s="171" t="n"/>
      <c r="V50" s="231" t="n"/>
      <c r="W50" s="232" t="inlineStr">
        <is>
          <t>Profile + outreach</t>
        </is>
      </c>
      <c r="X50" s="232" t="n"/>
      <c r="Y50" s="233" t="inlineStr">
        <is>
          <t>Project-based outdoor construction</t>
        </is>
      </c>
      <c r="Z50" s="195" t="inlineStr">
        <is>
          <t>SOURCE: Empower Brands + franchise directories 2025
ITEM 19 — Unit Economics:
• Outdoor living + deck construction
• Part of Empower Brands (MidOcean Partners)
• High avg ticket — $30K-$100K+ per project
• Investment range: est. $80K-$180K
ITEM 11 — Technology:
Empower Brands tech stack — verify FSM mandate
Project-based construction model
NOTE: 9 non-JAN-PRO Empower brands are GREENFIELD entry point.
Scott Zide (CEO) + Michael Borreca (CFO) = top contacts</t>
        </is>
      </c>
      <c r="AA50" s="193" t="inlineStr">
        <is>
          <t>USE: ROI Calculator — HIGH TICKET PROJECT MODEL
KEY ANGLES:
• Digital estimates for large projects
• GreenSky financing for $30K-$100K projects
• Job photo documentation
• Empower mandate = top-down play via Scott Zide</t>
        </is>
      </c>
      <c r="AB50" s="175" t="n"/>
      <c r="AC50" s="175" t="n"/>
      <c r="AD50" s="175" t="n"/>
      <c r="AE50" s="183" t="n">
        <v>46</v>
      </c>
      <c r="AF50" s="177" t="inlineStr">
        <is>
          <t>+15</t>
        </is>
      </c>
      <c r="AG50" s="184" t="inlineStr">
        <is>
          <t>61
🟡 QUEUE</t>
        </is>
      </c>
      <c r="AH50" s="555" t="inlineStr">
        <is>
          <t>Jack O'Connell (Brand President since Oct 2024 - "in training")
LinkedIn: https://www.linkedin.com/in/jack-o-connell-95928b2a/
Penn State University BS ⭐
Ex-VP B2B/Commercial LL Flooring (45% revenue/$400M annual) 2012-2024.
Earlier: Ops Mgr + PGA Golf Professional at Country Club of Virginia ⭐ GOLF CONNECTION
Michael Reeder (legacy Brand Leader): University of Houston ⭐ - 15 yrs franchisee owner ($2MM+)</t>
        </is>
      </c>
      <c r="AI50" s="555" t="inlineStr">
        <is>
          <t>joconnell@empowerfranchising.com</t>
        </is>
      </c>
      <c r="AJ50" s="555" t="inlineStr">
        <is>
          <t>Michael Borreca (corporate)
https://www.linkedin.com/in/michael-borreca-a4142361/
mborreca@empowerfranchising.com
✓ DIRECT email confirmed via ContactOut.</t>
        </is>
      </c>
      <c r="AK50" s="555" t="inlineStr">
        <is>
          <t>R. Scott Sutton (CDO corporate)
https://www.linkedin.com/in/rscottsutton/
ssutton@empowerfranchising.com
✓ Joined July 2021 (1 wk before CEO Zide). Co-founded Mosquito Squad 2004.</t>
        </is>
      </c>
      <c r="AL50" s="518" t="inlineStr">
        <is>
          <t>Archadeck = outdoor structures (decks, patios, screened porches). Project-based construction, not service dispatch.</t>
        </is>
      </c>
      <c r="AM50" s="518" t="inlineStr">
        <is>
          <t>Score: TBD
Project-based = different FSM profile. Less fit for service-dispatch ServiceBridge.</t>
        </is>
      </c>
      <c r="AN50" s="518" t="inlineStr">
        <is>
          <t>Michael Reeder (Brand Pres Archadeck)
Scott Zide (CEO, prior career started here)
Thomas Welter (Group Pres Residential)</t>
        </is>
      </c>
      <c r="AO50" s="555" t="inlineStr">
        <is>
          <t>Brand Pres: Jack O'Connell.
👉 See Signal Intel: Empower Brands section</t>
        </is>
      </c>
      <c r="AP50" s="555" t="inlineStr">
        <is>
          <t>Empower Ignite 2027 (~Feb 2027, Orlando likely)
1,100+ attendees, 85 vendor partners
Build vendor relationship NOW
👉 See Event Intelligence tab</t>
        </is>
      </c>
      <c r="AQ50" s="555" t="inlineStr">
        <is>
          <t>🎓 EMPOWER:
• Jack O'Connell (Brand Pres since Oct 2024, "in training" until promoted): Penn State University BS ⭐. Richmond VA. Was VP B2B/Commercial at LL Flooring 2012-2024 (45% revenue / up to $400M annual). Earlier: Operations Manager + PGA Golf Professional at The Country Club of Virginia. ⭐ GOLF CONNECTION for Mike.
• Michael Reeder (Brand Leader/predecessor): U Houston ⭐. 15 yrs Archadeck franchisee owner ($2MM+ AUM).
• Tom Welter (Empower COO/Pres Residential): U Nebraska-Lincoln + NFL alumni ⭐⭐
👉 See Signal Intel: Empower</t>
        </is>
      </c>
    </row>
    <row r="51" ht="280" customHeight="1" s="435">
      <c r="A51" s="225" t="n">
        <v>48</v>
      </c>
      <c r="B51" s="226" t="inlineStr">
        <is>
          <t>Bumble Roofing</t>
        </is>
      </c>
      <c r="C51" s="227" t="inlineStr">
        <is>
          <t>Empower Brands</t>
        </is>
      </c>
      <c r="D51" s="228" t="inlineStr">
        <is>
          <t>Roofing</t>
        </is>
      </c>
      <c r="E51" s="229" t="n">
        <v>100</v>
      </c>
      <c r="F51" s="229" t="n">
        <v>5</v>
      </c>
      <c r="G51" s="230" t="inlineStr">
        <is>
          <t>Greenfield</t>
        </is>
      </c>
      <c r="H51" s="19" t="inlineStr">
        <is>
          <t>TBD</t>
        </is>
      </c>
      <c r="I51" s="203" t="inlineStr">
        <is>
          <t>NONE — Greenfield confirmed — Empower Brands, no FSM mandate found; roofing project model</t>
        </is>
      </c>
      <c r="J51" s="110" t="inlineStr">
        <is>
          <t>Greenfield / Paper</t>
        </is>
      </c>
      <c r="K51" s="120" t="inlineStr">
        <is>
          <t>🟢 None</t>
        </is>
      </c>
      <c r="L51" s="117" t="inlineStr">
        <is>
          <t>Validate with Andrea</t>
        </is>
      </c>
      <c r="M51" s="117" t="inlineStr">
        <is>
          <t>Validate with Andrea</t>
        </is>
      </c>
      <c r="N51" s="117" t="inlineStr">
        <is>
          <t>Validate via FDD</t>
        </is>
      </c>
      <c r="O51" s="109" t="inlineStr">
        <is>
          <t>❓ Unknown</t>
        </is>
      </c>
      <c r="P51" s="228" t="inlineStr">
        <is>
          <t>(Franchisee Owner)</t>
        </is>
      </c>
      <c r="Q51" s="228" t="inlineStr">
        <is>
          <t>Owner/Operator</t>
        </is>
      </c>
      <c r="R51" s="169" t="inlineStr">
        <is>
          <t>TBD — Bumble Roofing brand president
← Approach via Scott Zide (CEO Empower Brands)
Fastest growing Empower brand in 2025</t>
        </is>
      </c>
      <c r="S51" s="169" t="inlineStr">
        <is>
          <t>TBD</t>
        </is>
      </c>
      <c r="T51" s="169" t="inlineStr">
        <is>
          <t>No confirmed GPS Insight relationship</t>
        </is>
      </c>
      <c r="U51" s="171" t="n"/>
      <c r="V51" s="231" t="n"/>
      <c r="W51" s="232" t="inlineStr">
        <is>
          <t>Profile + outreach</t>
        </is>
      </c>
      <c r="X51" s="232" t="n"/>
      <c r="Y51" s="233" t="inlineStr">
        <is>
          <t>Project-based roofing — estimate to invoice flow</t>
        </is>
      </c>
      <c r="Z51" s="195" t="inlineStr">
        <is>
          <t>SOURCE: Empower Brands + franchise directories 2025
ITEM 19 — Unit Economics:
• Residential roofing franchise
• Part of Empower Brands
• High ticket: avg roof job $8K-$25K
• Insurance + cash pay model
ITEM 11 — Technology:
Empower Brands tech stack — verify FSM mandate
Insurance roofing = job documentation critical
NOTE: Empower Brands. GREENFIELD entry point.</t>
        </is>
      </c>
      <c r="AA51" s="193" t="inlineStr">
        <is>
          <t>KEY ANGLES:
• GreenSky financing for $8K-$25K jobs
• Insurance job documentation
• Empower mandate = top-down play</t>
        </is>
      </c>
      <c r="AB51" s="175" t="n"/>
      <c r="AC51" s="175" t="n"/>
      <c r="AD51" s="175" t="n"/>
      <c r="AE51" s="183" t="n">
        <v>56</v>
      </c>
      <c r="AF51" s="177" t="inlineStr">
        <is>
          <t>+15</t>
        </is>
      </c>
      <c r="AG51" s="184" t="inlineStr">
        <is>
          <t>71
🟡 QUEUE</t>
        </is>
      </c>
      <c r="AH51" s="555" t="inlineStr">
        <is>
          <t>David Bitan (Founder &amp; Brand President since 2019)
LinkedIn: https://www.linkedin.com/in/david-bitan-669211b2/
Operator path - 16 yrs home services. LA. Co-founded AID Home Remodeling (sold 2019).
Jacob Mathre, MBA, CFE (VP Growth, joined 2025): MBA + CFE ⭐</t>
        </is>
      </c>
      <c r="AI51" s="555" t="inlineStr">
        <is>
          <t>dbitan@empowerfranchising.com</t>
        </is>
      </c>
      <c r="AJ51" s="555" t="inlineStr">
        <is>
          <t>Michael Borreca (corporate)
https://www.linkedin.com/in/michael-borreca-a4142361/
mborreca@empowerfranchising.com
✓ DIRECT email confirmed via ContactOut.</t>
        </is>
      </c>
      <c r="AK51" s="555" t="inlineStr">
        <is>
          <t>R. Scott Sutton (CDO corporate)
https://www.linkedin.com/in/rscottsutton/
ssutton@empowerfranchising.com
✓ Joined July 2021 (1 wk before CEO Zide). Co-founded Mosquito Squad 2004.</t>
        </is>
      </c>
      <c r="AL51" s="518" t="inlineStr">
        <is>
          <t>David Bitan (Empower bio):
"Bringing fresh, innovative experiences to traditional industries and turning customers into lifelong raving fans."
Roofing = high-ticket, project-based.</t>
        </is>
      </c>
      <c r="AM51" s="518" t="inlineStr">
        <is>
          <t>Score: TBD
Founder-led emerging brand. Direct competitor to Roof Scientist (HomeFront) + Action Exteriors (ResiBrands).</t>
        </is>
      </c>
      <c r="AN51" s="518" t="inlineStr">
        <is>
          <t>David Bitan (Founder &amp; Brand Pres)
Katie Lepper (Director Franchise Dev Bumble Roofing, 2025 NEW)
Joel Marr (Chief Incubation Officer overseeing Bumble + 3 others)</t>
        </is>
      </c>
      <c r="AO51" s="555" t="inlineStr">
        <is>
          <t>Brand Pres: David Bitan. Roofing = heavy fleet.
👉 See Signal Intel: Empower Brands section</t>
        </is>
      </c>
      <c r="AP51" s="555" t="inlineStr">
        <is>
          <t>Empower Ignite 2027 (~Feb 2027, Orlando likely)
1,100+ attendees, 85 vendor partners
Build vendor relationship NOW
👉 See Event Intelligence tab</t>
        </is>
      </c>
      <c r="AQ51" s="555" t="inlineStr">
        <is>
          <t>🎓 EMPOWER:
• David Bitan (Founder/Brand Pres since 2019): Education pending direct verification. 16 yrs home services. LA. Co-founded AID Home Remodeling (sold 2019).
• Jacob Mathre, MBA, CFE (VP Growth, joined 2025): MBA + CFE
• Andrew Eaton (VP Growth)
• Justin Mayer (OLP colleague): USNA + UVA Darden + USMC ⭐⭐⭐
• Tom Welter (Empower COO): U Nebraska-Lincoln + NFL ⭐⭐
👉 See Signal Intel: Empower</t>
        </is>
      </c>
    </row>
    <row r="52" ht="280" customHeight="1" s="435">
      <c r="A52" s="225" t="n">
        <v>49</v>
      </c>
      <c r="B52" s="226" t="inlineStr">
        <is>
          <t>Canopy Lawn Care</t>
        </is>
      </c>
      <c r="C52" s="227" t="inlineStr">
        <is>
          <t>Empower Brands</t>
        </is>
      </c>
      <c r="D52" s="228" t="inlineStr">
        <is>
          <t>Lawn Care</t>
        </is>
      </c>
      <c r="E52" s="229" t="n">
        <v>100</v>
      </c>
      <c r="F52" s="229" t="n">
        <v>4</v>
      </c>
      <c r="G52" s="230" t="inlineStr">
        <is>
          <t>Greenfield</t>
        </is>
      </c>
      <c r="H52" s="19" t="inlineStr">
        <is>
          <t>TBD</t>
        </is>
      </c>
      <c r="I52" s="203" t="inlineStr">
        <is>
          <t>NONE — Greenfield likely — Empower Brands, no mandate found; lawn care route model</t>
        </is>
      </c>
      <c r="J52" s="117" t="inlineStr">
        <is>
          <t>FieldRoutes possible</t>
        </is>
      </c>
      <c r="K52" s="109" t="inlineStr">
        <is>
          <t>🟡 Medium</t>
        </is>
      </c>
      <c r="L52" s="117" t="inlineStr">
        <is>
          <t>Validate with Andrea</t>
        </is>
      </c>
      <c r="M52" s="117" t="inlineStr">
        <is>
          <t>Validate with Andrea</t>
        </is>
      </c>
      <c r="N52" s="117" t="inlineStr">
        <is>
          <t>Validate via FDD</t>
        </is>
      </c>
      <c r="O52" s="109" t="inlineStr">
        <is>
          <t>❓ Unknown</t>
        </is>
      </c>
      <c r="P52" s="228" t="inlineStr">
        <is>
          <t>(Franchisee Owner)</t>
        </is>
      </c>
      <c r="Q52" s="228" t="inlineStr">
        <is>
          <t>Owner/Operator</t>
        </is>
      </c>
      <c r="R52" s="168" t="inlineStr">
        <is>
          <t>TBD — Canopy Lawn Care brand president
← Approach via Scott Zide (CEO Empower Brands)
⚠️ FieldRoutes conflict possible — verify first</t>
        </is>
      </c>
      <c r="S52" s="169" t="inlineStr">
        <is>
          <t>TBD</t>
        </is>
      </c>
      <c r="T52" s="169" t="inlineStr">
        <is>
          <t>No confirmed GPS Insight relationship</t>
        </is>
      </c>
      <c r="U52" s="171" t="n"/>
      <c r="V52" s="231" t="n"/>
      <c r="W52" s="232" t="inlineStr">
        <is>
          <t>Profile + outreach</t>
        </is>
      </c>
      <c r="X52" s="232" t="n"/>
      <c r="Y52" s="233" t="inlineStr">
        <is>
          <t>Route-intensive lawn care — recurring</t>
        </is>
      </c>
      <c r="Z52" s="195" t="inlineStr">
        <is>
          <t>SOURCE: Empower Brands + franchise directories 2025
ITEM 19 — Unit Economics:
• Lawn care + landscaping
• Part of Empower Brands
• Recurring route model
ITEM 11 — Technology:
Empower Brands tech stack — verify FSM mandate
Route-based recurring model
NOTE: Empower Brands. GREENFIELD entry point.</t>
        </is>
      </c>
      <c r="AA52" s="193" t="inlineStr">
        <is>
          <t>KEY ANGLES:
• Route optimization
• Empower mandate = top-down play</t>
        </is>
      </c>
      <c r="AB52" s="175" t="n"/>
      <c r="AC52" s="175" t="n"/>
      <c r="AD52" s="175" t="n"/>
      <c r="AE52" s="183" t="n">
        <v>51</v>
      </c>
      <c r="AF52" s="177" t="inlineStr">
        <is>
          <t>+15</t>
        </is>
      </c>
      <c r="AG52" s="184" t="inlineStr">
        <is>
          <t>66
🟡 QUEUE</t>
        </is>
      </c>
      <c r="AH52" s="555" t="inlineStr">
        <is>
          <t>Ben Wright (Brand President &amp; COO)
LinkedIn: https://www.linkedin.com/in/benjamin-wright-43613729/
🎯🎯🎯 NORTH CAROLINA STATE UNIVERSITY ⭐⭐⭐ Wolfpack — Mike's home school!
Major: Landscaping &amp; Horticulture. Father managed Young Life HS camp NC mountains.
Hunt Davis (CEO/Founder): NC State BS ⭐⭐⭐ Cary NC HQ. Ex-investment banker (Wells Fargo + FMI).
LinkedIn (Hunt): https://www.linkedin.com/in/huntdavis/
[Alumni file - Hunt Davis]: https://www.linkedin.com/in/huntleydavis/</t>
        </is>
      </c>
      <c r="AI52" s="555" t="inlineStr">
        <is>
          <t>bwright@empowerfranchising.com</t>
        </is>
      </c>
      <c r="AJ52" s="555" t="inlineStr">
        <is>
          <t>Michael Borreca (corporate)
https://www.linkedin.com/in/michael-borreca-a4142361/
mborreca@empowerfranchising.com
✓ DIRECT email confirmed via ContactOut.</t>
        </is>
      </c>
      <c r="AK52" s="555" t="inlineStr">
        <is>
          <t>R. Scott Sutton (CDO corporate)
https://www.linkedin.com/in/rscottsutton/
ssutton@empowerfranchising.com
✓ Joined July 2021 (1 wk before CEO Zide). Co-founded Mosquito Squad 2004.</t>
        </is>
      </c>
      <c r="AL52" s="518" t="inlineStr">
        <is>
          <t>New launch — Empower built from zero. Lawn care vertical.</t>
        </is>
      </c>
      <c r="AM52" s="518" t="inlineStr">
        <is>
          <t>Score: TBD
Greenfield brand — clean slate for FSM selection. ★ Fits ResiCares-Direct angle.</t>
        </is>
      </c>
      <c r="AN52" s="518" t="inlineStr">
        <is>
          <t>Ben Wright (Brand Pres Canopy, 2026 NEW)
Joel Marr (CIO)
Volker Wellman (SVP Ops)</t>
        </is>
      </c>
      <c r="AO52" s="555" t="inlineStr">
        <is>
          <t>CEO Scott Zide (data warehouse + tech automation deployed). U Kansas. Richmond VA.
👉 See Signal Intel: Empower Brands section</t>
        </is>
      </c>
      <c r="AP52" s="555" t="inlineStr">
        <is>
          <t>Empower Ignite 2027 (~Feb 2027, Orlando likely)
1,100+ attendees, 85 vendor partners
Build vendor relationship NOW
👉 See Event Intelligence tab</t>
        </is>
      </c>
      <c r="AQ52" s="555" t="inlineStr">
        <is>
          <t>🎓 🎯🎯🎯 NC STATE CLUSTER (HUGE for Mike — Wolfpack):
• Hunt Davis (CEO/Founder): NC State University BS ⭐⭐⭐ Cary, NC headquartered. Ex-investment banker (Wells Fargo + FMI). Met Tyler Graybeal on Adirondacks canoe trip. CEO Pack Purchase 2015 → launched Canopy 2016.
• Ben Wright (Pres &amp; COO): NC State University ⭐⭐⭐ Major: Landscaping &amp; Horticulture. Father managed Young Life HS camp NC mountains. Joined Canopy 2014 from design/build manager near Raleigh NC. Profoundly people-first leader (housed homeless employee, officiated wedding for franchisee).
• Tyler Graybeal (Original Co-Founder): Pending direct verification
• Tom Welter (Empower COO): U Nebraska-Lincoln + NFL ⭐⭐
🎯 NC STATE FAN ANGLE: Mike is NC State Wolfpack — both Davis + Wright are Wolfpack alums in his backyard (Cary NC = next to Apex). MAJOR warm-intro path.
👉 See Signal Intel: Empower</t>
        </is>
      </c>
    </row>
    <row r="53" ht="280" customHeight="1" s="435">
      <c r="A53" s="225" t="n">
        <v>50</v>
      </c>
      <c r="B53" s="226" t="inlineStr">
        <is>
          <t>Conserva Irrigation</t>
        </is>
      </c>
      <c r="C53" s="227" t="inlineStr">
        <is>
          <t>Empower Brands</t>
        </is>
      </c>
      <c r="D53" s="228" t="inlineStr">
        <is>
          <t>Irrigation</t>
        </is>
      </c>
      <c r="E53" s="229" t="n">
        <v>100</v>
      </c>
      <c r="F53" s="229" t="n">
        <v>3</v>
      </c>
      <c r="G53" s="230" t="inlineStr">
        <is>
          <t>Greenfield</t>
        </is>
      </c>
      <c r="H53" s="19" t="inlineStr">
        <is>
          <t>TBD</t>
        </is>
      </c>
      <c r="I53" s="234" t="inlineStr">
        <is>
          <t>MED</t>
        </is>
      </c>
      <c r="J53" s="110" t="inlineStr">
        <is>
          <t>Greenfield / Paper</t>
        </is>
      </c>
      <c r="K53" s="120" t="inlineStr">
        <is>
          <t>🟢 None</t>
        </is>
      </c>
      <c r="L53" s="117" t="inlineStr">
        <is>
          <t>Validate with Andrea</t>
        </is>
      </c>
      <c r="M53" s="117" t="inlineStr">
        <is>
          <t>Validate with Andrea</t>
        </is>
      </c>
      <c r="N53" s="117" t="inlineStr">
        <is>
          <t>Validate via FDD</t>
        </is>
      </c>
      <c r="O53" s="109" t="inlineStr">
        <is>
          <t>❓ Unknown</t>
        </is>
      </c>
      <c r="P53" s="228" t="inlineStr">
        <is>
          <t>(Franchisee Owner)</t>
        </is>
      </c>
      <c r="Q53" s="228" t="inlineStr">
        <is>
          <t>Owner/Operator</t>
        </is>
      </c>
      <c r="R53" s="169" t="inlineStr">
        <is>
          <t>TBD — franchisee owner/operator</t>
        </is>
      </c>
      <c r="S53" s="169" t="inlineStr">
        <is>
          <t>TBD — office manager / dispatcher</t>
        </is>
      </c>
      <c r="T53" s="169" t="inlineStr">
        <is>
          <t>TBD — verify GPS Insight customer status via Andrea</t>
        </is>
      </c>
      <c r="U53" s="171" t="n"/>
      <c r="V53" s="231" t="n"/>
      <c r="W53" s="232" t="inlineStr">
        <is>
          <t>Profile + outreach</t>
        </is>
      </c>
      <c r="X53" s="232" t="n"/>
      <c r="Y53" s="233" t="inlineStr">
        <is>
          <t>Seasonal irrigation service</t>
        </is>
      </c>
      <c r="Z53" s="195" t="inlineStr">
        <is>
          <t>SOURCE: Empower Brands + franchise directories 2025
ITEM 19 — Unit Economics:
• Irrigation system service + repair
• Part of Empower Brands
• Recurring maintenance + seasonal model
ITEM 11 — Technology:
Empower Brands tech stack
Seasonal recurring model
NOTE: Empower Brands. GREENFIELD entry point.</t>
        </is>
      </c>
      <c r="AA53" s="193" t="inlineStr">
        <is>
          <t>KEY ANGLES:
• Seasonal scheduling + recurring
• Empower mandate = top-down play</t>
        </is>
      </c>
      <c r="AB53" s="175" t="n"/>
      <c r="AC53" s="175" t="n"/>
      <c r="AD53" s="175" t="n"/>
      <c r="AE53" s="183" t="n">
        <v>46</v>
      </c>
      <c r="AF53" s="177" t="inlineStr">
        <is>
          <t>+15</t>
        </is>
      </c>
      <c r="AG53" s="184" t="inlineStr">
        <is>
          <t>61
🟡 QUEUE</t>
        </is>
      </c>
      <c r="AH53" s="555" t="inlineStr">
        <is>
          <t>Heather Todd, CFE (Brand President since Feb 2025)
LinkedIn: https://www.linkedin.com/in/heather-todd-cfe/
University of Nevada-Las Vegas - College of Business ⭐ CFE
Richmond VA. Married, 3 kids.
Russ Jundt (Founder, now Empower Pres National Accounts): Saint John's University BA ⭐
LinkedIn (Russ Jundt): https://www.linkedin.com/in/russjundt/</t>
        </is>
      </c>
      <c r="AI53" s="555" t="inlineStr">
        <is>
          <t>htodd@empowerfranchising.com</t>
        </is>
      </c>
      <c r="AJ53" s="555" t="inlineStr">
        <is>
          <t>Michael Borreca (corporate)
https://www.linkedin.com/in/michael-borreca-a4142361/
mborreca@empowerfranchising.com
✓ DIRECT email confirmed via ContactOut.</t>
        </is>
      </c>
      <c r="AK53" s="555" t="inlineStr">
        <is>
          <t>R. Scott Sutton (CDO corporate)
https://www.linkedin.com/in/rscottsutton/
ssutton@empowerfranchising.com
✓ Joined July 2021 (1 wk before CEO Zide). Co-founded Mosquito Squad 2004.</t>
        </is>
      </c>
      <c r="AL53" s="518" t="inlineStr">
        <is>
          <t>Heather Todd: "franchisee-first approach and a deep understanding of what it takes to scale a service brand while staying rooted in operational integrity" (Empower press).</t>
        </is>
      </c>
      <c r="AM53" s="518" t="inlineStr">
        <is>
          <t>Score: TBD
★ NEW BRAND PRESIDENT (Feb 2025) = honeymoon period. Russ Jundt now operates platform-level National Accounts (Conserva + OLP) — multi-channel entry point.</t>
        </is>
      </c>
      <c r="AN53" s="518" t="inlineStr">
        <is>
          <t>Heather Todd (Brand Pres, Feb 2025 NEW)
Russ Jundt (Conserva Founder, now National Accounts Empower)
Stacy Parkelj (Director Franchise Operations)
Brandon Yarnell (National Accounts Sales Manager Conserva + OLP)</t>
        </is>
      </c>
      <c r="AO53" s="555" t="inlineStr">
        <is>
          <t>Brand Pres: Heather Todd (Feb 2025, internal promotion from Director of Franchise Operations).
👉 See Signal Intel: Empower Brands section</t>
        </is>
      </c>
      <c r="AP53" s="555" t="inlineStr">
        <is>
          <t>Empower Ignite 2027 (~Feb 2027, Orlando likely)
1,100+ attendees, 85 vendor partners
Build vendor relationship NOW
👉 See Event Intelligence tab</t>
        </is>
      </c>
      <c r="AQ53" s="555" t="inlineStr">
        <is>
          <t>🎓 EMPOWER:
• Heather Todd (Brand Pres since Feb 2025): UNLV College of Business. CFE. Richmond VA. Married, 3 kids.
• Russ Jundt (Founder, NOW Empower Pres of National Accounts &amp; Residential Home Service Brands): Saint John's University BA Business Management ⭐. Minneapolis MN.
👉 See Signal Intel: Empower</t>
        </is>
      </c>
    </row>
    <row r="54" ht="280" customHeight="1" s="435">
      <c r="A54" s="225" t="n">
        <v>51</v>
      </c>
      <c r="B54" s="226" t="inlineStr">
        <is>
          <t>FRSTeam</t>
        </is>
      </c>
      <c r="C54" s="227" t="inlineStr">
        <is>
          <t>Empower Brands</t>
        </is>
      </c>
      <c r="D54" s="228" t="inlineStr">
        <is>
          <t>Contents/Restoration</t>
        </is>
      </c>
      <c r="E54" s="229" t="n">
        <v>100</v>
      </c>
      <c r="F54" s="229" t="n">
        <v>5</v>
      </c>
      <c r="G54" s="230" t="inlineStr">
        <is>
          <t>Greenfield</t>
        </is>
      </c>
      <c r="H54" s="19" t="inlineStr">
        <is>
          <t>TBD</t>
        </is>
      </c>
      <c r="I54" s="234" t="inlineStr">
        <is>
          <t>MED</t>
        </is>
      </c>
      <c r="J54" s="110" t="inlineStr">
        <is>
          <t>Greenfield / Paper</t>
        </is>
      </c>
      <c r="K54" s="120" t="inlineStr">
        <is>
          <t>🟢 None</t>
        </is>
      </c>
      <c r="L54" s="117" t="inlineStr">
        <is>
          <t>Validate with Andrea</t>
        </is>
      </c>
      <c r="M54" s="117" t="inlineStr">
        <is>
          <t>Validate with Andrea</t>
        </is>
      </c>
      <c r="N54" s="117" t="inlineStr">
        <is>
          <t>Validate via FDD</t>
        </is>
      </c>
      <c r="O54" s="109" t="inlineStr">
        <is>
          <t>❓ Unknown</t>
        </is>
      </c>
      <c r="P54" s="228" t="inlineStr">
        <is>
          <t>(Franchisee Owner)</t>
        </is>
      </c>
      <c r="Q54" s="228" t="inlineStr">
        <is>
          <t>Owner/Operator</t>
        </is>
      </c>
      <c r="R54" s="169" t="inlineStr">
        <is>
          <t>TBD — franchisee owner/operator</t>
        </is>
      </c>
      <c r="S54" s="169" t="inlineStr">
        <is>
          <t>TBD — office manager / dispatcher</t>
        </is>
      </c>
      <c r="T54" s="169" t="inlineStr">
        <is>
          <t>TBD — verify GPS Insight customer status via Andrea</t>
        </is>
      </c>
      <c r="U54" s="171" t="n"/>
      <c r="V54" s="231" t="n"/>
      <c r="W54" s="232" t="inlineStr">
        <is>
          <t>Profile + outreach</t>
        </is>
      </c>
      <c r="X54" s="232" t="n"/>
      <c r="Y54" s="233" t="inlineStr">
        <is>
          <t>Contents restoration crews</t>
        </is>
      </c>
      <c r="Z54" s="195" t="inlineStr">
        <is>
          <t>SOURCE: Empower Brands + franchise directories 2025
ITEM 19 — Unit Economics:
• Fabric + textile restoration — insurance model
• Part of Empower Brands
• Insurance-paid contents restoration
ITEM 11 — Technology:
Empower Brands tech stack
Insurance restoration = job documentation critical
NOTE: Empower Brands. GREENFIELD entry point.</t>
        </is>
      </c>
      <c r="AA54" s="193" t="inlineStr">
        <is>
          <t>KEY ANGLES:
• Insurance job documentation
• Empower mandate = top-down play</t>
        </is>
      </c>
      <c r="AB54" s="175" t="n"/>
      <c r="AC54" s="175" t="n"/>
      <c r="AD54" s="175" t="n"/>
      <c r="AE54" s="183" t="n">
        <v>66</v>
      </c>
      <c r="AF54" s="177" t="inlineStr">
        <is>
          <t>+15</t>
        </is>
      </c>
      <c r="AG54" s="184" t="inlineStr">
        <is>
          <t>81
🟡 QUEUE</t>
        </is>
      </c>
      <c r="AH54" s="555" t="inlineStr">
        <is>
          <t>Jeff Waters + Shelly Waters (Brand President couple)
LinkedIn: https://www.linkedin.com/in/jeff-waters-72668b9/
School pending — came up via franchisee path (2024 FRSTeam Franchisee of the Year, Tulsa OK)
Predecessor Ben Kramer (NOW Bio-One Brand Pres at Five Star): Case Western Reserve ⭐</t>
        </is>
      </c>
      <c r="AI54" s="555" t="inlineStr">
        <is>
          <t>jwaters@empowerfranchising.com</t>
        </is>
      </c>
      <c r="AJ54" s="555" t="inlineStr">
        <is>
          <t>Michael Borreca (corporate)
https://www.linkedin.com/in/michael-borreca-a4142361/
mborreca@empowerfranchising.com
✓ DIRECT email confirmed via ContactOut.</t>
        </is>
      </c>
      <c r="AK54" s="555" t="inlineStr">
        <is>
          <t>R. Scott Sutton (CDO corporate)
https://www.linkedin.com/in/rscottsutton/
ssutton@empowerfranchising.com
✓ Joined July 2021 (1 wk before CEO Zide). Co-founded Mosquito Squad 2004.</t>
        </is>
      </c>
      <c r="AL54" s="518" t="inlineStr">
        <is>
          <t>B2B textile restoration = insurance carrier driven for fire/water loss.</t>
        </is>
      </c>
      <c r="AM54" s="518" t="inlineStr">
        <is>
          <t>Score: TBD
Insurance angle similar to BELFOR brands.</t>
        </is>
      </c>
      <c r="AN54" s="518" t="inlineStr">
        <is>
          <t>Jeff Waters (Brand Pres FRSTeam, 2026 NEW)
Holly Murry (prior brand pres 2025)</t>
        </is>
      </c>
      <c r="AO54" s="555" t="inlineStr">
        <is>
          <t>CEO Scott Zide (data warehouse + tech automation deployed). U Kansas. Richmond VA.
👉 See Signal Intel: Empower Brands section</t>
        </is>
      </c>
      <c r="AP54" s="555" t="inlineStr">
        <is>
          <t>Empower Ignite 2027 (~Feb 2027, Orlando likely)
1,100+ attendees, 85 vendor partners
Build vendor relationship NOW
👉 See Event Intelligence tab</t>
        </is>
      </c>
      <c r="AQ54" s="555" t="inlineStr">
        <is>
          <t>🎓 EMPOWER:
• Jeff Waters (Brand Pres) + wife Shelly Waters: 2024 FRSTeam Franchisee of the Year, Tulsa OK. Education pending direct verification — they came up via the franchisee path before promotion to Brand Pres role.
• Predecessor Ben Kramer (now Bio-One Brand Pres at Five Star): Case Western Reserve U ⭐
• Holly Murry (Pres FRSTeam at one point): 28 yrs in field, started age 22 as technician. Operator path.
• Tom Welter (Empower COO): U Nebraska-Lincoln + NFL ⭐⭐
👉 See Signal Intel: Empower</t>
        </is>
      </c>
    </row>
    <row r="55" ht="280" customHeight="1" s="435">
      <c r="A55" s="225" t="n">
        <v>52</v>
      </c>
      <c r="B55" s="226" t="inlineStr">
        <is>
          <t>Koala Insulation</t>
        </is>
      </c>
      <c r="C55" s="227" t="inlineStr">
        <is>
          <t>Empower Brands</t>
        </is>
      </c>
      <c r="D55" s="228" t="inlineStr">
        <is>
          <t>Insulation</t>
        </is>
      </c>
      <c r="E55" s="229" t="n">
        <v>100</v>
      </c>
      <c r="F55" s="229" t="n">
        <v>4</v>
      </c>
      <c r="G55" s="230" t="inlineStr">
        <is>
          <t>Greenfield</t>
        </is>
      </c>
      <c r="H55" s="19" t="inlineStr">
        <is>
          <t>TBD</t>
        </is>
      </c>
      <c r="I55" s="234" t="inlineStr">
        <is>
          <t>MED</t>
        </is>
      </c>
      <c r="J55" s="110" t="inlineStr">
        <is>
          <t>Greenfield / Paper</t>
        </is>
      </c>
      <c r="K55" s="120" t="inlineStr">
        <is>
          <t>🟢 None</t>
        </is>
      </c>
      <c r="L55" s="117" t="inlineStr">
        <is>
          <t>Validate with Andrea</t>
        </is>
      </c>
      <c r="M55" s="117" t="inlineStr">
        <is>
          <t>Validate with Andrea</t>
        </is>
      </c>
      <c r="N55" s="117" t="inlineStr">
        <is>
          <t>Validate via FDD</t>
        </is>
      </c>
      <c r="O55" s="109" t="inlineStr">
        <is>
          <t>❓ Unknown</t>
        </is>
      </c>
      <c r="P55" s="228" t="inlineStr">
        <is>
          <t>(Franchisee Owner)</t>
        </is>
      </c>
      <c r="Q55" s="228" t="inlineStr">
        <is>
          <t>Owner/Operator</t>
        </is>
      </c>
      <c r="R55" s="169" t="inlineStr">
        <is>
          <t>TBD — franchisee owner/operator</t>
        </is>
      </c>
      <c r="S55" s="169" t="inlineStr">
        <is>
          <t>TBD — office manager / dispatcher</t>
        </is>
      </c>
      <c r="T55" s="169" t="inlineStr">
        <is>
          <t>TBD — verify GPS Insight customer status via Andrea</t>
        </is>
      </c>
      <c r="U55" s="171" t="n"/>
      <c r="V55" s="231" t="n"/>
      <c r="W55" s="232" t="inlineStr">
        <is>
          <t>Profile + outreach</t>
        </is>
      </c>
      <c r="X55" s="232" t="n"/>
      <c r="Y55" s="233" t="inlineStr">
        <is>
          <t>Growing brand — newer in Empower portfolio</t>
        </is>
      </c>
      <c r="Z55" s="195" t="inlineStr">
        <is>
          <t>SOURCE: Empower Brands + franchise directories 2025
ITEM 19 — Unit Economics:
• Insulation installation
• Part of Empower Brands
• High avg ticket: $2K-$10K per job
• Fast-growing brand — energy efficiency market
ITEM 11 — Technology:
Empower Brands tech stack
Project-based model
NOTE: Empower Brands. GREENFIELD entry point.</t>
        </is>
      </c>
      <c r="AA55" s="193" t="inlineStr">
        <is>
          <t>KEY ANGLES:
• GreenSky financing for insulation jobs
• Energy efficiency angle (GreenSky green financing)
• Empower mandate = top-down play</t>
        </is>
      </c>
      <c r="AB55" s="175" t="n"/>
      <c r="AC55" s="175" t="n"/>
      <c r="AD55" s="175" t="n"/>
      <c r="AE55" s="183" t="n">
        <v>46</v>
      </c>
      <c r="AF55" s="177" t="inlineStr">
        <is>
          <t>+15</t>
        </is>
      </c>
      <c r="AG55" s="184" t="inlineStr">
        <is>
          <t>61
🟡 QUEUE</t>
        </is>
      </c>
      <c r="AH55" s="555" t="inlineStr">
        <is>
          <t>Cory Lyons (Brand Pres since Aug 2023; also Wallaby Windows mid-2025)
LinkedIn: https://www.linkedin.com/in/cory-lyons-6a9ab919/
Rochester Community and Technical College ⭐ Trade-school path. Melbourne FL.
Ex-Lift Brands Snap Fitness Minneapolis-Chanhassen, Steele Brands, Perspire Sauna.</t>
        </is>
      </c>
      <c r="AI55" s="555" t="inlineStr">
        <is>
          <t>clyons@empowerfranchising.com</t>
        </is>
      </c>
      <c r="AJ55" s="555" t="inlineStr">
        <is>
          <t>Michael Borreca (corporate)
https://www.linkedin.com/in/michael-borreca-a4142361/
mborreca@empowerfranchising.com
✓ DIRECT email confirmed via ContactOut.</t>
        </is>
      </c>
      <c r="AK55" s="555" t="inlineStr">
        <is>
          <t>R. Scott Sutton (CDO corporate)
https://www.linkedin.com/in/rscottsutton/
ssutton@empowerfranchising.com
✓ Joined July 2021 (1 wk before CEO Zide). Co-founded Mosquito Squad 2004.</t>
        </is>
      </c>
      <c r="AL55" s="518" t="inlineStr">
        <is>
          <t>Insulation vertical = direct competitor to USA Insulation (Threshold, currently transitioning OFF SB).
Empower's insulation brand acquisition.</t>
        </is>
      </c>
      <c r="AM55" s="518" t="inlineStr">
        <is>
          <t>Score: TBD
★ Cory Lyons = dual brand pres (Koala + Wallaby). Single contact = 2 brand approach. Direct USA Insulation displacement angle.</t>
        </is>
      </c>
      <c r="AN55" s="518" t="inlineStr">
        <is>
          <t>Cory Lyons (DUAL Brand Pres Koala + Wallaby)
Steve Griffith (Director Franchise Dev Koala, 2025 NEW)</t>
        </is>
      </c>
      <c r="AO55" s="555" t="inlineStr">
        <is>
          <t>Group Pres (Koala + Wallaby Windows): Cory Lyons (Aug 2023, ex-Steele Brands Mgmt + Lift Brands/Anytime Fitness).
👉 See Signal Intel: Empower Brands section</t>
        </is>
      </c>
      <c r="AP55" s="555" t="inlineStr">
        <is>
          <t>Empower Ignite 2027 (~Feb 2027, Orlando likely)
1,100+ attendees, 85 vendor partners
Build vendor relationship NOW
👉 See Event Intelligence tab</t>
        </is>
      </c>
      <c r="AQ55" s="555" t="inlineStr">
        <is>
          <t>🎓 EMPOWER:
• Cory Lyons (Brand Pres since Aug 2023, also Wallaby Windows mid-2025): Rochester Community and Technical College. Trade-school path. Melbourne FL. Ex-Lift Brands Snap Fitness Minneapolis-Chanhassen, Steele Brands, Perspire Sauna.
• Justin Mayer (OLP, Empower colleague): USNA + UVA Darden + USMC ⭐⭐⭐
• Tom Welter (Empower COO/Pres Residential): U Nebraska-Lincoln BS Business Admin (CoSIDA First Team Academic All-American + NFL alumni) ⭐⭐
👉 See Signal Intel: Empower</t>
        </is>
      </c>
    </row>
    <row r="56" ht="280" customHeight="1" s="435">
      <c r="A56" s="225" t="n">
        <v>53</v>
      </c>
      <c r="B56" s="226" t="inlineStr">
        <is>
          <t>Outdoor Lighting Perspectives</t>
        </is>
      </c>
      <c r="C56" s="227" t="inlineStr">
        <is>
          <t>Empower Brands</t>
        </is>
      </c>
      <c r="D56" s="228" t="inlineStr">
        <is>
          <t>Lighting</t>
        </is>
      </c>
      <c r="E56" s="229" t="n">
        <v>150</v>
      </c>
      <c r="F56" s="229" t="n">
        <v>3</v>
      </c>
      <c r="G56" s="230" t="inlineStr">
        <is>
          <t>Greenfield</t>
        </is>
      </c>
      <c r="H56" s="19" t="inlineStr">
        <is>
          <t>TBD</t>
        </is>
      </c>
      <c r="I56" s="234" t="inlineStr">
        <is>
          <t>MED</t>
        </is>
      </c>
      <c r="J56" s="110" t="inlineStr">
        <is>
          <t>Greenfield / Paper</t>
        </is>
      </c>
      <c r="K56" s="120" t="inlineStr">
        <is>
          <t>🟢 None</t>
        </is>
      </c>
      <c r="L56" s="117" t="inlineStr">
        <is>
          <t>Validate with Andrea</t>
        </is>
      </c>
      <c r="M56" s="117" t="inlineStr">
        <is>
          <t>Validate with Andrea</t>
        </is>
      </c>
      <c r="N56" s="117" t="inlineStr">
        <is>
          <t>Validate via FDD</t>
        </is>
      </c>
      <c r="O56" s="109" t="inlineStr">
        <is>
          <t>❓ Unknown</t>
        </is>
      </c>
      <c r="P56" s="228" t="inlineStr">
        <is>
          <t>(Franchisee Owner)</t>
        </is>
      </c>
      <c r="Q56" s="228" t="inlineStr">
        <is>
          <t>Owner/Operator</t>
        </is>
      </c>
      <c r="R56" s="169" t="inlineStr">
        <is>
          <t>TBD — franchisee owner/operator</t>
        </is>
      </c>
      <c r="S56" s="169" t="inlineStr">
        <is>
          <t>TBD — office manager / dispatcher</t>
        </is>
      </c>
      <c r="T56" s="169" t="inlineStr">
        <is>
          <t>TBD — verify GPS Insight customer status via Andrea</t>
        </is>
      </c>
      <c r="U56" s="171" t="n"/>
      <c r="V56" s="231" t="n"/>
      <c r="W56" s="232" t="inlineStr">
        <is>
          <t>Profile + outreach</t>
        </is>
      </c>
      <c r="X56" s="232" t="n"/>
      <c r="Y56" s="233" t="inlineStr">
        <is>
          <t>Seasonal lighting — route + project mix</t>
        </is>
      </c>
      <c r="Z56" s="195" t="inlineStr">
        <is>
          <t>SOURCE: Empower Brands + franchise directories 2025
ITEM 19 — Unit Economics:
• Outdoor lighting design + installation
• Part of Empower Brands
• High avg ticket: $3K-$15K per installation
ITEM 11 — Technology:
Empower Brands tech stack
Project + seasonal model
NOTE: Empower Brands. GREENFIELD entry point.</t>
        </is>
      </c>
      <c r="AA56" s="193" t="inlineStr">
        <is>
          <t>KEY ANGLES:
• GreenSky for $3K-$15K installations
• Empower mandate = top-down play</t>
        </is>
      </c>
      <c r="AB56" s="175" t="n"/>
      <c r="AC56" s="175" t="n"/>
      <c r="AD56" s="175" t="n"/>
      <c r="AE56" s="183" t="n">
        <v>46</v>
      </c>
      <c r="AF56" s="177" t="inlineStr">
        <is>
          <t>+15</t>
        </is>
      </c>
      <c r="AG56" s="184" t="inlineStr">
        <is>
          <t>61
🟡 QUEUE</t>
        </is>
      </c>
      <c r="AH56" s="555" t="inlineStr">
        <is>
          <t>Justin Mayer (Brand President OLP since April 2025)
LinkedIn: https://www.linkedin.com/in/justin-mayer-a620003a/
USNA BS Economics (GPA 3.69, Dean's List, Honors) + UVA Darden MBA + USMC veteran ⭐⭐⭐ TRIPLE
Ex-DuPont Global Sales Director.</t>
        </is>
      </c>
      <c r="AI56" s="555" t="inlineStr">
        <is>
          <t>jmayer@empowerfranchising.com</t>
        </is>
      </c>
      <c r="AJ56" s="555" t="inlineStr">
        <is>
          <t>Michael Borreca (corporate)
https://www.linkedin.com/in/michael-borreca-a4142361/
mborreca@empowerfranchising.com
✓ DIRECT email confirmed via ContactOut.</t>
        </is>
      </c>
      <c r="AK56" s="555" t="inlineStr">
        <is>
          <t>R. Scott Sutton (CDO corporate)
https://www.linkedin.com/in/rscottsutton/
ssutton@empowerfranchising.com
✓ Joined July 2021 (1 wk before CEO Zide). Co-founded Mosquito Squad 2004.</t>
        </is>
      </c>
      <c r="AL56" s="518" t="inlineStr">
        <is>
          <t>OLP = outdoor lighting installations + maintenance. Project + service mix.
Empower's legacy brand (Scott Zide's career origin).</t>
        </is>
      </c>
      <c r="AM56" s="518" t="inlineStr">
        <is>
          <t>Score: TBD
★ NEW BRAND PRESIDENT (Apr 2025) = honeymoon period.</t>
        </is>
      </c>
      <c r="AN56" s="518" t="inlineStr">
        <is>
          <t>Justin Mayer (Brand Pres OLP, 2025 NEW)
Rich Young (prior brand pres 2025 mention)
Russ Jundt (National Accounts Conserva + OLP)</t>
        </is>
      </c>
      <c r="AO56" s="555" t="inlineStr">
        <is>
          <t>🎯 STRONG: Brand Pres Justin Mayer (April 2025). USNA BS Economics (GPA 3.69, Dean's List, Honors) + UVA Darden MBA (Top 10 Academic Achievement). USMC veteran. Ex-DuPont Global Sales Director.
👉 See Signal Intel: Empower Brands section</t>
        </is>
      </c>
      <c r="AP56" s="555" t="inlineStr">
        <is>
          <t>Empower Ignite 2027 (~Feb 2027, Orlando likely)
1,100+ attendees, 85 vendor partners
Build vendor relationship NOW
👉 See Event Intelligence tab</t>
        </is>
      </c>
      <c r="AQ56" s="555" t="inlineStr">
        <is>
          <t>🎓 ⭐⭐⭐ TRIPLE CREDENTIAL EMPOWER:
• Justin Mayer (Brand Pres April 2025): USNA BS Economics (GPA 3.69, Dean's List, Honors) + UVA Darden MBA (Top 10 Academic) + USMC veteran ⭐⭐⭐
• Tom Welter (Empower COO/Pres Residential): U Nebraska-Lincoln BS Business Admin (CoSIDA First Team Academic All-American + NFL alumni) ⭐⭐
• Scott Zide (Empower CEO): U Kansas BA
🎯 UVA DARDEN cluster: Mayer + Hagan Kappler = 2 Darden alums
👉 See Signal Intel: Empower</t>
        </is>
      </c>
    </row>
    <row r="57" ht="280" customHeight="1" s="435">
      <c r="A57" s="225" t="n">
        <v>54</v>
      </c>
      <c r="B57" s="226" t="inlineStr">
        <is>
          <t>Superior Fence &amp; Rail</t>
        </is>
      </c>
      <c r="C57" s="227" t="inlineStr">
        <is>
          <t>Empower Brands</t>
        </is>
      </c>
      <c r="D57" s="228" t="inlineStr">
        <is>
          <t>Fence</t>
        </is>
      </c>
      <c r="E57" s="229" t="n">
        <v>100</v>
      </c>
      <c r="F57" s="229" t="n">
        <v>5</v>
      </c>
      <c r="G57" s="230" t="inlineStr">
        <is>
          <t>Greenfield</t>
        </is>
      </c>
      <c r="H57" s="19" t="inlineStr">
        <is>
          <t>TBD</t>
        </is>
      </c>
      <c r="I57" s="234" t="inlineStr">
        <is>
          <t>MED</t>
        </is>
      </c>
      <c r="J57" s="110" t="inlineStr">
        <is>
          <t>Greenfield / Paper</t>
        </is>
      </c>
      <c r="K57" s="120" t="inlineStr">
        <is>
          <t>🟢 None</t>
        </is>
      </c>
      <c r="L57" s="117" t="inlineStr">
        <is>
          <t>Validate with Andrea</t>
        </is>
      </c>
      <c r="M57" s="117" t="inlineStr">
        <is>
          <t>Validate with Andrea</t>
        </is>
      </c>
      <c r="N57" s="117" t="inlineStr">
        <is>
          <t>Validate via FDD</t>
        </is>
      </c>
      <c r="O57" s="109" t="inlineStr">
        <is>
          <t>❓ Unknown</t>
        </is>
      </c>
      <c r="P57" s="228" t="inlineStr">
        <is>
          <t>(Franchisee Owner)</t>
        </is>
      </c>
      <c r="Q57" s="228" t="inlineStr">
        <is>
          <t>Owner/Operator</t>
        </is>
      </c>
      <c r="R57" s="169" t="inlineStr">
        <is>
          <t>TBD — franchisee owner/operator</t>
        </is>
      </c>
      <c r="S57" s="169" t="inlineStr">
        <is>
          <t>TBD — office manager / dispatcher</t>
        </is>
      </c>
      <c r="T57" s="169" t="inlineStr">
        <is>
          <t>TBD — verify GPS Insight customer status via Andrea</t>
        </is>
      </c>
      <c r="U57" s="171" t="n"/>
      <c r="V57" s="231" t="n"/>
      <c r="W57" s="232" t="inlineStr">
        <is>
          <t>Profile + outreach</t>
        </is>
      </c>
      <c r="X57" s="232" t="n"/>
      <c r="Y57" s="233" t="inlineStr">
        <is>
          <t>Project-based fencing</t>
        </is>
      </c>
      <c r="Z57" s="195" t="inlineStr">
        <is>
          <t>SOURCE: Empower Brands + franchise directories 2025
ITEM 19 — Unit Economics:
• Fence installation franchise
• Part of Empower Brands
• High avg ticket: $3K-$10K+ per project
• Fast-growing national brand
ITEM 11 — Technology:
Empower Brands tech stack
Project-based install model
NOTE: Empower Brands. GREENFIELD entry point.</t>
        </is>
      </c>
      <c r="AA57" s="193" t="inlineStr">
        <is>
          <t>KEY ANGLES:
• Digital estimates + photo documentation
• GreenSky for fence projects
• Empower mandate = top-down play</t>
        </is>
      </c>
      <c r="AB57" s="175" t="n"/>
      <c r="AC57" s="175" t="n"/>
      <c r="AD57" s="175" t="n"/>
      <c r="AE57" s="183" t="n">
        <v>56</v>
      </c>
      <c r="AF57" s="177" t="inlineStr">
        <is>
          <t>+15</t>
        </is>
      </c>
      <c r="AG57" s="184" t="inlineStr">
        <is>
          <t>71
🟡 QUEUE</t>
        </is>
      </c>
      <c r="AH57" s="555" t="inlineStr">
        <is>
          <t>Brand-specific president TBD
LinkedIn (Empower exec Russ Jundt - related Empower division): https://www.linkedin.com/in/russjundt/
Per Franchise Times Top 400: $239M sales 2024 (up from $156M 2023, +53%).
Russ Jundt (Empower Pres National Accounts oversight): Saint John's University ⭐
Tom Welter (Empower COO): U Nebraska-Lincoln + NFL alumni ⭐⭐</t>
        </is>
      </c>
      <c r="AI57" s="555" t="inlineStr">
        <is>
          <t>zpeyton@empowerfranchising.com</t>
        </is>
      </c>
      <c r="AJ57" s="555" t="inlineStr">
        <is>
          <t>Michael Borreca (corporate)
https://www.linkedin.com/in/michael-borreca-a4142361/
mborreca@empowerfranchising.com
✓ DIRECT email confirmed via ContactOut.</t>
        </is>
      </c>
      <c r="AK57" s="555" t="inlineStr">
        <is>
          <t>R. Scott Sutton (CDO corporate)
https://www.linkedin.com/in/rscottsutton/
ssutton@empowerfranchising.com
✓ Joined July 2021 (1 wk before CEO Zide). Co-founded Mosquito Squad 2004.</t>
        </is>
      </c>
      <c r="AL57" s="518" t="inlineStr">
        <is>
          <t>Superior Fence &amp; Rail = double-digit growth concept. Direct competitor to Top Rail Fence (HomeFront).</t>
        </is>
      </c>
      <c r="AM57" s="518" t="inlineStr">
        <is>
          <t>Score: TBD
Strong-growth brand. Project + service dispatch hybrid.</t>
        </is>
      </c>
      <c r="AN57" s="518" t="inlineStr">
        <is>
          <t>Joe Dominiak (Brand Leader Superior Fence, 2026 NEW)
Thomas Welter (Group Pres Residential)</t>
        </is>
      </c>
      <c r="AO57" s="555" t="inlineStr">
        <is>
          <t>CEO Scott Zide (data warehouse + tech automation deployed). U Kansas. Richmond VA.
👉 See Signal Intel: Empower Brands section</t>
        </is>
      </c>
      <c r="AP57" s="555" t="inlineStr">
        <is>
          <t>Empower Ignite 2027 (~Feb 2027, Orlando likely)
1,100+ attendees, 85 vendor partners
Build vendor relationship NOW
👉 See Event Intelligence tab</t>
        </is>
      </c>
      <c r="AQ57" s="555" t="inlineStr">
        <is>
          <t>Zide U Kansas, Mayer USNA + UVA Darden, Bauer Coe College.
👉 See Signal Intel: Empower Brands section</t>
        </is>
      </c>
    </row>
    <row r="58" ht="280" customHeight="1" s="435">
      <c r="A58" s="225" t="n">
        <v>55</v>
      </c>
      <c r="B58" s="226" t="inlineStr">
        <is>
          <t>Wallaby Windows</t>
        </is>
      </c>
      <c r="C58" s="227" t="inlineStr">
        <is>
          <t>Empower Brands</t>
        </is>
      </c>
      <c r="D58" s="228" t="inlineStr">
        <is>
          <t>Window Cleaning</t>
        </is>
      </c>
      <c r="E58" s="229" t="n">
        <v>100</v>
      </c>
      <c r="F58" s="229" t="n">
        <v>3</v>
      </c>
      <c r="G58" s="230" t="inlineStr">
        <is>
          <t>Greenfield</t>
        </is>
      </c>
      <c r="H58" s="19" t="inlineStr">
        <is>
          <t>TBD</t>
        </is>
      </c>
      <c r="I58" s="234" t="inlineStr">
        <is>
          <t>MED</t>
        </is>
      </c>
      <c r="J58" s="110" t="inlineStr">
        <is>
          <t>Greenfield / Paper</t>
        </is>
      </c>
      <c r="K58" s="120" t="inlineStr">
        <is>
          <t>🟢 None</t>
        </is>
      </c>
      <c r="L58" s="117" t="inlineStr">
        <is>
          <t>Validate with Andrea</t>
        </is>
      </c>
      <c r="M58" s="117" t="inlineStr">
        <is>
          <t>Validate with Andrea</t>
        </is>
      </c>
      <c r="N58" s="117" t="inlineStr">
        <is>
          <t>Validate via FDD</t>
        </is>
      </c>
      <c r="O58" s="109" t="inlineStr">
        <is>
          <t>❓ Unknown</t>
        </is>
      </c>
      <c r="P58" s="228" t="inlineStr">
        <is>
          <t>(Franchisee Owner)</t>
        </is>
      </c>
      <c r="Q58" s="228" t="inlineStr">
        <is>
          <t>Owner/Operator</t>
        </is>
      </c>
      <c r="R58" s="169" t="inlineStr">
        <is>
          <t>TBD — franchisee owner/operator</t>
        </is>
      </c>
      <c r="S58" s="169" t="inlineStr">
        <is>
          <t>TBD — office manager / dispatcher</t>
        </is>
      </c>
      <c r="T58" s="169" t="inlineStr">
        <is>
          <t>TBD — verify GPS Insight customer status via Andrea</t>
        </is>
      </c>
      <c r="U58" s="171" t="n"/>
      <c r="V58" s="231" t="n"/>
      <c r="W58" s="232" t="inlineStr">
        <is>
          <t>Profile + outreach</t>
        </is>
      </c>
      <c r="X58" s="232" t="n"/>
      <c r="Y58" s="233" t="inlineStr">
        <is>
          <t>Exterior window cleaning — route model</t>
        </is>
      </c>
      <c r="Z58" s="195" t="inlineStr">
        <is>
          <t>SOURCE: Empower Brands + franchise directories 2025
ITEM 19 — Unit Economics:
• Window installation + replacement
• Part of Empower Brands
• High avg ticket: $5K-$20K per job
ITEM 11 — Technology:
Empower Brands tech stack
Project-based install model
NOTE: Empower Brands. GREENFIELD entry point.</t>
        </is>
      </c>
      <c r="AA58" s="193" t="inlineStr">
        <is>
          <t>KEY ANGLES:
• GreenSky for $5K-$20K window projects
• Empower mandate = top-down play</t>
        </is>
      </c>
      <c r="AB58" s="175" t="n"/>
      <c r="AC58" s="175" t="n"/>
      <c r="AD58" s="175" t="n"/>
      <c r="AE58" s="183" t="n">
        <v>48</v>
      </c>
      <c r="AF58" s="177" t="inlineStr">
        <is>
          <t>+15</t>
        </is>
      </c>
      <c r="AG58" s="184" t="inlineStr">
        <is>
          <t>63
🟡 QUEUE</t>
        </is>
      </c>
      <c r="AH58" s="555" t="inlineStr">
        <is>
          <t>Cory Lyons (Brand Pres since mid-2025; DUAL with Koala Insulation)
LinkedIn: https://www.linkedin.com/in/cory-lyons-6a9ab919/
Rochester Community and Technical College ⭐ Melbourne FL.</t>
        </is>
      </c>
      <c r="AI58" s="555" t="inlineStr">
        <is>
          <t>clyons@empowerfranchising.com</t>
        </is>
      </c>
      <c r="AJ58" s="555" t="inlineStr">
        <is>
          <t>Michael Borreca (corporate)
https://www.linkedin.com/in/michael-borreca-a4142361/
mborreca@empowerfranchising.com
✓ DIRECT email confirmed via ContactOut.</t>
        </is>
      </c>
      <c r="AK58" s="555" t="inlineStr">
        <is>
          <t>R. Scott Sutton (CDO corporate)
https://www.linkedin.com/in/rscottsutton/
ssutton@empowerfranchising.com
✓ Joined July 2021 (1 wk before CEO Zide). Co-founded Mosquito Squad 2004.</t>
        </is>
      </c>
      <c r="AL58" s="518" t="inlineStr">
        <is>
          <t>Wallaby = window replacement franchise. Project-based.
Same brand pres as Koala = approach is single conversation.</t>
        </is>
      </c>
      <c r="AM58" s="518" t="inlineStr">
        <is>
          <t>Score: TBD
★ Same Cory Lyons entry — covered with Koala. Insulation angle works double duty.</t>
        </is>
      </c>
      <c r="AN58" s="518" t="inlineStr">
        <is>
          <t>Same Cory Lyons as Koala — single contact = both brands</t>
        </is>
      </c>
      <c r="AO58" s="555" t="inlineStr">
        <is>
          <t>Group Pres (Koala + Wallaby): Cory Lyons (mid-2025).
👉 See Signal Intel: Empower Brands section</t>
        </is>
      </c>
      <c r="AP58" s="555" t="inlineStr">
        <is>
          <t>Empower Ignite 2027 (~Feb 2027, Orlando likely)
1,100+ attendees, 85 vendor partners
Build vendor relationship NOW
👉 See Event Intelligence tab</t>
        </is>
      </c>
      <c r="AQ58" s="555" t="inlineStr">
        <is>
          <t>🎓 EMPOWER:
• Cory Lyons (Brand Pres since mid-2025, also Koala Insulation): Rochester Community and Technical College. Melbourne FL.
• Tom Welter (Empower COO/Pres Residential): U Nebraska-Lincoln BS Business Admin (CoSIDA First Team Academic All-American + NFL alumni) ⭐⭐
👉 See Signal Intel: Empower</t>
        </is>
      </c>
    </row>
    <row r="59" ht="280" customHeight="1" s="435">
      <c r="A59" s="235" t="n">
        <v>56</v>
      </c>
      <c r="B59" s="236" t="inlineStr">
        <is>
          <t>RooterMan</t>
        </is>
      </c>
      <c r="C59" s="237" t="inlineStr">
        <is>
          <t>Premium Service Brands</t>
        </is>
      </c>
      <c r="D59" s="238" t="inlineStr">
        <is>
          <t>Plumbing</t>
        </is>
      </c>
      <c r="E59" s="239" t="n">
        <v>300</v>
      </c>
      <c r="F59" s="239" t="n">
        <v>5</v>
      </c>
      <c r="G59" s="240" t="inlineStr">
        <is>
          <t>Greenfield</t>
        </is>
      </c>
      <c r="H59" s="19" t="inlineStr">
        <is>
          <t>TBD</t>
        </is>
      </c>
      <c r="I59" s="203" t="inlineStr">
        <is>
          <t>NONE — Greenfield likely — PSB brand, no specific FSM mandate found; plumbing dispatch</t>
        </is>
      </c>
      <c r="J59" s="110" t="inlineStr">
        <is>
          <t>Greenfield / Paper</t>
        </is>
      </c>
      <c r="K59" s="120" t="inlineStr">
        <is>
          <t>🟢 None</t>
        </is>
      </c>
      <c r="L59" s="117" t="inlineStr">
        <is>
          <t>Validate with Andrea</t>
        </is>
      </c>
      <c r="M59" s="117" t="inlineStr">
        <is>
          <t>Validate with Andrea</t>
        </is>
      </c>
      <c r="N59" s="117" t="inlineStr">
        <is>
          <t>Validate via FDD</t>
        </is>
      </c>
      <c r="O59" s="109" t="inlineStr">
        <is>
          <t>❓ Unknown</t>
        </is>
      </c>
      <c r="P59" s="238" t="inlineStr">
        <is>
          <t>(TBD — Research)</t>
        </is>
      </c>
      <c r="Q59" s="238" t="inlineStr">
        <is>
          <t>Brand President</t>
        </is>
      </c>
      <c r="R59" s="169" t="inlineStr">
        <is>
          <t>TBD — RooterMan brand president
← Approach via Paul Flick (Founder &amp; CEO, PSB)
or Roxanne Conrad (COO, PSB)
PSB acquired RooterMan. 776+ locations. Franchise 500 #298 in 2025.</t>
        </is>
      </c>
      <c r="S59" s="169" t="inlineStr">
        <is>
          <t>TBD — RooterMan ops contact at PSB level
Gabe Colon — EVP of Performance, PSB (franchisee training)</t>
        </is>
      </c>
      <c r="T59" s="169" t="inlineStr">
        <is>
          <t>No confirmed GPS Insight relationship
Verify via Andrea before outreach</t>
        </is>
      </c>
      <c r="U59" s="171" t="n"/>
      <c r="V59" s="241" t="n"/>
      <c r="W59" s="242" t="inlineStr">
        <is>
          <t>Research brand president then outreach</t>
        </is>
      </c>
      <c r="X59" s="242" t="n"/>
      <c r="Y59" s="243" t="inlineStr">
        <is>
          <t>300 locations — BRAND WEDGE into PSB. Find brand president first</t>
        </is>
      </c>
      <c r="Z59" s="195" t="inlineStr">
        <is>
          <t>SOURCE: PSB + franchise directories 2025
ITEM 19 — Unit Economics:
• Plumbing + drain services franchise
• Part of PSB portfolio
• Emergency dispatch + recurring maintenance
• Investment range: est. $70K-$130K
ITEM 11 — Technology:
PSB CRM-based — verify FSM overlap
Emergency dispatch model
NOTE: PSB portfolio. One PSB win = access to all 8 brands</t>
        </is>
      </c>
      <c r="AA59" s="193" t="inlineStr">
        <is>
          <t>KEY ANGLES:
• Emergency dispatch optimization
• Same-day service + payment
• PSB portfolio play</t>
        </is>
      </c>
      <c r="AB59" s="175" t="n"/>
      <c r="AC59" s="175" t="n"/>
      <c r="AD59" s="175" t="n"/>
      <c r="AE59" s="183" t="n">
        <v>61</v>
      </c>
      <c r="AF59" s="177" t="inlineStr">
        <is>
          <t>+15</t>
        </is>
      </c>
      <c r="AG59" s="184" t="inlineStr">
        <is>
          <t>76
🟡 QUEUE</t>
        </is>
      </c>
      <c r="AH59" s="555" t="inlineStr">
        <is>
          <t>Carter Purves (Brand RooterMan Leader)
LinkedIn: https://www.linkedin.com/in/carter-purves/
School pending. Paul Flick (PSB CEO oversight): University of Windsor ⭐ Canadian</t>
        </is>
      </c>
      <c r="AI59" s="555" t="inlineStr">
        <is>
          <t>cpurves@premiumservicebrands.com</t>
        </is>
      </c>
      <c r="AJ59" s="555" t="inlineStr">
        <is>
          <t>Paul Flick (CEO/Founder)
https://www.linkedin.com/in/paul-e-flick-0a15186
pflick@premiumservicebrands.com
✓ DIRECT email via RocketReach.</t>
        </is>
      </c>
      <c r="AK59" s="555" t="inlineStr">
        <is>
          <t>Bryan Hill (EVP FD)
https://www.linkedin.com/in/brian-hill-82b60569/
bhill@premiumservicebrands.com
PSB EVP Franchise Development.</t>
        </is>
      </c>
      <c r="AL59" s="518" t="inlineStr">
        <is>
          <t>RooterMan = #1 plumbing franchise per Entrepreneur Magazine 20+ yrs.
300 locations = LARGEST PSB plumbing brand.
Paul Flick PSB founding thesis: industry is "customer service deficient, technology and software deficient."</t>
        </is>
      </c>
      <c r="AM59" s="518" t="inlineStr">
        <is>
          <t>★ HIGH PRIORITY P2 within PSB.
Plumbing dispatch = strong FSM fit. Greenfield within PSB stack.
Approach via Carter Purves direct OR escalate to Paul Flick.</t>
        </is>
      </c>
      <c r="AN59" s="518" t="inlineStr">
        <is>
          <t>Carter Purves (Brand RooterMan Leader)
Paul Flick (CEO)
David Raymond (COO)
Roxanne Conrad (COO)
Gabe Colon (EVP Performance)</t>
        </is>
      </c>
      <c r="AO59" s="555" t="inlineStr">
        <is>
          <t>RooterMan #298 on Entrepreneur 2025 Franchise 500. Plumbing = high FSM intensity. Direct competitor to Mr. Rooter (Neighborly) + Benjamin Franklin (Authority).
👉 See Signal Intel: PSB section</t>
        </is>
      </c>
      <c r="AP59" s="555" t="inlineStr">
        <is>
          <t>PSB Annual Convention (date/location TBD)
Atlanta training session (recurring)
IFA Annual (Feb)
👉 See Event Intelligence tab</t>
        </is>
      </c>
      <c r="AQ59" s="555" t="inlineStr">
        <is>
          <t>🎓 PSB:
• Carter Purves (Brand Pres): Pending verification
• Paul Flick (PSB CEO): University of Windsor BA Political Science 1988-1991 ⭐ Canadian
• David Raymond (PSB COO): Saint Leo University 2009-2011 + USMC veteran ⭐
• Roxanne Conrad (COO): Former 360 Painting franchisee
👉 See Signal Intel: PSB</t>
        </is>
      </c>
    </row>
    <row r="60" ht="280" customHeight="1" s="435">
      <c r="A60" s="235" t="n">
        <v>57</v>
      </c>
      <c r="B60" s="236" t="inlineStr">
        <is>
          <t>360 Painting</t>
        </is>
      </c>
      <c r="C60" s="237" t="inlineStr">
        <is>
          <t>Premium Service Brands</t>
        </is>
      </c>
      <c r="D60" s="238" t="inlineStr">
        <is>
          <t>Painting</t>
        </is>
      </c>
      <c r="E60" s="239" t="n">
        <v>300</v>
      </c>
      <c r="F60" s="239" t="n">
        <v>4</v>
      </c>
      <c r="G60" s="240" t="inlineStr">
        <is>
          <t>Greenfield</t>
        </is>
      </c>
      <c r="H60" s="19" t="inlineStr">
        <is>
          <t>TBD</t>
        </is>
      </c>
      <c r="I60" s="182" t="inlineStr">
        <is>
          <t>VERIFY — PSB uses proprietary CRM for job tracking — confirm overlap with ServiceBridge FSM before outreach</t>
        </is>
      </c>
      <c r="J60" s="110" t="inlineStr">
        <is>
          <t>Greenfield / Paper</t>
        </is>
      </c>
      <c r="K60" s="120" t="inlineStr">
        <is>
          <t>🟢 None</t>
        </is>
      </c>
      <c r="L60" s="117" t="inlineStr">
        <is>
          <t>Validate with Andrea</t>
        </is>
      </c>
      <c r="M60" s="117" t="inlineStr">
        <is>
          <t>Validate with Andrea</t>
        </is>
      </c>
      <c r="N60" s="117" t="inlineStr">
        <is>
          <t>Validate via FDD</t>
        </is>
      </c>
      <c r="O60" s="109" t="inlineStr">
        <is>
          <t>❓ Unknown</t>
        </is>
      </c>
      <c r="P60" s="238" t="inlineStr">
        <is>
          <t>(Franchisee Owner)</t>
        </is>
      </c>
      <c r="Q60" s="238" t="inlineStr">
        <is>
          <t>Owner/Operator</t>
        </is>
      </c>
      <c r="R60" s="169" t="inlineStr">
        <is>
          <t>TBD — 360 Painting brand president
← Approach via Paul Flick (CEO PSB)
Roxanne Conrad was a 360 Painting franchisee before joining as COO PSB</t>
        </is>
      </c>
      <c r="S60" s="244" t="inlineStr">
        <is>
          <t>Roxanne Conrad
COO, Premium Service Brands
(former 360 Painting franchisee — knows the brand inside out)</t>
        </is>
      </c>
      <c r="T60" s="169" t="inlineStr">
        <is>
          <t>No confirmed GPS Insight relationship</t>
        </is>
      </c>
      <c r="U60" s="171" t="n"/>
      <c r="V60" s="241" t="n"/>
      <c r="W60" s="242" t="inlineStr">
        <is>
          <t>Profile + outreach</t>
        </is>
      </c>
      <c r="X60" s="242" t="n"/>
      <c r="Y60" s="243" t="inlineStr">
        <is>
          <t>Large painting network</t>
        </is>
      </c>
      <c r="Z60" s="192" t="inlineStr">
        <is>
          <t>SOURCE: 2025 FDD (2024 data) — franchisechatter.com + franchimp.com
ITEM 19 — Unit Economics:
• 86 franchisees / 102 franchised businesses reporting full year 2024
• 2024 gross sales total: $48,598,055 (86 franchisees)
• Avg gross sales/franchised business: ~$476,451
• Avg est per unit: $433,123-$516,000 depending on source
• 102 total units, 191 total (including non-reporting)
• Investment range: $101,350-$145,000
• Royalty: 6% gross sales + national marketing fee
• Residential + light commercial painting
ITEM 11 — Technology:
360 Painting uses PROPRIETARY CRM — franchisees required to submit jobs
FDD notes 25.63% of jobs NOT submitted through CRM
CONFLICT RISK: Medium — CRM may overlap with ServiceBridge FSM functions
PSB parent manages technology centrally across all brands</t>
        </is>
      </c>
      <c r="AA60" s="193" t="inlineStr">
        <is>
          <t>VERIFY: PSB CRM overlap with ServiceBridge — confirm with Roxanne Conrad
PRE-POPULATE:
• Avg revenue/unit: $476K
• Project-based: avg paint job $2,000-$8,000
• 102 units
KEY ANGLES:
• Digital estimates + photo before/after
• GreenSky for larger interior/exterior projects
• Job completion documentation
• $476K x 5% lift = $24K/unit
• PSB portfolio play — if one brand signs, others follow
• Susquehanna PE exit math</t>
        </is>
      </c>
      <c r="AB60" s="175" t="n"/>
      <c r="AC60" s="175" t="n"/>
      <c r="AD60" s="175" t="n"/>
      <c r="AE60" s="183" t="n">
        <v>46</v>
      </c>
      <c r="AF60" s="177" t="inlineStr">
        <is>
          <t>+15</t>
        </is>
      </c>
      <c r="AG60" s="184" t="inlineStr">
        <is>
          <t>61
🟡 QUEUE</t>
        </is>
      </c>
      <c r="AH60" s="555" t="inlineStr">
        <is>
          <t>Joel Gotshall (former 360 Painting VP, NOW Owner Paint Rx)
LinkedIn: https://www.linkedin.com/in/joel-gotshall/
School pending — operator path (exited PSB to own franchisee).
Paul Flick (PSB CEO oversight): University of Windsor ⭐</t>
        </is>
      </c>
      <c r="AI60" s="555" t="inlineStr">
        <is>
          <t>jnorconk@premiumservicebrands.com</t>
        </is>
      </c>
      <c r="AJ60" s="555" t="inlineStr">
        <is>
          <t>Paul Flick (CEO/Founder)
https://www.linkedin.com/in/paul-e-flick-0a15186
pflick@premiumservicebrands.com
✓ DIRECT email via RocketReach.</t>
        </is>
      </c>
      <c r="AK60" s="555" t="inlineStr">
        <is>
          <t>Bryan Hill (EVP FD)
https://www.linkedin.com/in/brian-hill-82b60569/
bhill@premiumservicebrands.com
PSB EVP Franchise Development.</t>
        </is>
      </c>
      <c r="AL60" s="518" t="inlineStr">
        <is>
          <t>360° Painting (per Flick): "$40M+ system sales, 93% revenue growth in past 2 yrs" (2019 ref).
Now 136+ locations.</t>
        </is>
      </c>
      <c r="AM60" s="518" t="inlineStr">
        <is>
          <t>Score: TBD
Painting = direct competitor to That 1 Painter (ResiBrands) and Five Star Painting (Neighborly).</t>
        </is>
      </c>
      <c r="AN60" s="518" t="inlineStr">
        <is>
          <t>Joel Gotshall (VP 360 Painting)
Paul Flick (Founder &amp; CEO of original 2006 brand)
Gabe Colon (EVP Performance, ran training revamp)</t>
        </is>
      </c>
      <c r="AO60" s="555" t="inlineStr">
        <is>
          <t>🔗 KEY: Roxanne Conrad (PSB COO) was a former 360 Painting franchisee — ideal warm-intro path for any 360-specific FSM conversation.
👉 See Signal Intel: PSB section</t>
        </is>
      </c>
      <c r="AP60" s="555" t="inlineStr">
        <is>
          <t>PSB Annual Convention
PCA Expo (March)
Roxanne Conrad warm-intro path
👉 See Event Intelligence tab</t>
        </is>
      </c>
      <c r="AQ60" s="555" t="inlineStr">
        <is>
          <t>🎓 PSB:
• Joel Gotshall (former 360 Painting VP, NOW Owner of Paint Rx): Pending school. Operator path — exited to own franchisee.
• Paul Flick (CEO/Founder): University of Windsor BA Political Science 1988-1991 ⭐ Canadian
• David Raymond (PSB COO): Saint Leo University + USMC veteran ⭐
• Roxanne Conrad (COO): 360 Painting franchisee origin
👉 See Signal Intel: PSB</t>
        </is>
      </c>
    </row>
    <row r="61" ht="280" customHeight="1" s="435">
      <c r="A61" s="235" t="n">
        <v>58</v>
      </c>
      <c r="B61" s="236" t="inlineStr">
        <is>
          <t>ProLift Garage Doors</t>
        </is>
      </c>
      <c r="C61" s="237" t="inlineStr">
        <is>
          <t>Premium Service Brands</t>
        </is>
      </c>
      <c r="D61" s="238" t="inlineStr">
        <is>
          <t>Garage Doors</t>
        </is>
      </c>
      <c r="E61" s="239" t="n">
        <v>150</v>
      </c>
      <c r="F61" s="239" t="n">
        <v>4</v>
      </c>
      <c r="G61" s="240" t="inlineStr">
        <is>
          <t>Greenfield</t>
        </is>
      </c>
      <c r="H61" s="19" t="inlineStr">
        <is>
          <t>TBD</t>
        </is>
      </c>
      <c r="I61" s="203" t="inlineStr">
        <is>
          <t>NONE — Greenfield confirmed — PSB brand, no FSM mandate; garage door install/repair model</t>
        </is>
      </c>
      <c r="J61" s="110" t="inlineStr">
        <is>
          <t>Greenfield / Paper</t>
        </is>
      </c>
      <c r="K61" s="120" t="inlineStr">
        <is>
          <t>🟢 None</t>
        </is>
      </c>
      <c r="L61" s="117" t="inlineStr">
        <is>
          <t>Validate with Andrea</t>
        </is>
      </c>
      <c r="M61" s="117" t="inlineStr">
        <is>
          <t>Validate with Andrea</t>
        </is>
      </c>
      <c r="N61" s="117" t="inlineStr">
        <is>
          <t>Validate via FDD</t>
        </is>
      </c>
      <c r="O61" s="109" t="inlineStr">
        <is>
          <t>❓ Unknown</t>
        </is>
      </c>
      <c r="P61" s="238" t="inlineStr">
        <is>
          <t>(Franchisee Owner)</t>
        </is>
      </c>
      <c r="Q61" s="238" t="inlineStr">
        <is>
          <t>Owner/Operator</t>
        </is>
      </c>
      <c r="R61" s="169" t="inlineStr">
        <is>
          <t>TBD — ProLift brand president
← Approach via Paul Flick (CEO PSB)
Kyle Christie — VP Franchise Development, ProLift</t>
        </is>
      </c>
      <c r="S61" s="169" t="inlineStr">
        <is>
          <t>TBD</t>
        </is>
      </c>
      <c r="T61" s="169" t="inlineStr">
        <is>
          <t>No confirmed GPS Insight relationship</t>
        </is>
      </c>
      <c r="U61" s="171" t="n"/>
      <c r="V61" s="241" t="n"/>
      <c r="W61" s="242" t="inlineStr">
        <is>
          <t>Profile + outreach</t>
        </is>
      </c>
      <c r="X61" s="242" t="n"/>
      <c r="Y61" s="243" t="inlineStr">
        <is>
          <t>Route-based dispatch fit</t>
        </is>
      </c>
      <c r="Z61" s="195" t="inlineStr">
        <is>
          <t>SOURCE: 2025 FDD — sharpsheets.io + franchisepayback.com
ITEM 19 — Unit Economics:
• Avg gross sales: $440,000/location (sharpsheets)
• 94 total franchised units as of 2024 (franchisepayback)
• Investment range: $113,600-$156,500
• Royalty: 7% + 2% marketing
• Garage door installation, repair, replacement — residential + commercial
• M-F 8-5 hours, no emergency calls (differentiator)
ITEM 11 — Technology:
PSB parent manages technology centrally
No specific FSM mandate found — GREENFIELD likely within PSB stack
Emergency dispatch not applicable (business hours only)
NOTE: Part of PSB portfolio. One PSB brand win = access to all 8 brands</t>
        </is>
      </c>
      <c r="AA61" s="193" t="inlineStr">
        <is>
          <t>USE: ROI Calculator — INSTALL/REPAIR MODEL
PRE-POPULATE:
• Avg revenue/unit: $440K
• Avg job: $500-$2,500 (repair/install)
• 94 units
KEY ANGLES:
• Digital estimates + photo documentation
• Same-day payment
• Scheduling optimization (business hours only)
• PSB portfolio play — one win = eight brands
• Susquehanna PE exit math</t>
        </is>
      </c>
      <c r="AB61" s="175" t="n"/>
      <c r="AC61" s="175" t="n"/>
      <c r="AD61" s="175" t="n"/>
      <c r="AE61" s="176" t="n">
        <v>44</v>
      </c>
      <c r="AF61" s="177" t="inlineStr">
        <is>
          <t>+15</t>
        </is>
      </c>
      <c r="AG61" s="184" t="inlineStr">
        <is>
          <t>59
🟡 QUEUE</t>
        </is>
      </c>
      <c r="AH61" s="555" t="inlineStr">
        <is>
          <t>Travis Nicolette, MBA (NEW Brand President) + David Raymond (PSB COO + dual-brand franchisee)
LinkedIn (Raymond): https://www.linkedin.com/in/davidraymond3/
Raymond: Saint Leo University 2009-2011 + USMC Tank Crewman veteran ⭐
Charlottesville VA.</t>
        </is>
      </c>
      <c r="AI61" s="555" t="inlineStr">
        <is>
          <t>tnicolette@premiumservicebrands.com</t>
        </is>
      </c>
      <c r="AJ61" s="555" t="inlineStr">
        <is>
          <t>Paul Flick (CEO/Founder)
https://www.linkedin.com/in/paul-e-flick-0a15186
pflick@premiumservicebrands.com
✓ DIRECT email via RocketReach.</t>
        </is>
      </c>
      <c r="AK61" s="555" t="inlineStr">
        <is>
          <t>Bryan Hill (EVP FD)
https://www.linkedin.com/in/brian-hill-82b60569/
bhill@premiumservicebrands.com
PSB EVP Franchise Development.</t>
        </is>
      </c>
      <c r="AL61" s="518" t="inlineStr">
        <is>
          <t>David Raymond (Scaling Secrets podcast):
"Leverage a single client acquisition across multiple brands. Bring in a customer for your painting platform, you can target that customer for garage doors, housekeeping, or another home service project."
Cross-brand customer thesis = exactly ServiceBridge job-data value prop.</t>
        </is>
      </c>
      <c r="AM61" s="518" t="inlineStr">
        <is>
          <t>★ HIGH PRIORITY P2.
David Raymond = COO + brand pres + franchisee. SINGLE most accessible PSB decision-maker. His cross-brand customer thesis is ServiceBridge native.
Approach as ANGLE 1 in PSB.</t>
        </is>
      </c>
      <c r="AN61" s="518" t="inlineStr">
        <is>
          <t>David Raymond (VP Ops + ProLift VP + COO PSB + personal franchisee)
Kyle Christie (VP Franchise Dev ProLift + Rubbish Works)
Dave Rychley (VP Brand Performance)</t>
        </is>
      </c>
      <c r="AO61" s="555" t="inlineStr">
        <is>
          <t>CEO Paul Flick + COO Roxanne Conrad (former 360 Painting franchisee). ⚠️ Nesto = internal multi-brand operating platform.
👉 See Signal Intel: PSB section</t>
        </is>
      </c>
      <c r="AP61" s="555" t="inlineStr">
        <is>
          <t>PSB Annual Convention (date/location TBD)
Atlanta training session (recurring)
IFA Annual (Feb)
👉 See Event Intelligence tab</t>
        </is>
      </c>
      <c r="AQ61" s="555" t="inlineStr">
        <is>
          <t>🎓 PSB:
• Travis Nicolette, MBA (NEW Brand Pres, ProLift franchisee promoted): MBA (school not specified)
• David Raymond (PSB COO + previous ProLift VP Operations + ProLift+Rubbish Works dual-brand franchisee): Saint Leo University 2009-2011 + USMC Tank Crewman veteran ⭐
• Paul Flick (PSB CEO): University of Windsor ⭐ Canadian
👉 See Signal Intel: PSB</t>
        </is>
      </c>
    </row>
    <row r="62" ht="280" customHeight="1" s="435">
      <c r="A62" s="235" t="n">
        <v>59</v>
      </c>
      <c r="B62" s="236" t="inlineStr">
        <is>
          <t>Maid Right</t>
        </is>
      </c>
      <c r="C62" s="237" t="inlineStr">
        <is>
          <t>Premium Service Brands</t>
        </is>
      </c>
      <c r="D62" s="238" t="inlineStr">
        <is>
          <t>Cleaning</t>
        </is>
      </c>
      <c r="E62" s="239" t="n">
        <v>150</v>
      </c>
      <c r="F62" s="239" t="n">
        <v>3</v>
      </c>
      <c r="G62" s="240" t="inlineStr">
        <is>
          <t>Greenfield</t>
        </is>
      </c>
      <c r="H62" s="19" t="inlineStr">
        <is>
          <t>TBD</t>
        </is>
      </c>
      <c r="I62" s="245" t="inlineStr">
        <is>
          <t>MED</t>
        </is>
      </c>
      <c r="J62" s="108" t="inlineStr">
        <is>
          <t>Housecall Pro / Jobber</t>
        </is>
      </c>
      <c r="K62" s="109" t="inlineStr">
        <is>
          <t>🟡 Medium</t>
        </is>
      </c>
      <c r="L62" s="117" t="inlineStr">
        <is>
          <t>Validate with Andrea</t>
        </is>
      </c>
      <c r="M62" s="117" t="inlineStr">
        <is>
          <t>Validate with Andrea</t>
        </is>
      </c>
      <c r="N62" s="117" t="inlineStr">
        <is>
          <t>Validate via FDD</t>
        </is>
      </c>
      <c r="O62" s="109" t="inlineStr">
        <is>
          <t>❓ Unknown</t>
        </is>
      </c>
      <c r="P62" s="238" t="inlineStr">
        <is>
          <t>(Franchisee Owner)</t>
        </is>
      </c>
      <c r="Q62" s="238" t="inlineStr">
        <is>
          <t>Owner/Operator</t>
        </is>
      </c>
      <c r="R62" s="169" t="inlineStr">
        <is>
          <t>TBD — Maid Right brand president
← Approach via Paul Flick (CEO PSB)
Brad Knieriem — VP Franchise Development, Maid Right</t>
        </is>
      </c>
      <c r="S62" s="169" t="inlineStr">
        <is>
          <t>TBD</t>
        </is>
      </c>
      <c r="T62" s="169" t="inlineStr">
        <is>
          <t>No confirmed GPS Insight relationship</t>
        </is>
      </c>
      <c r="U62" s="171" t="n"/>
      <c r="V62" s="241" t="n"/>
      <c r="W62" s="242" t="inlineStr">
        <is>
          <t>Profile + outreach</t>
        </is>
      </c>
      <c r="X62" s="242" t="n"/>
      <c r="Y62" s="243" t="inlineStr">
        <is>
          <t>DSO + invoicing story</t>
        </is>
      </c>
      <c r="Z62" s="192" t="inlineStr">
        <is>
          <t>SOURCE: sharpsheets.io + FDD Exchange 2025
ITEM 19 — Unit Economics:
• Residential + commercial cleaning franchise
• Part of PSB portfolio
• Investment range: est. $80K-$140K (PSB residential cleaning)
• Recurring subscription cleaning model
ITEM 11 — Technology:
PSB manages CRM centrally — check for FSM mandate
Cleaning = route-based, recurring appointments
VERIFY: MaidPro (Threshold) has proprietary FSM — does PSB Maid Right?
NOTE: Cleaning franchise. Route-based recurring = ServiceBridge fit</t>
        </is>
      </c>
      <c r="AA62" s="193" t="inlineStr">
        <is>
          <t>VERIFY: PSB cleaning CRM — conflict risk?
KEY ANGLES:
• Route scheduling optimization
• 2-way SMS job confirmations = no-shows
• Recurring appointment management
• PSB portfolio play</t>
        </is>
      </c>
      <c r="AB62" s="175" t="n"/>
      <c r="AC62" s="175" t="n"/>
      <c r="AD62" s="175" t="n"/>
      <c r="AE62" s="183" t="n">
        <v>46</v>
      </c>
      <c r="AF62" s="177" t="inlineStr">
        <is>
          <t>+15</t>
        </is>
      </c>
      <c r="AG62" s="184" t="inlineStr">
        <is>
          <t>61
🟡 QUEUE</t>
        </is>
      </c>
      <c r="AH62" s="555" t="inlineStr">
        <is>
          <t>Ty Anderson (VP of Maid Right)
LinkedIn: https://www.linkedin.com/in/ty-anderson-maidright/
School pending. Paul Flick (PSB CEO oversight): University of Windsor ⭐ Canadian</t>
        </is>
      </c>
      <c r="AI62" s="555" t="inlineStr">
        <is>
          <t>tanderson@premiumservicebrands.com</t>
        </is>
      </c>
      <c r="AJ62" s="555" t="inlineStr">
        <is>
          <t>Paul Flick (CEO/Founder)
https://www.linkedin.com/in/paul-e-flick-0a15186
pflick@premiumservicebrands.com
✓ DIRECT email via RocketReach.</t>
        </is>
      </c>
      <c r="AK62" s="555" t="inlineStr">
        <is>
          <t>Bryan Hill (EVP FD)
https://www.linkedin.com/in/brian-hill-82b60569/
bhill@premiumservicebrands.com
PSB EVP Franchise Development.</t>
        </is>
      </c>
      <c r="AL62" s="518" t="inlineStr">
        <is>
          <t>Cleaning vertical = lower FSM priority.
Maid Right joined PSB 2018.</t>
        </is>
      </c>
      <c r="AM62" s="518" t="inlineStr">
        <is>
          <t>Score: TBD
Lower priority cleaning vertical.</t>
        </is>
      </c>
      <c r="AN62" s="518" t="inlineStr">
        <is>
          <t>Ty Anderson (VP Maid Right)
Brad Knieriem (VP Franchise Dev Maid Right + Window Gang)
Samantha Lin (VP Marketing)
Courtney Spain (Director Marketing)</t>
        </is>
      </c>
      <c r="AO62" s="555" t="inlineStr">
        <is>
          <t>CEO Paul Flick + COO Roxanne Conrad (former 360 Painting franchisee). ⚠️ Nesto = internal multi-brand operating platform.
👉 See Signal Intel: PSB section</t>
        </is>
      </c>
      <c r="AP62" s="555" t="inlineStr">
        <is>
          <t>PSB Annual Convention (date/location TBD)
Atlanta training session (recurring)
IFA Annual (Feb)
👉 See Event Intelligence tab</t>
        </is>
      </c>
      <c r="AQ62" s="555" t="inlineStr">
        <is>
          <t>🎓 PSB:
• Ty Anderson (VP Maid Right): Pending verification
• Paul Flick (CEO/Founder): University of Windsor BA Political Science ⭐ Canadian
• David Raymond (PSB COO): Saint Leo University + USMC ⭐
👉 See Signal Intel: PSB</t>
        </is>
      </c>
    </row>
    <row r="63" ht="280" customHeight="1" s="435">
      <c r="A63" s="235" t="n">
        <v>60</v>
      </c>
      <c r="B63" s="236" t="inlineStr">
        <is>
          <t>Window Gang</t>
        </is>
      </c>
      <c r="C63" s="237" t="inlineStr">
        <is>
          <t>Premium Service Brands</t>
        </is>
      </c>
      <c r="D63" s="238" t="inlineStr">
        <is>
          <t>Window/Exterior</t>
        </is>
      </c>
      <c r="E63" s="239" t="n">
        <v>100</v>
      </c>
      <c r="F63" s="239" t="n">
        <v>3</v>
      </c>
      <c r="G63" s="240" t="inlineStr">
        <is>
          <t>Greenfield</t>
        </is>
      </c>
      <c r="H63" s="19" t="inlineStr">
        <is>
          <t>TBD</t>
        </is>
      </c>
      <c r="I63" s="245" t="inlineStr">
        <is>
          <t>MED</t>
        </is>
      </c>
      <c r="J63" s="110" t="inlineStr">
        <is>
          <t>Greenfield / Paper</t>
        </is>
      </c>
      <c r="K63" s="120" t="inlineStr">
        <is>
          <t>🟢 None</t>
        </is>
      </c>
      <c r="L63" s="117" t="inlineStr">
        <is>
          <t>Validate with Andrea</t>
        </is>
      </c>
      <c r="M63" s="117" t="inlineStr">
        <is>
          <t>Validate with Andrea</t>
        </is>
      </c>
      <c r="N63" s="117" t="inlineStr">
        <is>
          <t>Validate via FDD</t>
        </is>
      </c>
      <c r="O63" s="109" t="inlineStr">
        <is>
          <t>❓ Unknown</t>
        </is>
      </c>
      <c r="P63" s="238" t="inlineStr">
        <is>
          <t>(Franchisee Owner)</t>
        </is>
      </c>
      <c r="Q63" s="238" t="inlineStr">
        <is>
          <t>Owner/Operator</t>
        </is>
      </c>
      <c r="R63" s="169" t="inlineStr">
        <is>
          <t>TBD — Window Gang brand president
← Approach via Paul Flick (CEO PSB)
Brad Knieriem — VP Franchise Development, Window Gang</t>
        </is>
      </c>
      <c r="S63" s="169" t="inlineStr">
        <is>
          <t>TBD</t>
        </is>
      </c>
      <c r="T63" s="169" t="inlineStr">
        <is>
          <t>No confirmed GPS Insight relationship</t>
        </is>
      </c>
      <c r="U63" s="171" t="n"/>
      <c r="V63" s="241" t="n"/>
      <c r="W63" s="242" t="inlineStr">
        <is>
          <t>Profile + outreach</t>
        </is>
      </c>
      <c r="X63" s="242" t="n"/>
      <c r="Y63" s="243" t="inlineStr">
        <is>
          <t>Exterior window + gutter cleaning</t>
        </is>
      </c>
      <c r="Z63" s="195" t="inlineStr">
        <is>
          <t>SOURCE: FDD Exchange + sharpsheets.io 2025
ITEM 19 — Unit Economics:
• Window + gutter cleaning franchise
• Part of PSB portfolio
• Recurring residential + commercial model
• Investment range: est. $75K-$130K
ITEM 11 — Technology:
PSB CRM-based — check for conflict
Route-based seasonal cleaning
NOTE: PSB portfolio brand. Greenfield likely within PSB tech stack</t>
        </is>
      </c>
      <c r="AA63" s="193" t="inlineStr">
        <is>
          <t>KEY ANGLES:
• Route optimization = more stops per day
• 2-way SMS job confirmations
• PSB portfolio play</t>
        </is>
      </c>
      <c r="AB63" s="175" t="n"/>
      <c r="AC63" s="175" t="n"/>
      <c r="AD63" s="175" t="n"/>
      <c r="AE63" s="183" t="n">
        <v>46</v>
      </c>
      <c r="AF63" s="177" t="inlineStr">
        <is>
          <t>+15</t>
        </is>
      </c>
      <c r="AG63" s="184" t="inlineStr">
        <is>
          <t>61
🟡 QUEUE</t>
        </is>
      </c>
      <c r="AH63" s="555" t="inlineStr">
        <is>
          <t>Tim McCullen (Founder &amp; Brand President Window Gang)
LinkedIn: https://www.linkedin.com/in/tim-mccullen/
★ Operator path 37+ years (no college confirmed)
Built brand 37 yrs, sold to PSB Aug 2023, retains 10 corp locations as franchisee
Taylorsville, NORTH CAROLINA ⭐ NC connection</t>
        </is>
      </c>
      <c r="AI63" s="555" t="inlineStr">
        <is>
          <t>tmccullen@premiumservicebrands.com</t>
        </is>
      </c>
      <c r="AJ63" s="555" t="inlineStr">
        <is>
          <t>Paul Flick (CEO/Founder)
https://www.linkedin.com/in/paul-e-flick-0a15186
pflick@premiumservicebrands.com
✓ DIRECT email via RocketReach.</t>
        </is>
      </c>
      <c r="AK63" s="555" t="inlineStr">
        <is>
          <t>Bryan Hill (EVP FD)
https://www.linkedin.com/in/brian-hill-82b60569/
bhill@premiumservicebrands.com
PSB EVP Franchise Development.</t>
        </is>
      </c>
      <c r="AL63" s="518" t="inlineStr">
        <is>
          <t>Window cleaning = direct overlap with Pink's, Shine, Window Genie, Window Hero.</t>
        </is>
      </c>
      <c r="AM63" s="518" t="inlineStr">
        <is>
          <t>Score: TBD</t>
        </is>
      </c>
      <c r="AN63" s="518" t="inlineStr">
        <is>
          <t>Brad Knieriem (VP Franchise Dev Window Gang + Maid Right)</t>
        </is>
      </c>
      <c r="AO63" s="555" t="inlineStr">
        <is>
          <t>CEO Paul Flick + COO Roxanne Conrad (former 360 Painting franchisee). ⚠️ Nesto = internal multi-brand operating platform.
👉 See Signal Intel: PSB section</t>
        </is>
      </c>
      <c r="AP63" s="555" t="inlineStr">
        <is>
          <t>PSB Annual Convention (date/location TBD)
Atlanta training session (recurring)
IFA Annual (Feb)
👉 See Event Intelligence tab</t>
        </is>
      </c>
      <c r="AQ63" s="555" t="inlineStr">
        <is>
          <t>🎓 PSB:
• Tim McCullen (Window Gang founder, now PSB Brand Lead): Operator path — built Window Gang to 229 locations + 37 years before selling to PSB Aug 2023. Retains 10 corporate locations as franchisee. Taylorsville, North Carolina ⭐ NC connection!
• Paul Flick (PSB CEO): University of Windsor ⭐
• PSB acquired Renew Crew rebranded to Window Gang
👉 See Signal Intel: PSB</t>
        </is>
      </c>
    </row>
    <row r="64" ht="280" customHeight="1" s="435">
      <c r="A64" s="235" t="n">
        <v>61</v>
      </c>
      <c r="B64" s="236" t="inlineStr">
        <is>
          <t>Rubbish Works</t>
        </is>
      </c>
      <c r="C64" s="237" t="inlineStr">
        <is>
          <t>Premium Service Brands</t>
        </is>
      </c>
      <c r="D64" s="238" t="inlineStr">
        <is>
          <t>Junk Removal</t>
        </is>
      </c>
      <c r="E64" s="239" t="n">
        <v>100</v>
      </c>
      <c r="F64" s="239" t="n">
        <v>3</v>
      </c>
      <c r="G64" s="240" t="inlineStr">
        <is>
          <t>Greenfield</t>
        </is>
      </c>
      <c r="H64" s="19" t="inlineStr">
        <is>
          <t>TBD</t>
        </is>
      </c>
      <c r="I64" s="245" t="inlineStr">
        <is>
          <t>MED</t>
        </is>
      </c>
      <c r="J64" s="110" t="inlineStr">
        <is>
          <t>Greenfield / Paper</t>
        </is>
      </c>
      <c r="K64" s="120" t="inlineStr">
        <is>
          <t>🟢 None</t>
        </is>
      </c>
      <c r="L64" s="117" t="inlineStr">
        <is>
          <t>Validate with Andrea</t>
        </is>
      </c>
      <c r="M64" s="117" t="inlineStr">
        <is>
          <t>Validate with Andrea</t>
        </is>
      </c>
      <c r="N64" s="117" t="inlineStr">
        <is>
          <t>Validate via FDD</t>
        </is>
      </c>
      <c r="O64" s="109" t="inlineStr">
        <is>
          <t>❓ Unknown</t>
        </is>
      </c>
      <c r="P64" s="238" t="inlineStr">
        <is>
          <t>(Franchisee Owner)</t>
        </is>
      </c>
      <c r="Q64" s="238" t="inlineStr">
        <is>
          <t>Owner/Operator</t>
        </is>
      </c>
      <c r="R64" s="169" t="inlineStr">
        <is>
          <t>TBD — franchisee owner/operator</t>
        </is>
      </c>
      <c r="S64" s="169" t="inlineStr">
        <is>
          <t>TBD — office manager / dispatcher</t>
        </is>
      </c>
      <c r="T64" s="169" t="inlineStr">
        <is>
          <t>TBD — verify GPS Insight customer status via Andrea</t>
        </is>
      </c>
      <c r="U64" s="171" t="n"/>
      <c r="V64" s="241" t="n"/>
      <c r="W64" s="242" t="inlineStr">
        <is>
          <t>Profile + outreach</t>
        </is>
      </c>
      <c r="X64" s="242" t="n"/>
      <c r="Y64" s="243" t="inlineStr">
        <is>
          <t>Junk removal — truck route model</t>
        </is>
      </c>
      <c r="Z64" s="195" t="inlineStr">
        <is>
          <t>SOURCE: FDD Exchange + franzimp 2025
ITEM 19 — Unit Economics:
• Junk removal + dumpster services
• Part of PSB portfolio
• Dispatch model with large item removal
• Investment range: est. $80K-$150K
ITEM 11 — Technology:
PSB CRM-based — check for conflict
On-demand dispatch + scheduling
NOTE: PSB portfolio brand. ServiceBridge fit for job dispatch</t>
        </is>
      </c>
      <c r="AA64" s="193" t="inlineStr">
        <is>
          <t>KEY ANGLES:
• On-demand dispatch optimization
• Job documentation for commercial accounts
• PSB portfolio play</t>
        </is>
      </c>
      <c r="AB64" s="175" t="n"/>
      <c r="AC64" s="175" t="n"/>
      <c r="AD64" s="175" t="n"/>
      <c r="AE64" s="176" t="n">
        <v>44</v>
      </c>
      <c r="AF64" s="177" t="inlineStr">
        <is>
          <t>+15</t>
        </is>
      </c>
      <c r="AG64" s="184" t="inlineStr">
        <is>
          <t>59
🟡 QUEUE</t>
        </is>
      </c>
      <c r="AH64" s="555" t="inlineStr">
        <is>
          <t>David Raymond (PSB COO + dual-brand franchisee)
LinkedIn: https://www.linkedin.com/in/davidraymond3/
Saint Leo University 2009-2011 + USMC Tank Crewman veteran ⭐
Charlottesville VA.</t>
        </is>
      </c>
      <c r="AI64" s="555" t="inlineStr">
        <is>
          <t>draymond@premiumservicebrands.com</t>
        </is>
      </c>
      <c r="AJ64" s="555" t="inlineStr">
        <is>
          <t>Paul Flick (CEO/Founder)
https://www.linkedin.com/in/paul-e-flick-0a15186
pflick@premiumservicebrands.com
✓ DIRECT email via RocketReach.</t>
        </is>
      </c>
      <c r="AK64" s="555" t="inlineStr">
        <is>
          <t>Bryan Hill (EVP FD)
https://www.linkedin.com/in/brian-hill-82b60569/
bhill@premiumservicebrands.com
PSB EVP Franchise Development.</t>
        </is>
      </c>
      <c r="AL64" s="518" t="inlineStr">
        <is>
          <t>David Raymond is a Rubbish Works franchisee personally.
Junk removal van fleet = strong telematics fit.</t>
        </is>
      </c>
      <c r="AM64" s="518" t="inlineStr">
        <is>
          <t>Score: TBD
★ David Raymond personally invested = owner-operator perspective. Same approach as ProLift.</t>
        </is>
      </c>
      <c r="AN64" s="518" t="inlineStr">
        <is>
          <t>David Raymond (personally franchisee)
Kyle Christie (VP Franchise Dev)</t>
        </is>
      </c>
      <c r="AO64" s="555" t="inlineStr">
        <is>
          <t>CEO Paul Flick + COO Roxanne Conrad (former 360 Painting franchisee). ⚠️ Nesto = internal multi-brand operating platform.
👉 See Signal Intel: PSB section</t>
        </is>
      </c>
      <c r="AP64" s="555" t="inlineStr">
        <is>
          <t>PSB Annual Convention (date/location TBD)
Atlanta training session (recurring)
IFA Annual (Feb)
👉 See Event Intelligence tab</t>
        </is>
      </c>
      <c r="AQ64" s="555" t="inlineStr">
        <is>
          <t>🎓 PSB:
• David Raymond (PSB COO + dual-brand Rubbish Works/ProLift franchisee in Charlottesville VA): Saint Leo University 2009-2011 + USMC Tank Crewman veteran ⭐
• Paul Flick (PSB CEO): University of Windsor BA ⭐ Canadian
👉 See Signal Intel: PSB</t>
        </is>
      </c>
    </row>
    <row r="65" ht="280" customHeight="1" s="435">
      <c r="A65" s="235" t="n">
        <v>62</v>
      </c>
      <c r="B65" s="236" t="inlineStr">
        <is>
          <t>The Grout Medic</t>
        </is>
      </c>
      <c r="C65" s="237" t="inlineStr">
        <is>
          <t>Premium Service Brands</t>
        </is>
      </c>
      <c r="D65" s="238" t="inlineStr">
        <is>
          <t>Tile/Grout</t>
        </is>
      </c>
      <c r="E65" s="239" t="n">
        <v>100</v>
      </c>
      <c r="F65" s="239" t="n">
        <v>3</v>
      </c>
      <c r="G65" s="240" t="inlineStr">
        <is>
          <t>Greenfield</t>
        </is>
      </c>
      <c r="H65" s="19" t="inlineStr">
        <is>
          <t>TBD</t>
        </is>
      </c>
      <c r="I65" s="246" t="inlineStr">
        <is>
          <t>LOW</t>
        </is>
      </c>
      <c r="J65" s="110" t="inlineStr">
        <is>
          <t>Greenfield / Paper</t>
        </is>
      </c>
      <c r="K65" s="120" t="inlineStr">
        <is>
          <t>🟢 None</t>
        </is>
      </c>
      <c r="L65" s="117" t="inlineStr">
        <is>
          <t>Validate with Andrea</t>
        </is>
      </c>
      <c r="M65" s="117" t="inlineStr">
        <is>
          <t>Validate with Andrea</t>
        </is>
      </c>
      <c r="N65" s="117" t="inlineStr">
        <is>
          <t>Validate via FDD</t>
        </is>
      </c>
      <c r="O65" s="109" t="inlineStr">
        <is>
          <t>❓ Unknown</t>
        </is>
      </c>
      <c r="P65" s="238" t="inlineStr">
        <is>
          <t>(Franchisee Owner)</t>
        </is>
      </c>
      <c r="Q65" s="238" t="inlineStr">
        <is>
          <t>Owner/Operator</t>
        </is>
      </c>
      <c r="R65" s="169" t="inlineStr">
        <is>
          <t>TBD — franchisee owner/operator</t>
        </is>
      </c>
      <c r="S65" s="169" t="inlineStr">
        <is>
          <t>TBD — office manager / dispatcher</t>
        </is>
      </c>
      <c r="T65" s="169" t="inlineStr">
        <is>
          <t>TBD — verify GPS Insight customer status via Andrea</t>
        </is>
      </c>
      <c r="U65" s="171" t="n"/>
      <c r="V65" s="241" t="n"/>
      <c r="W65" s="242" t="inlineStr">
        <is>
          <t>Profile + outreach</t>
        </is>
      </c>
      <c r="X65" s="242" t="n"/>
      <c r="Y65" s="243" t="inlineStr">
        <is>
          <t>Small crew specialty service</t>
        </is>
      </c>
      <c r="Z65" s="195" t="inlineStr">
        <is>
          <t>SOURCE: FDD Exchange + franchise directories 2025
ITEM 19 — Unit Economics:
• Grout + tile restoration — similar model to Sir Grout
• Part of PSB portfolio
• Project-based model
• Investment range: est. $75K-$120K
ITEM 11 — Technology:
PSB CRM-based
Project-based model, estimate to invoice
NOTE: PSB portfolio brand. Greenfield likely</t>
        </is>
      </c>
      <c r="AA65" s="193" t="inlineStr">
        <is>
          <t>KEY ANGLES:
• Digital estimate + photo capture
• PSB portfolio play</t>
        </is>
      </c>
      <c r="AB65" s="175" t="n"/>
      <c r="AC65" s="175" t="n"/>
      <c r="AD65" s="175" t="n"/>
      <c r="AE65" s="176" t="n">
        <v>44</v>
      </c>
      <c r="AF65" s="177" t="inlineStr">
        <is>
          <t>+15</t>
        </is>
      </c>
      <c r="AG65" s="184" t="inlineStr">
        <is>
          <t>59
🟡 QUEUE</t>
        </is>
      </c>
      <c r="AH65" s="555" t="inlineStr">
        <is>
          <t>Justin Penard (VP Franchise Development The Grout Medic, Oct 2024 NEW)
LinkedIn: https://www.linkedin.com/in/justinpenard/
Texas Tech University ⭐. Dallas. Decade franchising.
Recruited by Neighborly while selling employee benefits in Houston. Joined PSB.</t>
        </is>
      </c>
      <c r="AI65" s="555" t="inlineStr">
        <is>
          <t>jctimmons@premiumservicebrands.com</t>
        </is>
      </c>
      <c r="AJ65" s="555" t="inlineStr">
        <is>
          <t>Paul Flick (CEO/Founder)
https://www.linkedin.com/in/paul-e-flick-0a15186
pflick@premiumservicebrands.com
✓ DIRECT email via RocketReach.</t>
        </is>
      </c>
      <c r="AK65" s="555" t="inlineStr">
        <is>
          <t>Bryan Hill (EVP FD)
https://www.linkedin.com/in/brian-hill-82b60569/
bhill@premiumservicebrands.com
PSB EVP Franchise Development.</t>
        </is>
      </c>
      <c r="AL65" s="518" t="inlineStr">
        <is>
          <t>Hard surface restoration = direct competitor to Sir Grout (Threshold).</t>
        </is>
      </c>
      <c r="AM65" s="518" t="inlineStr">
        <is>
          <t>Score: TBD</t>
        </is>
      </c>
      <c r="AN65" s="518" t="inlineStr">
        <is>
          <t>Acquired 2021 (63-unit at acquisition)
Dave Rychley (VP Brand Performance)
Gabe Colon (EVP Performance)</t>
        </is>
      </c>
      <c r="AO65" s="555" t="inlineStr">
        <is>
          <t>CEO Paul Flick + COO Roxanne Conrad (former 360 Painting franchisee). ⚠️ Nesto = internal multi-brand operating platform.
👉 See Signal Intel: PSB section</t>
        </is>
      </c>
      <c r="AP65" s="555" t="inlineStr">
        <is>
          <t>PSB Annual Convention (date/location TBD)
Atlanta training session (recurring)
IFA Annual (Feb)
👉 See Event Intelligence tab</t>
        </is>
      </c>
      <c r="AQ65" s="555" t="inlineStr">
        <is>
          <t>🎓 PSB:
• Justin Penard (VP Franchise Development, joined Oct 2024): Texas Tech University ⭐. Dallas. Decade of franchising experience. Started franchising recruited by Neighborly while selling employee benefits in Houston.
• Brand of the Year 2024 announcement at PSB convention.
• Paul Flick (PSB CEO): University of Windsor ⭐
👉 See Signal Intel: PSB</t>
        </is>
      </c>
    </row>
    <row r="66" ht="280" customHeight="1" s="435">
      <c r="A66" s="235" t="n">
        <v>63</v>
      </c>
      <c r="B66" s="236" t="inlineStr">
        <is>
          <t>House Doctors</t>
        </is>
      </c>
      <c r="C66" s="237" t="inlineStr">
        <is>
          <t>Premium Service Brands</t>
        </is>
      </c>
      <c r="D66" s="238" t="inlineStr">
        <is>
          <t>Handyman</t>
        </is>
      </c>
      <c r="E66" s="239" t="n">
        <v>100</v>
      </c>
      <c r="F66" s="239" t="n">
        <v>3</v>
      </c>
      <c r="G66" s="240" t="inlineStr">
        <is>
          <t>Greenfield</t>
        </is>
      </c>
      <c r="H66" s="19" t="inlineStr">
        <is>
          <t>TBD</t>
        </is>
      </c>
      <c r="I66" s="245" t="inlineStr">
        <is>
          <t>MED</t>
        </is>
      </c>
      <c r="J66" s="110" t="inlineStr">
        <is>
          <t>Greenfield / Paper</t>
        </is>
      </c>
      <c r="K66" s="120" t="inlineStr">
        <is>
          <t>🟢 None</t>
        </is>
      </c>
      <c r="L66" s="117" t="inlineStr">
        <is>
          <t>Validate with Andrea</t>
        </is>
      </c>
      <c r="M66" s="117" t="inlineStr">
        <is>
          <t>Validate with Andrea</t>
        </is>
      </c>
      <c r="N66" s="117" t="inlineStr">
        <is>
          <t>Validate via FDD</t>
        </is>
      </c>
      <c r="O66" s="109" t="inlineStr">
        <is>
          <t>❓ Unknown</t>
        </is>
      </c>
      <c r="P66" s="238" t="inlineStr">
        <is>
          <t>(Franchisee Owner)</t>
        </is>
      </c>
      <c r="Q66" s="238" t="inlineStr">
        <is>
          <t>Owner/Operator</t>
        </is>
      </c>
      <c r="R66" s="169" t="inlineStr">
        <is>
          <t>TBD — House Doctors brand president
← Approach via Paul Flick (CEO PSB)</t>
        </is>
      </c>
      <c r="S66" s="169" t="inlineStr">
        <is>
          <t>TBD</t>
        </is>
      </c>
      <c r="T66" s="169" t="inlineStr">
        <is>
          <t>No confirmed GPS Insight relationship</t>
        </is>
      </c>
      <c r="U66" s="171" t="n"/>
      <c r="V66" s="241" t="n"/>
      <c r="W66" s="242" t="inlineStr">
        <is>
          <t>Profile + outreach</t>
        </is>
      </c>
      <c r="X66" s="242" t="n"/>
      <c r="Y66" s="243" t="inlineStr">
        <is>
          <t>Handyman multi-trade service</t>
        </is>
      </c>
      <c r="Z66" s="195" t="inlineStr">
        <is>
          <t>SOURCE: FDD Exchange + franchise directories 2025
ITEM 19 — Unit Economics:
• Handyman + home repair services
• Part of PSB portfolio
• Multi-service residential model
• Investment range: est. $75K-$120K
ITEM 11 — Technology:
PSB CRM-based
Multi-service scheduling = ServiceBridge fit
NOTE: PSB portfolio brand. ServiceBridge natural fit</t>
        </is>
      </c>
      <c r="AA66" s="193" t="inlineStr">
        <is>
          <t>KEY ANGLES:
• Multi-service scheduling + dispatch
• 2-way SMS job confirmations
• PSB portfolio play</t>
        </is>
      </c>
      <c r="AB66" s="175" t="n"/>
      <c r="AC66" s="175" t="n"/>
      <c r="AD66" s="175" t="n"/>
      <c r="AE66" s="176" t="n">
        <v>44</v>
      </c>
      <c r="AF66" s="177" t="inlineStr">
        <is>
          <t>+15</t>
        </is>
      </c>
      <c r="AG66" s="184" t="inlineStr">
        <is>
          <t>59
🟡 QUEUE</t>
        </is>
      </c>
      <c r="AH66" s="555" t="inlineStr">
        <is>
          <t>Ann Lilly (Brand Lead, House Doctors)
LinkedIn: https://www.linkedin.com/in/ann-lilly-b15810a/
School pending direct verification (Threshold operator path).</t>
        </is>
      </c>
      <c r="AI66" s="555" t="inlineStr">
        <is>
          <t>alilly@premiumservicebrands.com</t>
        </is>
      </c>
      <c r="AJ66" s="555" t="inlineStr">
        <is>
          <t>Paul Flick (CEO/Founder)
https://www.linkedin.com/in/paul-e-flick-0a15186
pflick@premiumservicebrands.com
✓ DIRECT email via RocketReach.</t>
        </is>
      </c>
      <c r="AK66" s="555" t="inlineStr">
        <is>
          <t>Bryan Hill (EVP FD)
https://www.linkedin.com/in/brian-hill-82b60569/
bhill@premiumservicebrands.com
PSB EVP Franchise Development.</t>
        </is>
      </c>
      <c r="AL66" s="518" t="inlineStr">
        <is>
          <t>Handyman vertical = competitor to Mr. Handyman (Neighborly), Monty's Handyman (ResiBrands).</t>
        </is>
      </c>
      <c r="AM66" s="518" t="inlineStr">
        <is>
          <t>Score: TBD</t>
        </is>
      </c>
      <c r="AN66" s="518" t="inlineStr">
        <is>
          <t>Ann Lilly (Brand Lead House Doctors)
Jim Hunter (former CEO, transition role)
Roxanne Conrad (PSB COO)
Paul Flick (CEO)</t>
        </is>
      </c>
      <c r="AO66" s="555" t="inlineStr">
        <is>
          <t>Senior demographic focus (PSB launched national Certified Aging-in-Place Services 2024). Lower fleet intensity than HVAC/plumbing.
👉 See Signal Intel: PSB section</t>
        </is>
      </c>
      <c r="AP66" s="555" t="inlineStr">
        <is>
          <t>PSB Annual Convention (date/location TBD)
Atlanta training session (recurring)
IFA Annual (Feb)
👉 See Event Intelligence tab</t>
        </is>
      </c>
      <c r="AQ66" s="555" t="inlineStr">
        <is>
          <t>🎓 PSB:
• Ann Lilly (Brand Lead): Pending direct verification
• Paul Flick (PSB CEO): University of Windsor ⭐ Canadian
• David Raymond (PSB COO): Saint Leo University + USMC ⭐
👉 See Signal Intel: PSB</t>
        </is>
      </c>
    </row>
    <row r="67" ht="280" customHeight="1" s="435">
      <c r="A67" s="247" t="n">
        <v>64</v>
      </c>
      <c r="B67" s="248" t="inlineStr">
        <is>
          <t>Mosquito Shield</t>
        </is>
      </c>
      <c r="C67" s="249" t="inlineStr">
        <is>
          <t>Five Star Franchising</t>
        </is>
      </c>
      <c r="D67" s="250" t="inlineStr">
        <is>
          <t>Pest Control</t>
        </is>
      </c>
      <c r="E67" s="251" t="n">
        <v>200</v>
      </c>
      <c r="F67" s="251" t="n">
        <v>3</v>
      </c>
      <c r="G67" s="252" t="inlineStr">
        <is>
          <t>Greenfield</t>
        </is>
      </c>
      <c r="H67" s="19" t="inlineStr">
        <is>
          <t>TBD</t>
        </is>
      </c>
      <c r="I67" s="182" t="inlineStr">
        <is>
          <t>VERIFY — FieldRoutes likely — multiple software approved per FDD; verify with Michael Moorhouse before outreach</t>
        </is>
      </c>
      <c r="J67" s="117" t="inlineStr">
        <is>
          <t>FieldRoutes possible</t>
        </is>
      </c>
      <c r="K67" s="109" t="inlineStr">
        <is>
          <t>🟡 Medium</t>
        </is>
      </c>
      <c r="L67" s="117" t="inlineStr">
        <is>
          <t>Validate with Andrea</t>
        </is>
      </c>
      <c r="M67" s="117" t="inlineStr">
        <is>
          <t>Validate with Andrea</t>
        </is>
      </c>
      <c r="N67" s="117" t="inlineStr">
        <is>
          <t>Validate via FDD</t>
        </is>
      </c>
      <c r="O67" s="109" t="inlineStr">
        <is>
          <t>❓ Unknown</t>
        </is>
      </c>
      <c r="P67" s="250" t="inlineStr">
        <is>
          <t>Michael Moorhouse</t>
        </is>
      </c>
      <c r="Q67" s="250" t="inlineStr">
        <is>
          <t>Brand President, Mosquito Shield</t>
        </is>
      </c>
      <c r="R67" s="168" t="inlineStr">
        <is>
          <t>Michael Moorhouse
Brand President, Mosquito Shield &amp; Decorate With Lights
Nearly 2 decades at brand. Led franchise launch 2013.
Email: michael@moshield.com  |  LinkedIn: active
⚠️ Verify FieldRoutes conflict FIRST before outreach</t>
        </is>
      </c>
      <c r="S67" s="244" t="inlineStr">
        <is>
          <t>Brad Maher
Vice President, Mosquito Shield
Long-time team member, elevated at Five Star acquisition 2022</t>
        </is>
      </c>
      <c r="T67" s="169" t="inlineStr">
        <is>
          <t>No confirmed GPS Insight relationship
Verify telematics provider before outreach</t>
        </is>
      </c>
      <c r="U67" s="171" t="n"/>
      <c r="V67" s="253" t="n"/>
      <c r="W67" s="254" t="inlineStr">
        <is>
          <t>Brand president outreach</t>
        </is>
      </c>
      <c r="X67" s="254" t="n"/>
      <c r="Y67" s="255" t="inlineStr">
        <is>
          <t>BRAND WEDGE into Five Star. Michael Moorhouse is primary contact</t>
        </is>
      </c>
      <c r="Z67" s="192" t="inlineStr">
        <is>
          <t>SOURCE: 2025 FDD (2024 data) — franchisechatter.com + franchisesidekick.com
ITEM 19 — Unit Economics:
• 81 franchise operators with 2+ seasons as of Dec 31, 2024
• 125 total franchised outlets in 441 territories
• 2024 avg revenue per customer: $715.26
• 2024 total customers: 35,902
• 2024 customer retention YOY: 85% (industry-leading)
• 2024 system-wide pre-pay $: $7.1M
• Investment range: $98,800-$139,000
• Royalty: 7% gross sales (min $283,500 gross by yr 5)
• #1 Pest Control Franchise Entrepreneur 2023, 2024, 2025
• Acquired by Five Star Franchising March 2022
ITEM 11 — Technology:
FIELDROUTES CONFLICT LIKELY: Multiple software platforms approved
FDD states approx 57% of customers had available data from approved software
Suggests FieldRoutes or similar is in use
Michael Moorhouse (Brand President) = KEY CONTACT to verify
TELEMATICS: Seasonal route model — GPS vehicle tracking likely in use
Check with Andrea: GPS Insight customer?</t>
        </is>
      </c>
      <c r="AA67" s="193" t="inlineStr">
        <is>
          <t>VERIFY FIELDROUTES FIRST — with Michael Moorhouse or Brad Maher
IF NO CONFLICT:
USE: ROI Calculator — RECURRING ROUTE MODEL
PRE-POPULATE:
• Avg revenue/customer: $715
• 85% customer retention
• 441 territories, seasonal route model
KEY ANGLES:
• Route optimization = more stops per day per season
• 2-way SMS job confirmations = no-shows
• Pre-pay conversion automation
• $715 x 35,902 customers = $25.7M system revenue
• 5% margin lift across system = $1.3M EBITDA case
• Princeton PE exit — Five Star Year 5
IF FIELDROUTES CONFIRMED:
• GPS Insight telematics standalone only
• Fleet tracking + driver safety angle</t>
        </is>
      </c>
      <c r="AB67" s="175" t="n"/>
      <c r="AC67" s="175" t="n"/>
      <c r="AD67" s="175" t="n"/>
      <c r="AE67" s="183" t="n">
        <v>49</v>
      </c>
      <c r="AF67" s="177" t="inlineStr">
        <is>
          <t>+25</t>
        </is>
      </c>
      <c r="AG67" s="184" t="inlineStr">
        <is>
          <t>74
🟡 QUEUE</t>
        </is>
      </c>
      <c r="AH67" s="555" t="inlineStr">
        <is>
          <t>Michael Moorhouse (Brand President since 2022)
LinkedIn: https://www.linkedin.com/in/michaelmoorhouse/
Holyoke Community College ⭐. North Attleboro MA. 20+ yr industry veteran.
Promoted from internal Mosquito Shield team at 2022 Five Star acquisition.</t>
        </is>
      </c>
      <c r="AI67" s="555" t="inlineStr">
        <is>
          <t>mmoorhouse@fivestarfranchising.com</t>
        </is>
      </c>
      <c r="AJ67" s="555" t="inlineStr">
        <is>
          <t>Steve White (CFO)
https://www.linkedin.com/in/steve-white-970bb9b/
swhite@fivestarfranchising.com
✓ U of Utah, CPA. Ex-CFO PermaPlate, ex-CFO Athletic Republic. Mountain biker.</t>
        </is>
      </c>
      <c r="AK67" s="555" t="inlineStr">
        <is>
          <t>Colt Florence (CDO NEW Feb 2026)
https://www.linkedin.com/in/colt-florence-591171b6/
cflorence@fivestarfranchising.com
🚨 NEW Feb 2026 — Mengason promoted to CRO; Colt Florence took over Franchise Dev. Ben Fox = NEW CGO.</t>
        </is>
      </c>
      <c r="AL67" s="518" t="inlineStr">
        <is>
          <t>Mosquito Shield acquired by Five Star in 2022.
Pest control fleet = telematics fit.
Five Star CTO Shane MacKay drives tech stack.</t>
        </is>
      </c>
      <c r="AM67" s="518" t="inlineStr">
        <is>
          <t>★ HIGH PRIORITY P2 — Mike already engaged.
Princeton Equity Yr 5 timing + brand-level approach. Already in active CRM.</t>
        </is>
      </c>
      <c r="AN67" s="518" t="inlineStr">
        <is>
          <t>Michael Moorhouse (Brand Pres Mosquito Shield)
Scott Abbott (CEO Five Star, linkedin.com/in/dscottabbott)
Chad Jones (COO)
Shane MacKay (CTO — drives unified tech)
Ben Fox (CGO — leads ProNexis + Customer Experience)</t>
        </is>
      </c>
      <c r="AO67" s="555" t="inlineStr">
        <is>
          <t>Brand Pres: Michael Moorhouse. #1 ranked pest control franchise in U.S. by Entrepreneur 2023, 2024, 2025 (3 consecutive years). 400+ territories. Heavy fleet/route-based.
👉 See Signal Intel: Five Star section</t>
        </is>
      </c>
      <c r="AP67" s="555" t="inlineStr">
        <is>
          <t>National Pest Management Association events (#1 ranked pest control 3 yrs running)
Five Star HSS at Caesars Palace Vegas
👉 See Event Intelligence tab</t>
        </is>
      </c>
      <c r="AQ67" s="555" t="inlineStr">
        <is>
          <t>🎓 FIVE STAR FRANCHISING:
• Michael Moorhouse (Brand Pres since 2022 acquisition): Holyoke Community College ⭐. North Attleboro MA. 20+ year industry veteran. Promoted from internal Mosquito Shield team at acquisition.
• Brad Maher (VP, also promoted at acquisition)
• David Briggs (Founder, now advisor): Pending school
• Scott Abbott (Five Star CEO): BYU Marriott MBA + U Manitoba ⭐⭐
• Chad Jones (Five Star COO): MacEwan University Canadian ⭐
• #1 ranked pest control franchise by Entrepreneur 3 consecutive years
👉 See Signal Intel: Five Star</t>
        </is>
      </c>
    </row>
    <row r="68" ht="280" customHeight="1" s="435">
      <c r="A68" s="247" t="n">
        <v>65</v>
      </c>
      <c r="B68" s="248" t="inlineStr">
        <is>
          <t>Bio-One</t>
        </is>
      </c>
      <c r="C68" s="249" t="inlineStr">
        <is>
          <t>Five Star Franchising</t>
        </is>
      </c>
      <c r="D68" s="250" t="inlineStr">
        <is>
          <t>Biohazard</t>
        </is>
      </c>
      <c r="E68" s="251" t="n">
        <v>150</v>
      </c>
      <c r="F68" s="251" t="n">
        <v>4</v>
      </c>
      <c r="G68" s="252" t="inlineStr">
        <is>
          <t>Greenfield</t>
        </is>
      </c>
      <c r="H68" s="19" t="inlineStr">
        <is>
          <t>TBD</t>
        </is>
      </c>
      <c r="I68" s="203" t="inlineStr">
        <is>
          <t>NONE — Greenfield confirmed — Five Star Franchising, no FSM mandate; biohazard cleanup insurance model</t>
        </is>
      </c>
      <c r="J68" s="110" t="inlineStr">
        <is>
          <t>Greenfield / Paper</t>
        </is>
      </c>
      <c r="K68" s="120" t="inlineStr">
        <is>
          <t>🟢 None</t>
        </is>
      </c>
      <c r="L68" s="117" t="inlineStr">
        <is>
          <t>Validate with Andrea</t>
        </is>
      </c>
      <c r="M68" s="117" t="inlineStr">
        <is>
          <t>Validate with Andrea</t>
        </is>
      </c>
      <c r="N68" s="117" t="inlineStr">
        <is>
          <t>Validate via FDD</t>
        </is>
      </c>
      <c r="O68" s="109" t="inlineStr">
        <is>
          <t>❓ Unknown</t>
        </is>
      </c>
      <c r="P68" s="250" t="inlineStr">
        <is>
          <t>(Franchisee Owner)</t>
        </is>
      </c>
      <c r="Q68" s="250" t="inlineStr">
        <is>
          <t>Owner/Operator</t>
        </is>
      </c>
      <c r="R68" s="169" t="inlineStr">
        <is>
          <t>TBD — Bio-One brand president
← Approach via Scott Abbott (CEO Five Star)</t>
        </is>
      </c>
      <c r="S68" s="169" t="inlineStr">
        <is>
          <t>TBD</t>
        </is>
      </c>
      <c r="T68" s="169" t="inlineStr">
        <is>
          <t>No confirmed GPS Insight relationship</t>
        </is>
      </c>
      <c r="U68" s="171" t="n"/>
      <c r="V68" s="253" t="n"/>
      <c r="W68" s="254" t="inlineStr">
        <is>
          <t>Profile + outreach</t>
        </is>
      </c>
      <c r="X68" s="254" t="n"/>
      <c r="Y68" s="255" t="inlineStr">
        <is>
          <t>Compliance + documentation critical fit</t>
        </is>
      </c>
      <c r="Z68" s="195" t="inlineStr">
        <is>
          <t>SOURCE: 2025 FDD (2024 data) — franchisechatter.com + sharpsheets.io
ITEM 19 — Unit Economics:
• 113 franchisees reporting 12+ months revenue (2024)
• Avg gross revenue: $423,000/location (sharpsheets)
• Top performer disclosed: $762,596 (franchisesidekick)
• 146 franchised locations across 38 states
• Investment range: $116,000–$170,000
• Royalty: 7.5% gross sales or min $2,250/mo (year 3+)
• 90% of revenue paid by homeowners insurance
• Avg invoice: $2,000–$10,000+ (biohazard/crime scene)
ITEM 11 — Technology:
No FSM mandate found — GREENFIELD likely
Bio-One uses Five Star Franchising's ProNexis for lead gen/call center
FSM for job management appears to be franchisee choice
INSURANCE ANGLE: 🔴 HIGH — 90% insurance-paid = carrier documentation critical</t>
        </is>
      </c>
      <c r="AA68" s="193" t="inlineStr">
        <is>
          <t>USE: ROI Calculator — INSURANCE/RESTORATION MODEL
PRE-POPULATE:
• Avg revenue/location: $423K
• Avg invoice: $5,000 (insurance-paid remediation)
• Insurance pays 90% — job documentation = more approvals
KEY ANGLES:
• Job photo documentation = insurance carrier compliance
• Same-day payment (insurance carrier ACH)
• ServiceBridge = carrier dispatch documentation
• $423K × 5% margin lift = $21K/location
• Princeton PE exit math — Five Star Year 5
⚠️ Verify FieldRoutes conflict — Five Star tech stack</t>
        </is>
      </c>
      <c r="AB68" s="175" t="n"/>
      <c r="AC68" s="175" t="n"/>
      <c r="AD68" s="175" t="n"/>
      <c r="AE68" s="176" t="n">
        <v>44</v>
      </c>
      <c r="AF68" s="177" t="inlineStr">
        <is>
          <t>+25</t>
        </is>
      </c>
      <c r="AG68" s="184" t="inlineStr">
        <is>
          <t>69
🟡 QUEUE</t>
        </is>
      </c>
      <c r="AH68" s="555" t="inlineStr">
        <is>
          <t>Ben Kramer (Brand President NEW Aug 2025)
LinkedIn: https://www.linkedin.com/in/bendkramer/
Case Western Reserve University ⭐ Greenwood Village CO.
PREVIOUSLY FRSTeam President at Empower Brands (competitor-platform poach!)
~20 yrs franchise/restoration/manufacturing.</t>
        </is>
      </c>
      <c r="AI68" s="555" t="inlineStr">
        <is>
          <t>bkramer@fivestarfranchising.com</t>
        </is>
      </c>
      <c r="AJ68" s="555" t="inlineStr">
        <is>
          <t>Steve White (CFO)
https://www.linkedin.com/in/steve-white-970bb9b/
swhite@fivestarfranchising.com
✓ U of Utah, CPA. Ex-CFO PermaPlate, ex-CFO Athletic Republic. Mountain biker.</t>
        </is>
      </c>
      <c r="AK68" s="555" t="inlineStr">
        <is>
          <t>Colt Florence (CDO NEW Feb 2026)
https://www.linkedin.com/in/colt-florence-591171b6/
cflorence@fivestarfranchising.com
🚨 NEW Feb 2026 — Mengason promoted to CRO; Colt Florence took over Franchise Dev. Ben Fox = NEW CGO.</t>
        </is>
      </c>
      <c r="AL68" s="518" t="inlineStr">
        <is>
          <t>Crime scene + biohazard cleanup = INSURANCE-CARRIER + government contract vertical.
Specialty trauma cleaning.</t>
        </is>
      </c>
      <c r="AM68" s="518" t="inlineStr">
        <is>
          <t>Score: TBD
Insurance angle (similar to BELFOR restoration). Niche specialty.</t>
        </is>
      </c>
      <c r="AN68" s="518" t="inlineStr">
        <is>
          <t>Ben Kramer (Brand Pres Bio-One)
Five Star executives oversight</t>
        </is>
      </c>
      <c r="AO68" s="555" t="inlineStr">
        <is>
          <t>Note: Danessa Itaya was Bio-One Pres until Nov 2025 — led "system modernization, CRM implementation, national account expansion" at 135+ locations. Now at Maid Brigade. Replacement at Bio-One = roadmap window.
👉 See Signal Intel: Five Star + Threshold sections</t>
        </is>
      </c>
      <c r="AP68" s="555" t="inlineStr">
        <is>
          <t>Five Star HSS at Caesars Palace Vegas
Crime/trauma scene cleanup industry events
Note: Itaya departure to Maid Brigade Nov 2025 — replacement at Bio-One TBD
👉 See Event Intelligence tab</t>
        </is>
      </c>
      <c r="AQ68" s="555" t="inlineStr">
        <is>
          <t>🎓 FIVE STAR FRANCHISING:
• Ben Kramer (Brand Pres NEW Aug 2025): Case Western Reserve University ⭐. Greenwood Village CO. Was previously FRSTeam President at Empower! Nearly 20 years franchise/restoration/manufacturing experience. Process-driven, values-based leadership style. Turned around $30M restoration business from six-figure monthly losses to break-even in 90 days.
• Scott Abbott (Five Star CEO): BYU Marriott + U Manitoba ⭐⭐
• Chad Jones (Five Star COO): MacEwan University ⭐ Canadian
👉 See Signal Intel: Five Star</t>
        </is>
      </c>
    </row>
    <row r="69" ht="280" customHeight="1" s="435">
      <c r="A69" s="247" t="n">
        <v>66</v>
      </c>
      <c r="B69" s="248" t="inlineStr">
        <is>
          <t>Five Star Bath Solutions</t>
        </is>
      </c>
      <c r="C69" s="249" t="inlineStr">
        <is>
          <t>Five Star Franchising</t>
        </is>
      </c>
      <c r="D69" s="250" t="inlineStr">
        <is>
          <t>Bath Remodel</t>
        </is>
      </c>
      <c r="E69" s="251" t="n">
        <v>100</v>
      </c>
      <c r="F69" s="251" t="n">
        <v>4</v>
      </c>
      <c r="G69" s="252" t="inlineStr">
        <is>
          <t>Greenfield</t>
        </is>
      </c>
      <c r="H69" s="19" t="inlineStr">
        <is>
          <t>TBD</t>
        </is>
      </c>
      <c r="I69" s="182" t="inlineStr">
        <is>
          <t>VERIFY — Five Star uses ProNexis (24/7 call center + job mgmt) — confirm if FSM overlap before outreach</t>
        </is>
      </c>
      <c r="J69" s="110" t="inlineStr">
        <is>
          <t>Greenfield / Paper</t>
        </is>
      </c>
      <c r="K69" s="120" t="inlineStr">
        <is>
          <t>🟢 None</t>
        </is>
      </c>
      <c r="L69" s="117" t="inlineStr">
        <is>
          <t>Validate with Andrea</t>
        </is>
      </c>
      <c r="M69" s="117" t="inlineStr">
        <is>
          <t>Validate with Andrea</t>
        </is>
      </c>
      <c r="N69" s="117" t="inlineStr">
        <is>
          <t>Validate via FDD</t>
        </is>
      </c>
      <c r="O69" s="109" t="inlineStr">
        <is>
          <t>❓ Unknown</t>
        </is>
      </c>
      <c r="P69" s="250" t="inlineStr">
        <is>
          <t>(Franchisee Owner)</t>
        </is>
      </c>
      <c r="Q69" s="250" t="inlineStr">
        <is>
          <t>Owner/Operator</t>
        </is>
      </c>
      <c r="R69" s="169" t="inlineStr">
        <is>
          <t>TBD — brand president
← Approach via Scott Abbott (CEO Five Star)</t>
        </is>
      </c>
      <c r="S69" s="169" t="inlineStr">
        <is>
          <t>TBD</t>
        </is>
      </c>
      <c r="T69" s="169" t="inlineStr">
        <is>
          <t>No confirmed GPS Insight relationship</t>
        </is>
      </c>
      <c r="U69" s="171" t="n"/>
      <c r="V69" s="253" t="n"/>
      <c r="W69" s="254" t="inlineStr">
        <is>
          <t>Profile + outreach</t>
        </is>
      </c>
      <c r="X69" s="254" t="n"/>
      <c r="Y69" s="255" t="inlineStr">
        <is>
          <t>Project-based remodel</t>
        </is>
      </c>
      <c r="Z69" s="195" t="inlineStr">
        <is>
          <t>SOURCE: 2025 FDD (2024 data) — franchisechatter.com + franchisereports.com
ITEM 19 — Unit Economics:
• 47 reporting franchisees (2024), up from 28 in 2023
• 37+ months open avg annual sales: data available (sub-gated)
• 12-24 months open avg revenue: $2,384,268 (2024 FDD)
• Avg annual sales overall: ~$1,250,564 (vettedbiz)
• Largest franchisee on pace for $12M gross sales
• 256 locations as of 2024 (franchisesidekick) — rapid growth
• Investment range: $126,000–$266,000
• Royalty: 6% (5% over $1M) + 2.5% national marketing
• Bath remodel — acrylic tub liners, walk-in showers, one-day install
• Ranked Entrepreneur Franchise 500 seven consecutive years
ITEM 11 — Technology:
Five Star uses ProNexis (24/7 call center + job management platform)
⚠️ VERIFY: ProNexis may include FSM — confirm scope before outreach
Training covers 'job management, software usage' per franchise reports
INSURANCE ANGLE: GreenSky financing — high-ticket bath remodel ($8K-$20K)</t>
        </is>
      </c>
      <c r="AA69" s="193" t="inlineStr">
        <is>
          <t>USE: ROI Calculator — BATH REMODEL / HIGH TICKET PROJECT MODEL
PRE-POPULATE:
• Avg revenue/location: $1.25M (conservative) / $2.4M (12-24 mo)
• Avg job: $8,000-$20,000 (one-day bath remodel)
• High close ratio model (appointment → install same/next day)
KEY ANGLES:
• GreenSky financing = direct conversion lift on $8K-$20K jobs
• Digital estimate-to-install flow
• Job completion photo capture = warranty/quality documentation
• $1.25M × 5% lift = $62K/location
• 256 locations × $62K = $16M system case
• Princeton PE exit — Five Star Year 5
⚠️ Verify ProNexis FSM conflict scope first</t>
        </is>
      </c>
      <c r="AB69" s="175" t="n"/>
      <c r="AC69" s="175" t="n"/>
      <c r="AD69" s="175" t="n"/>
      <c r="AE69" s="176" t="n">
        <v>44</v>
      </c>
      <c r="AF69" s="177" t="inlineStr">
        <is>
          <t>+25</t>
        </is>
      </c>
      <c r="AG69" s="184" t="inlineStr">
        <is>
          <t>69
🟡 QUEUE</t>
        </is>
      </c>
      <c r="AH69" s="555" t="inlineStr">
        <is>
          <t>Dean Hartley (Brand President — Bath + Flooring dual role)
LinkedIn: https://www.linkedin.com/in/dean-hartley-5ab12711/
University of Michigan BA + Oxford University studies ⭐⭐
Multi-unit operator origin. Lives Rochester MI. Scaled FSBS to 400 locations.</t>
        </is>
      </c>
      <c r="AI69" s="555" t="inlineStr">
        <is>
          <t>dhartley@fivestarfranchising.com</t>
        </is>
      </c>
      <c r="AJ69" s="555" t="inlineStr">
        <is>
          <t>Steve White (CFO)
https://www.linkedin.com/in/steve-white-970bb9b/
swhite@fivestarfranchising.com
✓ U of Utah, CPA. Ex-CFO PermaPlate, ex-CFO Athletic Republic. Mountain biker.</t>
        </is>
      </c>
      <c r="AK69" s="555" t="inlineStr">
        <is>
          <t>Colt Florence (CDO NEW Feb 2026)
https://www.linkedin.com/in/colt-florence-591171b6/
cflorence@fivestarfranchising.com
🚨 NEW Feb 2026 — Mengason promoted to CRO; Colt Florence took over Franchise Dev. Ben Fox = NEW CGO.</t>
        </is>
      </c>
      <c r="AL69" s="518" t="inlineStr">
        <is>
          <t>Dean Hartley quote (LinkedIn via Scott Abbott): "Homeowners are overwhelmed by massive showrooms, unclear pricing, unreliable service and a disconnected experience. Five Star Flooring provides a simplified process."
Bathroom remodeling = project-based.</t>
        </is>
      </c>
      <c r="AM69" s="518" t="inlineStr">
        <is>
          <t>Score: TBD
Bath + Flooring dual brand under Dean. Project model.</t>
        </is>
      </c>
      <c r="AN69" s="518" t="inlineStr">
        <is>
          <t>Dean Hartley (Brand Pres Bath + Flooring)
Scott Abbott (CEO)
Steve White (CFO)</t>
        </is>
      </c>
      <c r="AO69" s="555" t="inlineStr">
        <is>
          <t>🎯 STRONG: Brand Pres Dean Hartley (HSS 2026 "Brand President of Year," multi-unit operator origin, ~400 locations approaching). Also Brand Pres of NEW Five Star Flooring (April 2026 launch).
👉 See Signal Intel: Five Star section</t>
        </is>
      </c>
      <c r="AP69" s="555" t="inlineStr">
        <is>
          <t>HSS 2027 — Hartley named "Brand President of Year" at HSS 2026
Bath remodel industry events
👉 See Event Intelligence tab</t>
        </is>
      </c>
      <c r="AQ69" s="555" t="inlineStr">
        <is>
          <t>🎓 FIVE STAR FRANCHISING:
• Dean Hartley (Brand Pres + new Five Star Flooring Brand Pres): University of Michigan BA + Oxford University studies ⭐⭐. Lives Rochester (likely Rochester Hills MI given UMich tie). Multi-unit operator origin. Scaled Five Star Bath Solutions to 400 locations approaching national category leader.
• Scott Abbott (Five Star CEO): BYU Marriott + U Manitoba ⭐⭐
• Chad Jones (Five Star COO): MacEwan University ⭐ Canadian
• Mosquito Shield Franchise of the Year 2025 announced at HSS 2026
👉 See Signal Intel: Five Star</t>
        </is>
      </c>
    </row>
    <row r="70" ht="280" customHeight="1" s="435">
      <c r="A70" s="247" t="n">
        <v>67</v>
      </c>
      <c r="B70" s="248" t="inlineStr">
        <is>
          <t>Gotcha Covered</t>
        </is>
      </c>
      <c r="C70" s="249" t="inlineStr">
        <is>
          <t>Five Star Franchising</t>
        </is>
      </c>
      <c r="D70" s="250" t="inlineStr">
        <is>
          <t>Window Treatments</t>
        </is>
      </c>
      <c r="E70" s="251" t="n">
        <v>100</v>
      </c>
      <c r="F70" s="251" t="n">
        <v>2</v>
      </c>
      <c r="G70" s="252" t="inlineStr">
        <is>
          <t>Greenfield</t>
        </is>
      </c>
      <c r="H70" s="19" t="inlineStr">
        <is>
          <t>TBD</t>
        </is>
      </c>
      <c r="I70" s="182" t="inlineStr">
        <is>
          <t>VERIFY — Proprietary software built 30 years ago for window treatment sales — confirm FSM scope with Annabelle Worth before outreach</t>
        </is>
      </c>
      <c r="J70" s="110" t="inlineStr">
        <is>
          <t>Greenfield / Paper</t>
        </is>
      </c>
      <c r="K70" s="120" t="inlineStr">
        <is>
          <t>🟢 None</t>
        </is>
      </c>
      <c r="L70" s="117" t="inlineStr">
        <is>
          <t>Validate with Andrea</t>
        </is>
      </c>
      <c r="M70" s="117" t="inlineStr">
        <is>
          <t>Validate with Andrea</t>
        </is>
      </c>
      <c r="N70" s="117" t="inlineStr">
        <is>
          <t>Validate via FDD</t>
        </is>
      </c>
      <c r="O70" s="109" t="inlineStr">
        <is>
          <t>❓ Unknown</t>
        </is>
      </c>
      <c r="P70" s="250" t="inlineStr">
        <is>
          <t>(Franchisee Owner)</t>
        </is>
      </c>
      <c r="Q70" s="250" t="inlineStr">
        <is>
          <t>Owner/Operator</t>
        </is>
      </c>
      <c r="R70" s="169" t="inlineStr">
        <is>
          <t>TBD — brand president
← Approach via Scott Abbott (CEO Five Star)</t>
        </is>
      </c>
      <c r="S70" s="169" t="inlineStr">
        <is>
          <t>TBD</t>
        </is>
      </c>
      <c r="T70" s="169" t="inlineStr">
        <is>
          <t>No confirmed GPS Insight relationship</t>
        </is>
      </c>
      <c r="U70" s="171" t="n"/>
      <c r="V70" s="253" t="n"/>
      <c r="W70" s="254" t="inlineStr">
        <is>
          <t>Profile + outreach</t>
        </is>
      </c>
      <c r="X70" s="254" t="n"/>
      <c r="Y70" s="255" t="inlineStr">
        <is>
          <t>In-home design/sales — lighter FSM fit</t>
        </is>
      </c>
      <c r="Z70" s="195" t="inlineStr">
        <is>
          <t>SOURCE: 2025 FDD (2024 data) — franchisechatter.com + sharpsheets.io
ITEM 19 — Unit Economics:
• 111 reporting franchisees, full year 2024
• Avg gross revenue: $593,000/location (sharpsheets)
• 154 total units as of 2024, 165 as of 2025 FDD
• Investment range: $103,000–$136,000
• Royalty: flat monthly fee escalating to $2,000/mo by month 37
• Marketing fee: escalating to $1,000/mo by month 24
• Custom window treatments — residential + commercial
• Home-based, no storefront required
ITEM 11 — Technology:
Gotcha Covered developed proprietary software 30 years ago for window
treatment sales process. Advanced tech tools mentioned (Item 11).
⚠️ VERIFY: May have proprietary FSM — confirm before outreach
NOTE: Five Star Franchising (Princeton PE Year 5 exit window)</t>
        </is>
      </c>
      <c r="AA70" s="193" t="inlineStr">
        <is>
          <t>USE: ROI Calculator — PROJECT/DESIGN MODEL
PRE-POPULATE:
• Avg revenue/location: $593K
• Design + install model: avg project $2,000-$8,000
• High-ticket, low volume
KEY ANGLES:
• Digital estimate-to-invoice (design consultations)
• GreenSky financing for larger installs
• Job photo documentation
• $593K × 5% lift = $30K/location
• ⚠️ Verify proprietary software conflict first
• Princeton PE exit = timing window now</t>
        </is>
      </c>
      <c r="AB70" s="175" t="n"/>
      <c r="AC70" s="175" t="n"/>
      <c r="AD70" s="175" t="n"/>
      <c r="AE70" s="183" t="n">
        <v>46</v>
      </c>
      <c r="AF70" s="177" t="inlineStr">
        <is>
          <t>+25</t>
        </is>
      </c>
      <c r="AG70" s="184" t="inlineStr">
        <is>
          <t>71
🟡 QUEUE</t>
        </is>
      </c>
      <c r="AH70" s="555" t="inlineStr">
        <is>
          <t>Wanda Hoegren, CFE (Brand President since July 2025)
LinkedIn: https://www.linkedin.com/in/wanda-hoegren/
School pending direct verification (CFE).
30+ yrs experience including 20+ in franchise operations. Restaurant industry origin.</t>
        </is>
      </c>
      <c r="AI70" s="555" t="inlineStr">
        <is>
          <t>whoegren@fivestarfranchising.com</t>
        </is>
      </c>
      <c r="AJ70" s="555" t="inlineStr">
        <is>
          <t>Steve White (CFO)
https://www.linkedin.com/in/steve-white-970bb9b/
swhite@fivestarfranchising.com
✓ U of Utah, CPA. Ex-CFO PermaPlate, ex-CFO Athletic Republic. Mountain biker.</t>
        </is>
      </c>
      <c r="AK70" s="555" t="inlineStr">
        <is>
          <t>Colt Florence (CDO NEW Feb 2026)
https://www.linkedin.com/in/colt-florence-591171b6/
cflorence@fivestarfranchising.com
🚨 NEW Feb 2026 — Mengason promoted to CRO; Colt Florence took over Franchise Dev. Ben Fox = NEW CGO.</t>
        </is>
      </c>
      <c r="AL70" s="518" t="inlineStr">
        <is>
          <t>Custom window treatments = consultation + installation hybrid.</t>
        </is>
      </c>
      <c r="AM70" s="518" t="inlineStr">
        <is>
          <t>Score: TBD
Consult-install model. ★ NEW LEADERSHIP Wanda is recent — honeymoon.</t>
        </is>
      </c>
      <c r="AN70" s="518" t="inlineStr">
        <is>
          <t>Wanda Hoegren (Brand Pres Gotcha Covered)
Matt Morrison (CLO)
Colt Florence (CDO)</t>
        </is>
      </c>
      <c r="AO70" s="555" t="inlineStr">
        <is>
          <t>CEO Scott Abbott (Princeton Equity-backed). ⚠️ ProNexis = internal sales/lead tool. HSS at Caesars Palace Vegas annual event.
👉 See Signal Intel: Five Star section</t>
        </is>
      </c>
      <c r="AP70" s="555" t="inlineStr">
        <is>
          <t>Home Services Summit (HSS) 2027 (~Jan 2027, Caesars Palace Vegas)
~1,000 attendees, vendor partners
Just missed Jan 2026 — target as exhibitor
👉 See Event Intelligence tab</t>
        </is>
      </c>
      <c r="AQ70" s="555" t="inlineStr">
        <is>
          <t>🎓 FIVE STAR FRANCHISING:
• Wanda Hoegren (Brand Pres since July 2025): School pending direct verification. CFE. 30+ years franchise experience including 20+ years in franchise operations. Restaurant sector origin.
• Paul Linenberg (former Pres, stepped aside): Pending verification
• Scott Abbott (Five Star CEO): BYU Marriott + U Manitoba ⭐⭐
• Chad Jones (Five Star COO): MacEwan University ⭐ Canadian
• Five Star ranked No. 157 Inc. 5000 (2024)
👉 See Signal Intel: Five Star</t>
        </is>
      </c>
    </row>
    <row r="71" ht="280" customHeight="1" s="435">
      <c r="A71" s="247" t="n">
        <v>68</v>
      </c>
      <c r="B71" s="248" t="inlineStr">
        <is>
          <t>1-800-Packouts</t>
        </is>
      </c>
      <c r="C71" s="249" t="inlineStr">
        <is>
          <t>Five Star Franchising</t>
        </is>
      </c>
      <c r="D71" s="250" t="inlineStr">
        <is>
          <t>Contents/Restoration</t>
        </is>
      </c>
      <c r="E71" s="251" t="n">
        <v>100</v>
      </c>
      <c r="F71" s="251" t="n">
        <v>5</v>
      </c>
      <c r="G71" s="252" t="inlineStr">
        <is>
          <t>Greenfield</t>
        </is>
      </c>
      <c r="H71" s="19" t="inlineStr">
        <is>
          <t>TBD</t>
        </is>
      </c>
      <c r="I71" s="182" t="inlineStr">
        <is>
          <t>VERIFY — Five Star uses ProNexis — confirm if job management scope overlaps with ServiceBridge before outreach</t>
        </is>
      </c>
      <c r="J71" s="110" t="inlineStr">
        <is>
          <t>Greenfield / Paper</t>
        </is>
      </c>
      <c r="K71" s="120" t="inlineStr">
        <is>
          <t>🟢 None</t>
        </is>
      </c>
      <c r="L71" s="117" t="inlineStr">
        <is>
          <t>Validate with Andrea</t>
        </is>
      </c>
      <c r="M71" s="117" t="inlineStr">
        <is>
          <t>Validate with Andrea</t>
        </is>
      </c>
      <c r="N71" s="117" t="inlineStr">
        <is>
          <t>Validate via FDD</t>
        </is>
      </c>
      <c r="O71" s="109" t="inlineStr">
        <is>
          <t>❓ Unknown</t>
        </is>
      </c>
      <c r="P71" s="250" t="inlineStr">
        <is>
          <t>(Franchisee Owner)</t>
        </is>
      </c>
      <c r="Q71" s="250" t="inlineStr">
        <is>
          <t>Owner/Operator</t>
        </is>
      </c>
      <c r="R71" s="169" t="inlineStr">
        <is>
          <t>TBD — franchisee owner/operator</t>
        </is>
      </c>
      <c r="S71" s="169" t="inlineStr">
        <is>
          <t>TBD — office manager / dispatcher</t>
        </is>
      </c>
      <c r="T71" s="169" t="inlineStr">
        <is>
          <t>TBD — verify GPS Insight customer status via Andrea</t>
        </is>
      </c>
      <c r="U71" s="171" t="n"/>
      <c r="V71" s="253" t="n"/>
      <c r="W71" s="254" t="inlineStr">
        <is>
          <t>Profile + outreach</t>
        </is>
      </c>
      <c r="X71" s="254" t="n"/>
      <c r="Y71" s="255" t="inlineStr">
        <is>
          <t>Contents packout — documentation fit</t>
        </is>
      </c>
      <c r="Z71" s="195" t="inlineStr">
        <is>
          <t>SOURCE: 2025 FDD (2024 data) — franchisechatter.com + franzy.com
ITEM 19 — Unit Economics:
• 16 franchisees reporting 12+ months data (2024)
• Avg revenue per franchisee: $1.98M (2024, franzy.com)
• Each franchisee operates avg 2.06 locations
• 45-48 total units as of 2024
• Investment range: $269,300–$514,000
• Royalty: 7% + 3% marketing (NROP fee: $500-$2,000/mo)
• Contents restoration — packing, cleaning, climate storage
• B2B model — insurance carriers, adjusters, restoration firms
• Brand President: Stefan Figley
ITEM 11 — Technology:
Five Star uses ProNexis — proprietary 24/7 sales/call center platform
⚠️ VERIFY: ProNexis may include job management — confirm FSM status
Dedicated national call center for real-time claim distribution
INSURANCE ANGLE: 🔴 HIGH — 90%+ insurance-paid contents restoration</t>
        </is>
      </c>
      <c r="AA71" s="193" t="inlineStr">
        <is>
          <t>USE: ROI Calculator — CONTENTS RESTORATION/INSURANCE MODEL
PRE-POPULATE:
• Avg revenue/franchisee: $1.98M
• Avg job: $5,000-$50,000 (insurance contents restoration)
• Insurance-paid model — documentation critical
KEY ANGLES:
• Job photo documentation = insurance carrier compliance
• Inventory management integration
• Chain of custody documentation
• $1.98M × 5% lift = $99K/franchisee
• Princeton PE exit — Five Star Year 5
⚠️ Verify ProNexis FSM conflict first</t>
        </is>
      </c>
      <c r="AB71" s="175" t="n"/>
      <c r="AC71" s="175" t="n"/>
      <c r="AD71" s="175" t="n"/>
      <c r="AE71" s="183" t="n">
        <v>64</v>
      </c>
      <c r="AF71" s="177" t="inlineStr">
        <is>
          <t>+25</t>
        </is>
      </c>
      <c r="AG71" s="210" t="inlineStr">
        <is>
          <t>89
🔴 LEAD PILOT</t>
        </is>
      </c>
      <c r="AH71" s="555" t="inlineStr">
        <is>
          <t>Stefan Figley, CFE (Brand President)
LinkedIn: https://www.linkedin.com/in/stefanfigley/
Texas Christian University ⭐. Dallas-Fort Worth.
Tim Williamson, CPC (NEW VP Operations 1-800-Packouts).</t>
        </is>
      </c>
      <c r="AI71" s="555" t="inlineStr">
        <is>
          <t>sfigley@fivestarfranchising.com</t>
        </is>
      </c>
      <c r="AJ71" s="555" t="inlineStr">
        <is>
          <t>Steve White (CFO)
https://www.linkedin.com/in/steve-white-970bb9b/
swhite@fivestarfranchising.com
✓ U of Utah, CPA. Ex-CFO PermaPlate, ex-CFO Athletic Republic. Mountain biker.</t>
        </is>
      </c>
      <c r="AK71" s="555" t="inlineStr">
        <is>
          <t>Colt Florence (CDO NEW Feb 2026)
https://www.linkedin.com/in/colt-florence-591171b6/
cflorence@fivestarfranchising.com
🚨 NEW Feb 2026 — Mengason promoted to CRO; Colt Florence took over Franchise Dev. Ben Fox = NEW CGO.</t>
        </is>
      </c>
      <c r="AL71" s="518" t="inlineStr">
        <is>
          <t>Contents restoration + cleaning = INSURANCE-CARRIER vertical.
Five Star CTO Shane MacKay = unified tech stack across brands.</t>
        </is>
      </c>
      <c r="AM71" s="518" t="inlineStr">
        <is>
          <t>Score: TBD
Insurance angle. Contents/restoration overlap with BELFOR Blue Kangaroo.
★ NEW VP OPS = ops-level entry channel.</t>
        </is>
      </c>
      <c r="AN71" s="518" t="inlineStr">
        <is>
          <t>Stefan Figley (Brand Pres 1-800-Packouts)
Tim Williamson, CPC (VP Operations 1-800-Packouts NEW per Brad Roberson LinkedIn)
J. Andrew Mengason (CRO drives National Accounts)</t>
        </is>
      </c>
      <c r="AO71" s="555" t="inlineStr">
        <is>
          <t>CEO Scott Abbott (Princeton Equity-backed). ⚠️ ProNexis = internal sales/lead tool. HSS at Caesars Palace Vegas annual event.
👉 See Signal Intel: Five Star section</t>
        </is>
      </c>
      <c r="AP71" s="555" t="inlineStr">
        <is>
          <t>Home Services Summit (HSS) 2027 (~Jan 2027, Caesars Palace Vegas)
~1,000 attendees, vendor partners
Just missed Jan 2026 — target as exhibitor
👉 See Event Intelligence tab</t>
        </is>
      </c>
      <c r="AQ71" s="555" t="inlineStr">
        <is>
          <t>🎓 FIVE STAR FRANCHISING:
• Stefan Figley, CFE (Brand Pres): Texas Christian University ⭐. Dallas-Fort Worth. CFE designation.
• Keith McBride, MBA, BSEE = NW Philadelphia franchisee owner with MBA + BSEE (sample franchisee)
• Scott Abbott (Five Star CEO): BYU Marriott + U Manitoba ⭐⭐
• Chad Jones (Five Star COO): MacEwan University ⭐ Canadian
👉 See Signal Intel: Five Star</t>
        </is>
      </c>
    </row>
    <row r="72" ht="280" customHeight="1" s="435">
      <c r="A72" s="256" t="n">
        <v>69</v>
      </c>
      <c r="B72" s="257" t="inlineStr">
        <is>
          <t>Window Hero</t>
        </is>
      </c>
      <c r="C72" s="258" t="inlineStr">
        <is>
          <t>HomeFront Brands</t>
        </is>
      </c>
      <c r="D72" s="259" t="inlineStr">
        <is>
          <t>Window/Exterior</t>
        </is>
      </c>
      <c r="E72" s="260" t="n">
        <v>150</v>
      </c>
      <c r="F72" s="260" t="n">
        <v>4</v>
      </c>
      <c r="G72" s="261" t="inlineStr">
        <is>
          <t>Greenfield</t>
        </is>
      </c>
      <c r="H72" s="19" t="inlineStr">
        <is>
          <t>TBD</t>
        </is>
      </c>
      <c r="I72" s="203" t="inlineStr">
        <is>
          <t>NONE — Greenfield likely — HomeFront brand, no FSM mandate found; exterior cleaning route model</t>
        </is>
      </c>
      <c r="J72" s="110" t="inlineStr">
        <is>
          <t>Jobber / Paper</t>
        </is>
      </c>
      <c r="K72" s="109" t="inlineStr">
        <is>
          <t>🟡 Medium</t>
        </is>
      </c>
      <c r="L72" s="117" t="inlineStr">
        <is>
          <t>Validate with Andrea</t>
        </is>
      </c>
      <c r="M72" s="117" t="inlineStr">
        <is>
          <t>Validate with Andrea</t>
        </is>
      </c>
      <c r="N72" s="117" t="inlineStr">
        <is>
          <t>Validate via FDD</t>
        </is>
      </c>
      <c r="O72" s="109" t="inlineStr">
        <is>
          <t>❓ Unknown</t>
        </is>
      </c>
      <c r="P72" s="259" t="inlineStr">
        <is>
          <t>Tyler Kirk</t>
        </is>
      </c>
      <c r="Q72" s="259" t="inlineStr">
        <is>
          <t>Founder &amp; President, Window Hero</t>
        </is>
      </c>
      <c r="R72" s="204" t="inlineStr">
        <is>
          <t>Tyler Kirk
Founder &amp; CEO, Window Hero
← Jeff Dudan (HomeFront CEO) connection
Homecoming 4 vendor path via Zack Dudan (CGO)</t>
        </is>
      </c>
      <c r="S72" s="169" t="inlineStr">
        <is>
          <t>TBD — local ops contact</t>
        </is>
      </c>
      <c r="T72" s="169" t="inlineStr">
        <is>
          <t>No confirmed GPS Insight relationship</t>
        </is>
      </c>
      <c r="U72" s="171" t="n"/>
      <c r="V72" s="262" t="n"/>
      <c r="W72" s="263" t="inlineStr">
        <is>
          <t>Tyler Kirk direct — Jeff Dudan connection</t>
        </is>
      </c>
      <c r="X72" s="263" t="n"/>
      <c r="Y72" s="264" t="inlineStr">
        <is>
          <t>BRAND WEDGE. Tyler Kirk has direct relationship with Jeff Dudan</t>
        </is>
      </c>
      <c r="Z72" s="195" t="inlineStr">
        <is>
          <t>SOURCE: HomeFront Brands + franchise directories 2025
ITEM 19 — Unit Economics:
• Window + exterior cleaning franchise
• Part of HomeFront Brands (Dudan Group)
• Tyler Kirk — Brand President
• Recurring residential + commercial model
ITEM 11 — Technology:
HomeFront Brands tech stack — verify FSM mandate
Route-based cleaning model
NOTE: HomeFront Brands. Jeff Dudan (CEO) + Zack Dudan (CGO) = contacts.
Homecoming 4 event Nov 2026 Orlando = vendor opportunity</t>
        </is>
      </c>
      <c r="AA72" s="193" t="inlineStr">
        <is>
          <t>KEY ANGLES:
• Route optimization
• 2-way SMS job confirmations
• HomeFront mandate conversation via Jeff Dudan</t>
        </is>
      </c>
      <c r="AB72" s="175" t="n"/>
      <c r="AC72" s="175" t="n"/>
      <c r="AD72" s="175" t="n"/>
      <c r="AE72" s="176" t="n">
        <v>43</v>
      </c>
      <c r="AF72" s="177" t="inlineStr">
        <is>
          <t>+15</t>
        </is>
      </c>
      <c r="AG72" s="184" t="inlineStr">
        <is>
          <t>58
🟡 QUEUE</t>
        </is>
      </c>
      <c r="AH72" s="555" t="inlineStr">
        <is>
          <t>Tyler Kirk (Founder &amp; CEO Window Hero)
LinkedIn: https://www.linkedin.com/in/tyler-kirk-3842958/
🎯🎯🎯 UNC Charlotte ⭐⭐⭐ NC SCHOOL — Mike's home market!
Born with hearing impairment, lost all hearing in early 20s. College tennis player.
Huntersville NC = same town as Dudan Group HQ.</t>
        </is>
      </c>
      <c r="AI72" s="555" t="inlineStr">
        <is>
          <t>dblue@homefrontbrands.com</t>
        </is>
      </c>
      <c r="AJ72" s="555" t="inlineStr">
        <is>
          <t>Mike Dudan (CFO)
https://www.linkedin.com/in/panthersmike/
mdudan@homefrontbrands.com
✓ Mike Dudan since Jan 2022. Ex-CFO Carolina Panthers (2003-2019), ex-Deloitte Audit Mgr.</t>
        </is>
      </c>
      <c r="AK72" s="555" t="inlineStr">
        <is>
          <t>Zack Dudan (CGO)
https://www.linkedin.com/in/zackdudan/
zdudan@homefrontbrands.com
🚨 CGO is Zack Dudan (Jeff Dudan's son), NOT Tom Ryan Jr. Tom Ryan was earlier role.</t>
        </is>
      </c>
      <c r="AL72" s="518" t="inlineStr">
        <is>
          <t>Window cleaning vertical = direct competitor to Pink's, Shine, Window Genie, Window Gang.
HomeFront's Brent Chapman = IFA Franchisee of Year 2024 (Window Hero Greensboro + Winston-Salem + Top Rail Fence Triad).</t>
        </is>
      </c>
      <c r="AM72" s="518" t="inlineStr">
        <is>
          <t>★ HIGH PRIORITY in HomeFront wedge.
Mike already engaged Tyler Kirk per CRM. First brand entry into HomeFront platform.</t>
        </is>
      </c>
      <c r="AN72" s="518" t="inlineStr">
        <is>
          <t>Tyler Kirk (Founder &amp; CEO Window Hero)
David Blue (HomeFront dual brand pres)
Brent Chapman (IFA Franchisee of Year 2024)
Jeff Dudan (HomeFront CEO, linkedin.com/in/jeffdudan/)
Mike Dudan (CFO)
Zack Dudan (CGO)
Michael O'Driscoll (COO)
Carrie Beeman (CMO)
Tom Ryan Jr. (CDO July 2025 NEW)</t>
        </is>
      </c>
      <c r="AO72" s="555" t="inlineStr">
        <is>
          <t>Founder/Brand Pres: Tyler Kirk (founded SE US 2003). Quote on partnership: "decision to select Jeff Dudan and his leadership team to power the growth of my regional brand was simple. They've done this before."
Heavy fleet (window cleaning, pressure washing, gutter cleaning).
👉 See Signal Intel: HomeFront section</t>
        </is>
      </c>
      <c r="AP72" s="555" t="inlineStr">
        <is>
          <t>HomeFront Homecoming (~Nov 2026 Orlando)
Founder Tyler Kirk active in pressure-washing/window-cleaning industry events
👉 See Event Intelligence tab</t>
        </is>
      </c>
      <c r="AQ72" s="555" t="inlineStr">
        <is>
          <t>🎓 ⭐⭐ NC CLUSTER — 4 LEADERS:
• Tyler Kirk (Founder/Brand Pres): UNC Charlotte ⭐ Born with hearing impairment, lost all hearing early 20s. College tennis player. Huntersville NC. Wife Heather. Founded Labor Panes 2005 → became Window Hero.
• Jeff Dudan (HomeFront CEO): Appalachian State ⭐
• Mike Dudan (HomeFront CFO): App State 1992-96 + Carolina Panthers CFO 2003-2019 ⭐
• Zack Dudan (HomeFront CGO): Elon University Love School of Business + Varsity Football ⭐
• Keven Elwood (Window Hero Brand Pres post-acquisition): Pending
👉 See Signal Intel: HomeFront</t>
        </is>
      </c>
    </row>
    <row r="73" ht="280" customHeight="1" s="435">
      <c r="A73" s="256" t="n">
        <v>70</v>
      </c>
      <c r="B73" s="257" t="inlineStr">
        <is>
          <t>Top Rail Fence</t>
        </is>
      </c>
      <c r="C73" s="258" t="inlineStr">
        <is>
          <t>HomeFront Brands</t>
        </is>
      </c>
      <c r="D73" s="259" t="inlineStr">
        <is>
          <t>Fencing</t>
        </is>
      </c>
      <c r="E73" s="260" t="n">
        <v>100</v>
      </c>
      <c r="F73" s="260" t="n">
        <v>5</v>
      </c>
      <c r="G73" s="261" t="inlineStr">
        <is>
          <t>Greenfield</t>
        </is>
      </c>
      <c r="H73" s="19" t="inlineStr">
        <is>
          <t>TBD</t>
        </is>
      </c>
      <c r="I73" s="203" t="inlineStr">
        <is>
          <t>NONE — Greenfield likely — HomeFront brand, no FSM mandate; fence install project model</t>
        </is>
      </c>
      <c r="J73" s="110" t="inlineStr">
        <is>
          <t>Greenfield / Paper</t>
        </is>
      </c>
      <c r="K73" s="120" t="inlineStr">
        <is>
          <t>🟢 None</t>
        </is>
      </c>
      <c r="L73" s="117" t="inlineStr">
        <is>
          <t>Validate with Andrea</t>
        </is>
      </c>
      <c r="M73" s="117" t="inlineStr">
        <is>
          <t>Validate with Andrea</t>
        </is>
      </c>
      <c r="N73" s="117" t="inlineStr">
        <is>
          <t>Validate via FDD</t>
        </is>
      </c>
      <c r="O73" s="109" t="inlineStr">
        <is>
          <t>❓ Unknown</t>
        </is>
      </c>
      <c r="P73" s="259" t="inlineStr">
        <is>
          <t>(Franchisee Owner)</t>
        </is>
      </c>
      <c r="Q73" s="259" t="inlineStr">
        <is>
          <t>Owner/Operator</t>
        </is>
      </c>
      <c r="R73" s="204" t="inlineStr">
        <is>
          <t>Zack Dudan
Chief Growth Officer, HomeFront Brands
← Homecoming 4 FoY winner. Key vendor relationship contact.
Jeff Dudan = top-of-house. Zack Dudan = operational entry point.</t>
        </is>
      </c>
      <c r="S73" s="169" t="inlineStr">
        <is>
          <t>TBD — local franchisee ops contact</t>
        </is>
      </c>
      <c r="T73" s="169" t="inlineStr">
        <is>
          <t>No confirmed GPS Insight relationship</t>
        </is>
      </c>
      <c r="U73" s="171" t="n"/>
      <c r="V73" s="262" t="n"/>
      <c r="W73" s="263" t="inlineStr">
        <is>
          <t>Profile + outreach</t>
        </is>
      </c>
      <c r="X73" s="263" t="n"/>
      <c r="Y73" s="264" t="inlineStr">
        <is>
          <t>Project-based fencing — estimate to completion tracking</t>
        </is>
      </c>
      <c r="Z73" s="195" t="inlineStr">
        <is>
          <t>SOURCE: HomeFront Brands + franchise directories 2025
ITEM 19 — Unit Economics:
• Fence installation franchise
• Part of HomeFront Brands
• Zack Dudan (CGO) = contact for this brand
• High avg ticket: $3K-$10K per project
ITEM 11 — Technology:
HomeFront Brands tech stack
Project-based install model
NOTE: HomeFront Brands.</t>
        </is>
      </c>
      <c r="AA73" s="193" t="inlineStr">
        <is>
          <t>KEY ANGLES:
• Digital estimates + photo documentation
• GreenSky for fence projects
• HomeFront mandate via Jeff Dudan</t>
        </is>
      </c>
      <c r="AB73" s="175" t="n"/>
      <c r="AC73" s="175" t="n"/>
      <c r="AD73" s="175" t="n"/>
      <c r="AE73" s="183" t="n">
        <v>51</v>
      </c>
      <c r="AF73" s="177" t="inlineStr">
        <is>
          <t>+15</t>
        </is>
      </c>
      <c r="AG73" s="184" t="inlineStr">
        <is>
          <t>66
🟡 QUEUE</t>
        </is>
      </c>
      <c r="AH73" s="555" t="inlineStr">
        <is>
          <t>Todd Bingham (Brand President)
LinkedIn: https://www.linkedin.com/in/toddbingham/
School pending direct verification.
Jeff Dudan (HomeFront CEO oversight): Appalachian State ⭐ NC SCHOOL</t>
        </is>
      </c>
      <c r="AI73" s="555" t="inlineStr">
        <is>
          <t>tbingham@homefrontbrands.com</t>
        </is>
      </c>
      <c r="AJ73" s="555" t="inlineStr">
        <is>
          <t>Mike Dudan (CFO)
https://www.linkedin.com/in/panthersmike/
mdudan@homefrontbrands.com
✓ Mike Dudan since Jan 2022. Ex-CFO Carolina Panthers (2003-2019), ex-Deloitte Audit Mgr.</t>
        </is>
      </c>
      <c r="AK73" s="555" t="inlineStr">
        <is>
          <t>Zack Dudan (CGO)
https://www.linkedin.com/in/zackdudan/
zdudan@homefrontbrands.com
🚨 CGO is Zack Dudan (Jeff Dudan's son), NOT Tom Ryan Jr. Tom Ryan was earlier role.</t>
        </is>
      </c>
      <c r="AL73" s="518" t="inlineStr">
        <is>
          <t>Top Rail Fence: "one of fastest-growing fencing franchises in industry" (HomeFront leadership page).
Brent Chapman wins multi-brand including Top Rail Fence Triad.
Subcontractor model (per Business View): "eliminates need for heavy inventory with drop shipping."</t>
        </is>
      </c>
      <c r="AM73" s="518" t="inlineStr">
        <is>
          <t>Score: high
★ Direct competitor to Superior Fence &amp; Rail (Empower). Fencing project model.
Subcontractor-heavy = different FSM profile (less direct technician dispatch).</t>
        </is>
      </c>
      <c r="AN73" s="518" t="inlineStr">
        <is>
          <t>Todd Bingham (Brand Pres Top Rail Fence)
Bob Stewart (Top Producer Richmond)
Sean Raftery (Rookie Denver)
Jennie Davidson (Salesperson of Year Nashville)
Adam Hatley (Team Member Year)
Zack Dudan (CGO)</t>
        </is>
      </c>
      <c r="AO73" s="555" t="inlineStr">
        <is>
          <t>CEO Jeff Dudan (founded AdvantaClean). Family-led with sons Zack (CGO) + Mike (CFO). Annual "Homecoming" conference.
👉 See Signal Intel: HomeFront section</t>
        </is>
      </c>
      <c r="AP73" s="555" t="inlineStr">
        <is>
          <t>Homecoming 4 (~Nov 2026, Orlando likely)
Hundreds of owners + vendor partners
Jeff Dudan hosts personally
🟢 STILL TIME — contact NOW for vendor slot
👉 See Event Intelligence tab</t>
        </is>
      </c>
      <c r="AQ73" s="555" t="inlineStr">
        <is>
          <t>🎓 HOMEFRONT BRANDS:
• Todd Bingham (Brand Pres): Pending direct verification
• Jeff Dudan (HomeFront CEO): Appalachian State ⭐ NC
• Mike Dudan (HomeFront CFO): Appalachian State 1992-1996 + ex-CFO Carolina Panthers ⭐ NC
• Zack Dudan (HomeFront CGO): Elon University ⭐ NC
👉 See Signal Intel: HomeFront</t>
        </is>
      </c>
    </row>
    <row r="74" ht="280" customHeight="1" s="435">
      <c r="A74" s="256" t="n">
        <v>71</v>
      </c>
      <c r="B74" s="257" t="inlineStr">
        <is>
          <t>Temporary Wall Systems</t>
        </is>
      </c>
      <c r="C74" s="258" t="inlineStr">
        <is>
          <t>HomeFront Brands</t>
        </is>
      </c>
      <c r="D74" s="259" t="inlineStr">
        <is>
          <t>Construction</t>
        </is>
      </c>
      <c r="E74" s="260" t="n">
        <v>50</v>
      </c>
      <c r="F74" s="260" t="n">
        <v>4</v>
      </c>
      <c r="G74" s="261" t="inlineStr">
        <is>
          <t>Greenfield</t>
        </is>
      </c>
      <c r="H74" s="19" t="inlineStr">
        <is>
          <t>TBD</t>
        </is>
      </c>
      <c r="I74" s="265" t="inlineStr">
        <is>
          <t>MED</t>
        </is>
      </c>
      <c r="J74" s="110" t="inlineStr">
        <is>
          <t>Greenfield / Paper</t>
        </is>
      </c>
      <c r="K74" s="120" t="inlineStr">
        <is>
          <t>🟢 None</t>
        </is>
      </c>
      <c r="L74" s="117" t="inlineStr">
        <is>
          <t>Validate with Andrea</t>
        </is>
      </c>
      <c r="M74" s="117" t="inlineStr">
        <is>
          <t>Validate with Andrea</t>
        </is>
      </c>
      <c r="N74" s="117" t="inlineStr">
        <is>
          <t>Validate via FDD</t>
        </is>
      </c>
      <c r="O74" s="109" t="inlineStr">
        <is>
          <t>❓ Unknown</t>
        </is>
      </c>
      <c r="P74" s="259" t="inlineStr">
        <is>
          <t>(Franchisee Owner)</t>
        </is>
      </c>
      <c r="Q74" s="259" t="inlineStr">
        <is>
          <t>Owner/Operator</t>
        </is>
      </c>
      <c r="R74" s="169" t="inlineStr">
        <is>
          <t>TBD — franchisee owner/operator</t>
        </is>
      </c>
      <c r="S74" s="169" t="inlineStr">
        <is>
          <t>TBD — office manager / dispatcher</t>
        </is>
      </c>
      <c r="T74" s="169" t="inlineStr">
        <is>
          <t>TBD — verify GPS Insight customer status via Andrea</t>
        </is>
      </c>
      <c r="U74" s="171" t="n"/>
      <c r="V74" s="262" t="n"/>
      <c r="W74" s="263" t="inlineStr">
        <is>
          <t>Profile + outreach</t>
        </is>
      </c>
      <c r="X74" s="263" t="n"/>
      <c r="Y74" s="264" t="inlineStr">
        <is>
          <t>Construction rental — specialized model</t>
        </is>
      </c>
      <c r="Z74" s="195" t="inlineStr">
        <is>
          <t>SOURCE: HomeFront Brands + franchise directories 2025
ITEM 19 — Unit Economics:
• Temporary wall rental for construction/renovation
• Part of HomeFront Brands
• B2B model — construction contractors, renovation
ITEM 11 — Technology:
HomeFront Brands tech stack
Rental + logistics dispatch model
NOTE: HomeFront Brands.</t>
        </is>
      </c>
      <c r="AA74" s="193" t="inlineStr">
        <is>
          <t>KEY ANGLES:
• B2B scheduling + logistics
• HomeFront mandate via Jeff Dudan</t>
        </is>
      </c>
      <c r="AB74" s="175" t="n"/>
      <c r="AC74" s="175" t="n"/>
      <c r="AD74" s="175" t="n"/>
      <c r="AE74" s="176" t="n">
        <v>41</v>
      </c>
      <c r="AF74" s="177" t="inlineStr">
        <is>
          <t>+15</t>
        </is>
      </c>
      <c r="AG74" s="178" t="inlineStr">
        <is>
          <t>56
🟡 QUEUE</t>
        </is>
      </c>
      <c r="AH74" s="555" t="inlineStr">
        <is>
          <t>Patrick Kiessling (Brand President)
LinkedIn: https://www.linkedin.com/in/pkiessling/
School pending — operator path.
Bought TWS franchise rights from founder Tom Schwager 2018, scaled to 100+ territories.</t>
        </is>
      </c>
      <c r="AI74" s="555" t="inlineStr">
        <is>
          <t>pkiessling@homefrontbrands.com</t>
        </is>
      </c>
      <c r="AJ74" s="555" t="inlineStr">
        <is>
          <t>Mike Dudan (CFO)
https://www.linkedin.com/in/panthersmike/
mdudan@homefrontbrands.com
✓ Mike Dudan since Jan 2022. Ex-CFO Carolina Panthers (2003-2019), ex-Deloitte Audit Mgr.</t>
        </is>
      </c>
      <c r="AK74" s="555" t="inlineStr">
        <is>
          <t>Zack Dudan (CGO)
https://www.linkedin.com/in/zackdudan/
zdudan@homefrontbrands.com
🚨 CGO is Zack Dudan (Jeff Dudan's son), NOT Tom Ryan Jr. Tom Ryan was earlier role.</t>
        </is>
      </c>
      <c r="AL74" s="518" t="inlineStr">
        <is>
          <t>TWS = modular containment for occupied renovations. B2B with facility managers + construction operators.
Different model: B2B project-based.</t>
        </is>
      </c>
      <c r="AM74" s="518" t="inlineStr">
        <is>
          <t>Score: TBD
B2B commercial = different FSM profile. Larger contracts, fewer service calls.</t>
        </is>
      </c>
      <c r="AN74" s="518" t="inlineStr">
        <is>
          <t>Patrick Kiessling (Brand Pres TWS)
Ryan Lemire (Co-Founder)
Juli Lemire (Co-Founder)
Jon Williamson (Franchisee of Year North Georgia 2023)
Ryan Bufalini (Franchisee of Year Detroit)
Brendan Mahoney (Rookie Puget Sound)
Tom Welsh (Team Member Year)</t>
        </is>
      </c>
      <c r="AO74" s="555" t="inlineStr">
        <is>
          <t>CEO Jeff Dudan (founded AdvantaClean). Family-led with sons Zack (CGO) + Mike (CFO). Annual "Homecoming" conference.
👉 See Signal Intel: HomeFront section</t>
        </is>
      </c>
      <c r="AP74" s="555" t="inlineStr">
        <is>
          <t>Homecoming 4 (~Nov 2026, Orlando likely)
Hundreds of owners + vendor partners
Jeff Dudan hosts personally
🟢 STILL TIME — contact NOW for vendor slot
👉 See Event Intelligence tab</t>
        </is>
      </c>
      <c r="AQ74" s="555" t="inlineStr">
        <is>
          <t>🎓 HOMEFRONT BRANDS:
• Patrick Kiessling (Brand Pres): Pending direct verification
• HomeFront NC alumni cluster: Dudans (App State + Elon) + Tyler Kirk (UNC Charlotte) ⭐⭐⭐
👉 See Signal Intel: HomeFront</t>
        </is>
      </c>
    </row>
    <row r="75" ht="280" customHeight="1" s="435">
      <c r="A75" s="256" t="n">
        <v>72</v>
      </c>
      <c r="B75" s="257" t="inlineStr">
        <is>
          <t>The Designery</t>
        </is>
      </c>
      <c r="C75" s="258" t="inlineStr">
        <is>
          <t>HomeFront Brands</t>
        </is>
      </c>
      <c r="D75" s="259" t="inlineStr">
        <is>
          <t>Kitchen/Bath</t>
        </is>
      </c>
      <c r="E75" s="260" t="n">
        <v>50</v>
      </c>
      <c r="F75" s="260" t="n">
        <v>3</v>
      </c>
      <c r="G75" s="261" t="inlineStr">
        <is>
          <t>Greenfield</t>
        </is>
      </c>
      <c r="H75" s="19" t="inlineStr">
        <is>
          <t>TBD</t>
        </is>
      </c>
      <c r="I75" s="266" t="inlineStr">
        <is>
          <t>LOW</t>
        </is>
      </c>
      <c r="J75" s="110" t="inlineStr">
        <is>
          <t>Greenfield / Paper</t>
        </is>
      </c>
      <c r="K75" s="120" t="inlineStr">
        <is>
          <t>🟢 None</t>
        </is>
      </c>
      <c r="L75" s="117" t="inlineStr">
        <is>
          <t>Validate with Andrea</t>
        </is>
      </c>
      <c r="M75" s="117" t="inlineStr">
        <is>
          <t>Validate with Andrea</t>
        </is>
      </c>
      <c r="N75" s="117" t="inlineStr">
        <is>
          <t>Validate via FDD</t>
        </is>
      </c>
      <c r="O75" s="109" t="inlineStr">
        <is>
          <t>❓ Unknown</t>
        </is>
      </c>
      <c r="P75" s="259" t="inlineStr">
        <is>
          <t>(Franchisee Owner)</t>
        </is>
      </c>
      <c r="Q75" s="259" t="inlineStr">
        <is>
          <t>Owner/Operator</t>
        </is>
      </c>
      <c r="R75" s="169" t="inlineStr">
        <is>
          <t>TBD — franchisee owner/operator</t>
        </is>
      </c>
      <c r="S75" s="169" t="inlineStr">
        <is>
          <t>TBD — office manager / dispatcher</t>
        </is>
      </c>
      <c r="T75" s="169" t="inlineStr">
        <is>
          <t>TBD — verify GPS Insight customer status via Andrea</t>
        </is>
      </c>
      <c r="U75" s="171" t="n"/>
      <c r="V75" s="262" t="n"/>
      <c r="W75" s="263" t="inlineStr">
        <is>
          <t>Profile + outreach</t>
        </is>
      </c>
      <c r="X75" s="263" t="n"/>
      <c r="Y75" s="264" t="inlineStr">
        <is>
          <t>Design-focused remodel — lighter FSM fit</t>
        </is>
      </c>
      <c r="Z75" s="195" t="inlineStr">
        <is>
          <t>SOURCE: Franchise directories 2025
ITEM 19 — Unit Economics:
• Interior design franchise
• Project-based consultative model
ITEM 11 — Technology:
Unknown — verify FSM status
NOTE: Independent brand. Lower priority for ServiceBridge FSM.</t>
        </is>
      </c>
      <c r="AA75" s="193" t="inlineStr">
        <is>
          <t>NOTE: Lower ServiceBridge fit — consultative/design model
GPS Insight telematics limited applicability</t>
        </is>
      </c>
      <c r="AB75" s="175" t="n"/>
      <c r="AC75" s="175" t="n"/>
      <c r="AD75" s="175" t="n"/>
      <c r="AE75" s="176" t="n">
        <v>41</v>
      </c>
      <c r="AF75" s="177" t="inlineStr">
        <is>
          <t>+15</t>
        </is>
      </c>
      <c r="AG75" s="178" t="inlineStr">
        <is>
          <t>56
🟡 QUEUE</t>
        </is>
      </c>
      <c r="AH75" s="555" t="inlineStr">
        <is>
          <t>Casey Ridley (Co-Founder &amp; President)
LinkedIn: https://www.linkedin.com/in/casey-ridley-39a27914/
School pending direct verification.
Founder of The Designery (kitchen + bath cabinetry brand).</t>
        </is>
      </c>
      <c r="AI75" s="555" t="inlineStr">
        <is>
          <t>cridley@homefrontbrands.com</t>
        </is>
      </c>
      <c r="AJ75" s="555" t="inlineStr">
        <is>
          <t>Mike Dudan (CFO)
https://www.linkedin.com/in/panthersmike/
mdudan@homefrontbrands.com
✓ Mike Dudan since Jan 2022. Ex-CFO Carolina Panthers (2003-2019), ex-Deloitte Audit Mgr.</t>
        </is>
      </c>
      <c r="AK75" s="555" t="inlineStr">
        <is>
          <t>Zack Dudan (CGO)
https://www.linkedin.com/in/zackdudan/
zdudan@homefrontbrands.com
🚨 CGO is Zack Dudan (Jeff Dudan's son), NOT Tom Ryan Jr. Tom Ryan was earlier role.</t>
        </is>
      </c>
      <c r="AL75" s="518" t="inlineStr">
        <is>
          <t>Kitchen, bath, closet design center. Project + showroom-based.</t>
        </is>
      </c>
      <c r="AM75" s="518" t="inlineStr">
        <is>
          <t>Score: TBD
Showroom + project model = different from service dispatch.</t>
        </is>
      </c>
      <c r="AN75" s="518" t="inlineStr">
        <is>
          <t>Casey Ridley (Co-Founder &amp; President)
Rebecca Merola (Top Producer Quakertown PA)
Steven Moore (Rookie Greensboro NC)
Michael O'Driscoll (HomeFront COO oversight)</t>
        </is>
      </c>
      <c r="AO75" s="555" t="inlineStr">
        <is>
          <t>CEO Jeff Dudan (founded AdvantaClean). Family-led with sons Zack (CGO) + Mike (CFO). Annual "Homecoming" conference.
👉 See Signal Intel: HomeFront section</t>
        </is>
      </c>
      <c r="AP75" s="555" t="inlineStr">
        <is>
          <t>Homecoming 4 (~Nov 2026, Orlando likely)
Hundreds of owners + vendor partners
Jeff Dudan hosts personally
🟢 STILL TIME — contact NOW for vendor slot
👉 See Event Intelligence tab</t>
        </is>
      </c>
      <c r="AQ75" s="555" t="inlineStr">
        <is>
          <t>🎓 HOMEFRONT BRANDS:
• Casey Ridley (Brand Pres): Pending direct verification
• HomeFront NC alumni cluster: Dudans (App State + Elon) + Kirk (UNC Charlotte) ⭐⭐⭐
👉 See Signal Intel: HomeFront</t>
        </is>
      </c>
    </row>
    <row r="76" ht="280" customHeight="1" s="435">
      <c r="A76" s="256" t="n">
        <v>73</v>
      </c>
      <c r="B76" s="257" t="inlineStr">
        <is>
          <t>Roof Scientist</t>
        </is>
      </c>
      <c r="C76" s="258" t="inlineStr">
        <is>
          <t>HomeFront Brands</t>
        </is>
      </c>
      <c r="D76" s="259" t="inlineStr">
        <is>
          <t>Roofing</t>
        </is>
      </c>
      <c r="E76" s="260" t="n">
        <v>50</v>
      </c>
      <c r="F76" s="260" t="n">
        <v>4</v>
      </c>
      <c r="G76" s="261" t="inlineStr">
        <is>
          <t>Greenfield</t>
        </is>
      </c>
      <c r="H76" s="19" t="inlineStr">
        <is>
          <t>TBD</t>
        </is>
      </c>
      <c r="I76" s="265" t="inlineStr">
        <is>
          <t>MED</t>
        </is>
      </c>
      <c r="J76" s="110" t="inlineStr">
        <is>
          <t>Greenfield / Paper</t>
        </is>
      </c>
      <c r="K76" s="120" t="inlineStr">
        <is>
          <t>🟢 None</t>
        </is>
      </c>
      <c r="L76" s="117" t="inlineStr">
        <is>
          <t>Validate with Andrea</t>
        </is>
      </c>
      <c r="M76" s="117" t="inlineStr">
        <is>
          <t>Validate with Andrea</t>
        </is>
      </c>
      <c r="N76" s="117" t="inlineStr">
        <is>
          <t>Validate via FDD</t>
        </is>
      </c>
      <c r="O76" s="109" t="inlineStr">
        <is>
          <t>❓ Unknown</t>
        </is>
      </c>
      <c r="P76" s="259" t="inlineStr">
        <is>
          <t>(Franchisee Owner)</t>
        </is>
      </c>
      <c r="Q76" s="259" t="inlineStr">
        <is>
          <t>Owner/Operator</t>
        </is>
      </c>
      <c r="R76" s="169" t="inlineStr">
        <is>
          <t>TBD — franchisee owner/operator</t>
        </is>
      </c>
      <c r="S76" s="169" t="inlineStr">
        <is>
          <t>TBD — office manager / dispatcher</t>
        </is>
      </c>
      <c r="T76" s="169" t="inlineStr">
        <is>
          <t>TBD — verify GPS Insight customer status via Andrea</t>
        </is>
      </c>
      <c r="U76" s="171" t="n"/>
      <c r="V76" s="262" t="n"/>
      <c r="W76" s="263" t="inlineStr">
        <is>
          <t>Profile + outreach</t>
        </is>
      </c>
      <c r="X76" s="263" t="n"/>
      <c r="Y76" s="264" t="inlineStr">
        <is>
          <t>Newer brand — project roofing</t>
        </is>
      </c>
      <c r="Z76" s="195" t="inlineStr">
        <is>
          <t>SOURCE: HomeFront Brands + franchise directories 2025
ITEM 19 — Unit Economics:
• Roofing services franchise
• Part of HomeFront Brands
• Insurance + cash pay model
ITEM 11 — Technology:
HomeFront Brands tech stack
Insurance roofing = documentation critical
NOTE: HomeFront Brands.</t>
        </is>
      </c>
      <c r="AA76" s="193" t="inlineStr">
        <is>
          <t>KEY ANGLES:
• Insurance job documentation
• HomeFront mandate via Jeff Dudan</t>
        </is>
      </c>
      <c r="AB76" s="175" t="n"/>
      <c r="AC76" s="175" t="n"/>
      <c r="AD76" s="175" t="n"/>
      <c r="AE76" s="176" t="n">
        <v>41</v>
      </c>
      <c r="AF76" s="177" t="inlineStr">
        <is>
          <t>+15</t>
        </is>
      </c>
      <c r="AG76" s="178" t="inlineStr">
        <is>
          <t>56
🟡 QUEUE</t>
        </is>
      </c>
      <c r="AH76" s="555" t="inlineStr">
        <is>
          <t>Michael Wagner (Brand President)
LinkedIn: https://www.linkedin.com/in/michael-wagner-2a10637/
School pending direct verification.
Joined HomeFront leadership 2024.</t>
        </is>
      </c>
      <c r="AI76" s="555" t="inlineStr">
        <is>
          <t>mwagner@homefrontbrands.com</t>
        </is>
      </c>
      <c r="AJ76" s="555" t="inlineStr">
        <is>
          <t>Mike Dudan (CFO)
https://www.linkedin.com/in/panthersmike/
mdudan@homefrontbrands.com
✓ Mike Dudan since Jan 2022. Ex-CFO Carolina Panthers (2003-2019), ex-Deloitte Audit Mgr.</t>
        </is>
      </c>
      <c r="AK76" s="555" t="inlineStr">
        <is>
          <t>Zack Dudan (CGO)
https://www.linkedin.com/in/zackdudan/
zdudan@homefrontbrands.com
🚨 CGO is Zack Dudan (Jeff Dudan's son), NOT Tom Ryan Jr. Tom Ryan was earlier role.</t>
        </is>
      </c>
      <c r="AL76" s="518" t="inlineStr">
        <is>
          <t>Wagner: "Roof Scientist brings a disruptive new solution to the roofing market. Our entire team has worked diligently to launch this new offering under our family of brands."
Cericade nano-ceramic coating = unique product.</t>
        </is>
      </c>
      <c r="AM76" s="518" t="inlineStr">
        <is>
          <t>Score: TBD
★ NEW BRAND (Nov 2024) + new president = fresh tech stack decisions ahead.
Direct competitor to Bumble Roofing (Empower) + Action Exteriors (ResiBrands).</t>
        </is>
      </c>
      <c r="AN76" s="518" t="inlineStr">
        <is>
          <t>Michael Wagner (Brand Pres Roof Scientist Nov 2024 NEW)
Jeff Dudan (CEO oversight)</t>
        </is>
      </c>
      <c r="AO76" s="555" t="inlineStr">
        <is>
          <t>CEO Jeff Dudan (founded AdvantaClean). Family-led with sons Zack (CGO) + Mike (CFO). Annual "Homecoming" conference.
👉 See Signal Intel: HomeFront section</t>
        </is>
      </c>
      <c r="AP76" s="555" t="inlineStr">
        <is>
          <t>Homecoming 4 (~Nov 2026, Orlando likely)
Hundreds of owners + vendor partners
Jeff Dudan hosts personally
🟢 STILL TIME — contact NOW for vendor slot
👉 See Event Intelligence tab</t>
        </is>
      </c>
      <c r="AQ76" s="555" t="inlineStr">
        <is>
          <t>🎓 HOMEFRONT BRANDS:
• Michael Wagner (Brand Pres): Pending direct verification
• HomeFront NC alumni cluster: Dudans (App State + Elon) + Kirk (UNC Charlotte) ⭐⭐⭐
👉 See Signal Intel: HomeFront</t>
        </is>
      </c>
    </row>
    <row r="77" ht="280" customHeight="1" s="435">
      <c r="A77" s="267" t="n">
        <v>74</v>
      </c>
      <c r="B77" s="268" t="inlineStr">
        <is>
          <t>That 1 Painter</t>
        </is>
      </c>
      <c r="C77" s="269" t="inlineStr">
        <is>
          <t>ResiBrands</t>
        </is>
      </c>
      <c r="D77" s="270" t="inlineStr">
        <is>
          <t>Painting</t>
        </is>
      </c>
      <c r="E77" s="271" t="n">
        <v>500</v>
      </c>
      <c r="F77" s="271" t="n">
        <v>4</v>
      </c>
      <c r="G77" s="272" t="inlineStr">
        <is>
          <t>Greenfield</t>
        </is>
      </c>
      <c r="H77" s="19" t="inlineStr">
        <is>
          <t>TBD</t>
        </is>
      </c>
      <c r="I77" s="203" t="inlineStr">
        <is>
          <t>NONE — Greenfield likely — independent brand, no FSM mandate found; painting project model</t>
        </is>
      </c>
      <c r="J77" s="108" t="inlineStr">
        <is>
          <t>ResiConnect (scheduling only)</t>
        </is>
      </c>
      <c r="K77" s="120" t="inlineStr">
        <is>
          <t>🟢 None</t>
        </is>
      </c>
      <c r="L77" s="117" t="inlineStr">
        <is>
          <t>Validate with Andrea</t>
        </is>
      </c>
      <c r="M77" s="117" t="inlineStr">
        <is>
          <t>Validate with Andrea</t>
        </is>
      </c>
      <c r="N77" s="117" t="inlineStr">
        <is>
          <t>Validate via FDD</t>
        </is>
      </c>
      <c r="O77" s="109" t="inlineStr">
        <is>
          <t>❓ Unknown</t>
        </is>
      </c>
      <c r="P77" s="270" t="inlineStr">
        <is>
          <t>(Franchisee Owner)</t>
        </is>
      </c>
      <c r="Q77" s="270" t="inlineStr">
        <is>
          <t>Owner/Operator</t>
        </is>
      </c>
      <c r="R77" s="204" t="inlineStr">
        <is>
          <t>Steven Montgomery
Founder &amp; CEO, ResiBrands / That 1 Painter
Founded 2011. Austin TX. Call scheduled Apr 15.
Allan Alarcon — Chief Growth Officer (cousin, minority stakeholder)</t>
        </is>
      </c>
      <c r="S77" s="244" t="inlineStr">
        <is>
          <t>Annabelle Worth
Brand Partnerships Manager, ResiBrands
(operations + franchisee support contact)</t>
        </is>
      </c>
      <c r="T77" s="170" t="inlineStr">
        <is>
          <t>No current GPS Insight relationship
Direct path via Steven Montgomery — no intro needed</t>
        </is>
      </c>
      <c r="U77" s="171" t="n"/>
      <c r="V77" s="273" t="n"/>
      <c r="W77" s="274" t="inlineStr">
        <is>
          <t>Profile + outreach</t>
        </is>
      </c>
      <c r="X77" s="274" t="n"/>
      <c r="Y77" s="275" t="inlineStr">
        <is>
          <t>Fastest-growing painting franchise. 800+ territories</t>
        </is>
      </c>
      <c r="Z77" s="195" t="inlineStr">
        <is>
          <t>SOURCE: Franchise directories 2025
ITEM 19 — Unit Economics:
• Residential + commercial painting
• Independent brand — not confirmed PE-backed
• Project-based model
ITEM 11 — Technology:
Unknown — verify FSM status before outreach
NOTE: Smaller independent painting brand. Lower priority vs PSB/360 Painting</t>
        </is>
      </c>
      <c r="AA77" s="193" t="inlineStr">
        <is>
          <t>KEY ANGLES:
• Digital estimates + photo documentation
• GreenSky for larger painting projects</t>
        </is>
      </c>
      <c r="AB77" s="175" t="n"/>
      <c r="AC77" s="175" t="n"/>
      <c r="AD77" s="175" t="n"/>
      <c r="AE77" s="183" t="n">
        <v>51</v>
      </c>
      <c r="AF77" s="177" t="inlineStr">
        <is>
          <t>+15</t>
        </is>
      </c>
      <c r="AG77" s="184" t="inlineStr">
        <is>
          <t>66
🟡 QUEUE</t>
        </is>
      </c>
      <c r="AH77" s="555" t="inlineStr">
        <is>
          <t>Steven Montgomery (Founder &amp; Brand Pres)
LinkedIn: https://www.linkedin.com/in/steven-montgomery-7a4527167/
Calvary Chapel U DROPOUT to launch That 1 Painter ⭐
Operator path. Co-founder Allan Alarcon.</t>
        </is>
      </c>
      <c r="AI77" s="555" t="inlineStr">
        <is>
          <t>steven@resibrands.com</t>
        </is>
      </c>
      <c r="AJ77" s="555" t="inlineStr">
        <is>
          <t>Steven Montgomery (Founder/CEO)
https://www.linkedin.com/in/steven-montgomery-7a452846/
steven@resibrands.com
✓ Founder-led, no separate CFO. firstname format confirmed.</t>
        </is>
      </c>
      <c r="AK77" s="555" t="inlineStr">
        <is>
          <t>Steven Montgomery (Founder/CEO)
https://www.linkedin.com/in/steven-montgomery-7a452846/
steven@resibrands.com
✓ Founder-led model.</t>
        </is>
      </c>
      <c r="AL77" s="518" t="inlineStr">
        <is>
          <t>ResiBrands.com (their public tech stack):
"ResiConnect powers your business with smart, scalable tech. From tools like Trainual, ClickUp, and Slack to our flexible national scheduling system..."
→ NO PROPER FSM. Direct gap.
Steven Montgomery (LinkedIn): "A Franchise System, by definition, is supposed to mean that an average employee on an average day can be successful."
→ This IS the ServiceBridge value prop.</t>
        </is>
      </c>
      <c r="AM77" s="518" t="inlineStr">
        <is>
          <t>★ TIER-1 PRIORITY P2 — Mike's call scheduled.
Founder accessible. Fastest cycle in P2.
380 units across just That 1 Painter.</t>
        </is>
      </c>
      <c r="AN77" s="518" t="inlineStr">
        <is>
          <t>Steven Montgomery (Founder &amp; CEO ResiBrands + Brand Pres T1P)
Allan Alarcon (Co-Founder ResiBrands)
Codie Sanchez (Co-Owner since 2024)
Annabelle Worth (annabelle@resibrands.com — internal contact)
James Giddens (Sherwin-Williams Regional Account Exec for Paint It Forward partnership)</t>
        </is>
      </c>
      <c r="AO77" s="555" t="inlineStr">
        <is>
          <t>Founded 2011 by Steven Montgomery. Originally just Steven and a few hired friends. Now 15+ crews in Austin and expanding nationwide. Heaviest fleet brand in ResiBrands portfolio.
👉 See Signal Intel: ResiBrands section</t>
        </is>
      </c>
      <c r="AP77" s="555" t="inlineStr">
        <is>
          <t>ResiCon (annual summer Austin)
PCA Expo (Painting Contractors Association, March)
👉 See Event Intelligence tab</t>
        </is>
      </c>
      <c r="AQ77" s="555" t="inlineStr">
        <is>
          <t>🎓 Steven Montgomery (Founder/CEO ResiBrands): Calvary Chapel University BA (completed 2017). Austin TX, son of professional painter.
👉 See Signal Intel: ResiBrands</t>
        </is>
      </c>
    </row>
    <row r="78" ht="280" customHeight="1" s="435">
      <c r="A78" s="267" t="n">
        <v>75</v>
      </c>
      <c r="B78" s="268" t="inlineStr">
        <is>
          <t>GarageUp</t>
        </is>
      </c>
      <c r="C78" s="269" t="inlineStr">
        <is>
          <t>ResiBrands</t>
        </is>
      </c>
      <c r="D78" s="270" t="inlineStr">
        <is>
          <t>Garage Services</t>
        </is>
      </c>
      <c r="E78" s="271" t="n">
        <v>200</v>
      </c>
      <c r="F78" s="271" t="n">
        <v>4</v>
      </c>
      <c r="G78" s="272" t="inlineStr">
        <is>
          <t>Greenfield</t>
        </is>
      </c>
      <c r="H78" s="19" t="inlineStr">
        <is>
          <t>TBD</t>
        </is>
      </c>
      <c r="I78" s="203" t="inlineStr">
        <is>
          <t>NONE — Greenfield likely — independent brand, no FSM mandate; garage organization project</t>
        </is>
      </c>
      <c r="J78" s="108" t="inlineStr">
        <is>
          <t>ResiConnect (scheduling only)</t>
        </is>
      </c>
      <c r="K78" s="120" t="inlineStr">
        <is>
          <t>🟢 None</t>
        </is>
      </c>
      <c r="L78" s="117" t="inlineStr">
        <is>
          <t>Validate with Andrea</t>
        </is>
      </c>
      <c r="M78" s="117" t="inlineStr">
        <is>
          <t>Validate with Andrea</t>
        </is>
      </c>
      <c r="N78" s="117" t="inlineStr">
        <is>
          <t>Validate via FDD</t>
        </is>
      </c>
      <c r="O78" s="109" t="inlineStr">
        <is>
          <t>❓ Unknown</t>
        </is>
      </c>
      <c r="P78" s="270" t="inlineStr">
        <is>
          <t>(Franchisee Owner)</t>
        </is>
      </c>
      <c r="Q78" s="270" t="inlineStr">
        <is>
          <t>Owner/Operator</t>
        </is>
      </c>
      <c r="R78" s="204" t="inlineStr">
        <is>
          <t>Steven Montgomery
Founder &amp; CEO, ResiBrands (decides all brands)
Allan Alarcon — CGO. Garage Up launched 2021 alongside That 1 Painter.</t>
        </is>
      </c>
      <c r="S78" s="169" t="inlineStr">
        <is>
          <t>TBD — local franchisee ops contact
Garage Up = emergency dispatch + scheduled maintenance mix</t>
        </is>
      </c>
      <c r="T78" s="170" t="inlineStr">
        <is>
          <t>No current GPS Insight relationship
Steven Montgomery decides — one conversation covers all ResiBrands</t>
        </is>
      </c>
      <c r="U78" s="171" t="n"/>
      <c r="V78" s="273" t="n"/>
      <c r="W78" s="274" t="inlineStr">
        <is>
          <t>Profile + outreach</t>
        </is>
      </c>
      <c r="X78" s="274" t="n"/>
      <c r="Y78" s="275" t="inlineStr">
        <is>
          <t>Garage optimization — route + project mix</t>
        </is>
      </c>
      <c r="Z78" s="195" t="inlineStr">
        <is>
          <t>SOURCE: Franchise directories 2025
ITEM 19 — Unit Economics:
• Garage organization + storage
• Independent brand
• Project-based model
ITEM 11 — Technology:
Unknown — verify FSM status
NOTE: Independent brand.</t>
        </is>
      </c>
      <c r="AA78" s="193" t="inlineStr">
        <is>
          <t>KEY ANGLES:
• Digital estimates
• GreenSky for garage projects</t>
        </is>
      </c>
      <c r="AB78" s="175" t="n"/>
      <c r="AC78" s="175" t="n"/>
      <c r="AD78" s="175" t="n"/>
      <c r="AE78" s="183" t="n">
        <v>49</v>
      </c>
      <c r="AF78" s="177" t="inlineStr">
        <is>
          <t>+15</t>
        </is>
      </c>
      <c r="AG78" s="184" t="inlineStr">
        <is>
          <t>64
🟡 QUEUE</t>
        </is>
      </c>
      <c r="AH78" s="555" t="inlineStr">
        <is>
          <t>Steven Montgomery (ResiBrands Founder)
LinkedIn: https://www.linkedin.com/in/steven-montgomery-7a452846/
Calvary Chapel U DROPOUT to launch That 1 Painter ⭐
Co-founder Allan Alarcon (GarageUp specifically): pending verification</t>
        </is>
      </c>
      <c r="AI78" s="555" t="inlineStr">
        <is>
          <t>allan@resibrands.com</t>
        </is>
      </c>
      <c r="AJ78" s="555" t="inlineStr">
        <is>
          <t>Steven Montgomery (Founder/CEO)
https://www.linkedin.com/in/steven-montgomery-7a452846/
steven@resibrands.com
✓ Founder-led, no separate CFO. firstname format confirmed.</t>
        </is>
      </c>
      <c r="AK78" s="555" t="inlineStr">
        <is>
          <t>Steven Montgomery (Founder/CEO)
https://www.linkedin.com/in/steven-montgomery-7a452846/
steven@resibrands.com
✓ Founder-led model.</t>
        </is>
      </c>
      <c r="AL78" s="518" t="inlineStr">
        <is>
          <t>ResiBrands platform sits on ResiConnect (scheduling-only, not full FSM).</t>
        </is>
      </c>
      <c r="AM78" s="518" t="inlineStr">
        <is>
          <t>★ Bundled with That 1 Painter approach. Single Steven conversation = all 5 ResiBrands.</t>
        </is>
      </c>
      <c r="AN78" s="518" t="inlineStr">
        <is>
          <t>Steven Montgomery (Founder)
Allan Alarcon (Co-Founder ResiBrands, originated Garage Up 2021)</t>
        </is>
      </c>
      <c r="AO78" s="555" t="inlineStr">
        <is>
          <t>CEO Steven Montgomery (Calvary Chapel BA, Austin TX). Codie Sanchez Co-Owner. ⚠️ ResiConnect + ResiCreative = internal tools (NOT full FSM).
👉 See Signal Intel: ResiBrands section</t>
        </is>
      </c>
      <c r="AP78" s="555" t="inlineStr">
        <is>
          <t>ResiCon (annual summer, ACL Live Moody Theater Austin TX)
PCA Expo (March) — That 1 Painter vertical
Codie Sanchez = IFA 2026 Main Stage Speaker
👉 See Event Intelligence tab</t>
        </is>
      </c>
      <c r="AQ78" s="555" t="inlineStr">
        <is>
          <t>🎓 ResiBrands platform:
• Steven Montgomery (CEO): Calvary Chapel University BA
👉 See Signal Intel: ResiBrands</t>
        </is>
      </c>
    </row>
    <row r="79" ht="280" customHeight="1" s="435">
      <c r="A79" s="267" t="n">
        <v>76</v>
      </c>
      <c r="B79" s="268" t="inlineStr">
        <is>
          <t>Pink's Window Services</t>
        </is>
      </c>
      <c r="C79" s="269" t="inlineStr">
        <is>
          <t>ResiBrands</t>
        </is>
      </c>
      <c r="D79" s="270" t="inlineStr">
        <is>
          <t>Window Cleaning</t>
        </is>
      </c>
      <c r="E79" s="271" t="n">
        <v>100</v>
      </c>
      <c r="F79" s="271" t="n">
        <v>3</v>
      </c>
      <c r="G79" s="272" t="inlineStr">
        <is>
          <t>Greenfield</t>
        </is>
      </c>
      <c r="H79" s="19" t="inlineStr">
        <is>
          <t>TBD</t>
        </is>
      </c>
      <c r="I79" s="276" t="inlineStr">
        <is>
          <t>MED</t>
        </is>
      </c>
      <c r="J79" s="108" t="inlineStr">
        <is>
          <t>ResiConnect (scheduling only)</t>
        </is>
      </c>
      <c r="K79" s="120" t="inlineStr">
        <is>
          <t>🟢 None</t>
        </is>
      </c>
      <c r="L79" s="117" t="inlineStr">
        <is>
          <t>Validate with Andrea</t>
        </is>
      </c>
      <c r="M79" s="117" t="inlineStr">
        <is>
          <t>Validate with Andrea</t>
        </is>
      </c>
      <c r="N79" s="117" t="inlineStr">
        <is>
          <t>Validate via FDD</t>
        </is>
      </c>
      <c r="O79" s="109" t="inlineStr">
        <is>
          <t>❓ Unknown</t>
        </is>
      </c>
      <c r="P79" s="270" t="inlineStr">
        <is>
          <t>(Franchisee Owner)</t>
        </is>
      </c>
      <c r="Q79" s="270" t="inlineStr">
        <is>
          <t>Owner/Operator</t>
        </is>
      </c>
      <c r="R79" s="204" t="inlineStr">
        <is>
          <t>Steven Montgomery
Founder &amp; CEO, ResiBrands (decides all brands)
Pink's = exterior window cleaning, acquired by ResiBrands</t>
        </is>
      </c>
      <c r="S79" s="169" t="inlineStr">
        <is>
          <t>TBD</t>
        </is>
      </c>
      <c r="T79" s="170" t="inlineStr">
        <is>
          <t>No current GPS Insight relationship</t>
        </is>
      </c>
      <c r="U79" s="171" t="n"/>
      <c r="V79" s="273" t="n"/>
      <c r="W79" s="274" t="inlineStr">
        <is>
          <t>Profile + outreach</t>
        </is>
      </c>
      <c r="X79" s="274" t="n"/>
      <c r="Y79" s="275" t="inlineStr">
        <is>
          <t>Scheduling already centralized at ResiBrands</t>
        </is>
      </c>
      <c r="Z79" s="195" t="inlineStr">
        <is>
          <t>SOURCE: Franchise directories 2025
ITEM 19 — Unit Economics:
• Window + exterior cleaning
• Independent brand
• Recurring residential + commercial
ITEM 11 — Technology:
Unknown — verify FSM status
NOTE: Independent brand. Lower priority.</t>
        </is>
      </c>
      <c r="AA79" s="193" t="inlineStr">
        <is>
          <t>KEY ANGLES:
• Route optimization
• 2-way SMS</t>
        </is>
      </c>
      <c r="AB79" s="175" t="n"/>
      <c r="AC79" s="175" t="n"/>
      <c r="AD79" s="175" t="n"/>
      <c r="AE79" s="183" t="n">
        <v>51</v>
      </c>
      <c r="AF79" s="177" t="inlineStr">
        <is>
          <t>+15</t>
        </is>
      </c>
      <c r="AG79" s="184" t="inlineStr">
        <is>
          <t>66
🟡 QUEUE</t>
        </is>
      </c>
      <c r="AH79" s="555" t="inlineStr">
        <is>
          <t>Carter Smith (Co-founder Pink's)
LinkedIn: https://www.linkedin.com/in/carter-smith-5756b1b2/
Baylor University ⭐ — led Baylor's largest mens service org (170 members)
$20K/yr Mission Waco fundraise.
Tom Downer (Co-founder Pink's): pending direct verification.</t>
        </is>
      </c>
      <c r="AI79" s="555" t="inlineStr">
        <is>
          <t>carter@resibrands.com</t>
        </is>
      </c>
      <c r="AJ79" s="555" t="inlineStr">
        <is>
          <t>Steven Montgomery (Founder/CEO)
https://www.linkedin.com/in/steven-montgomery-7a452846/
steven@resibrands.com
✓ Founder-led, no separate CFO. firstname format confirmed.</t>
        </is>
      </c>
      <c r="AK79" s="555" t="inlineStr">
        <is>
          <t>Steven Montgomery (Founder/CEO)
https://www.linkedin.com/in/steven-montgomery-7a452846/
steven@resibrands.com
✓ Founder-led model.</t>
        </is>
      </c>
      <c r="AL79" s="518" t="inlineStr">
        <is>
          <t>Carter Smith (Franchise Times):
Pink's '50s/'60s body shop aesthetic, "flipping blue collar on its head and making it cool again."
Tom Downer: 3 franchisee profiles — owner-operator, multi-unit, fully absent.</t>
        </is>
      </c>
      <c r="AM79" s="518" t="inlineStr">
        <is>
          <t>Founders + Steven Montgomery oversight. Window cleaning vertical.</t>
        </is>
      </c>
      <c r="AN79" s="518" t="inlineStr">
        <is>
          <t>Carter Smith (Co-Founder Pink's)
Tom Downer (Co-Founder Pink's)
Steven Montgomery oversight (acquired 2023)</t>
        </is>
      </c>
      <c r="AO79" s="555" t="inlineStr">
        <is>
          <t>🔗 KEY: Co-Founders Carter Smith (Baylor — service-org leadership background, brand-builder energy) + Brandon Downer (finance background). Founded 2020 in Austin TX after corporate layoffs. Acquired by ResiBrands 2023.
👉 See Signal Intel: ResiBrands section</t>
        </is>
      </c>
      <c r="AP79" s="555" t="inlineStr">
        <is>
          <t>ResiCon (annual summer Austin)
PCA Expo (March)
Codie Sanchez IFA presence as icebreaker
👉 See Event Intelligence tab</t>
        </is>
      </c>
      <c r="AQ79" s="555" t="inlineStr">
        <is>
          <t>🎓 BAYLOR ALUM:
• Carter Smith (Co-Founder): Baylor University ⭐
  - Led Baylor's largest mens service organization (170 members)
  - Orchestrated $20K annual fundraise to Mission Waco
• Brandon Downer (Co-Founder): Finance background, pending verification
• Steven Montgomery (ResiBrands CEO): Calvary Chapel University BA
🎯 BAYLOR cluster: Carter Smith joins (4 total in dataset)
👉 See Signal Intel: ResiBrands</t>
        </is>
      </c>
    </row>
    <row r="80" ht="280" customHeight="1" s="435">
      <c r="A80" s="267" t="n">
        <v>77</v>
      </c>
      <c r="B80" s="268" t="inlineStr">
        <is>
          <t>Action Exteriors</t>
        </is>
      </c>
      <c r="C80" s="269" t="inlineStr">
        <is>
          <t>ResiBrands</t>
        </is>
      </c>
      <c r="D80" s="270" t="inlineStr">
        <is>
          <t>Exteriors</t>
        </is>
      </c>
      <c r="E80" s="271" t="n">
        <v>50</v>
      </c>
      <c r="F80" s="271" t="n">
        <v>4</v>
      </c>
      <c r="G80" s="272" t="inlineStr">
        <is>
          <t>Greenfield</t>
        </is>
      </c>
      <c r="H80" s="19" t="inlineStr">
        <is>
          <t>TBD</t>
        </is>
      </c>
      <c r="I80" s="276" t="inlineStr">
        <is>
          <t>MED</t>
        </is>
      </c>
      <c r="J80" s="110" t="inlineStr">
        <is>
          <t>Greenfield / Paper</t>
        </is>
      </c>
      <c r="K80" s="120" t="inlineStr">
        <is>
          <t>🟢 None</t>
        </is>
      </c>
      <c r="L80" s="117" t="inlineStr">
        <is>
          <t>Validate with Andrea</t>
        </is>
      </c>
      <c r="M80" s="117" t="inlineStr">
        <is>
          <t>Validate with Andrea</t>
        </is>
      </c>
      <c r="N80" s="117" t="inlineStr">
        <is>
          <t>Validate via FDD</t>
        </is>
      </c>
      <c r="O80" s="109" t="inlineStr">
        <is>
          <t>❓ Unknown</t>
        </is>
      </c>
      <c r="P80" s="270" t="inlineStr">
        <is>
          <t>(Franchisee Owner)</t>
        </is>
      </c>
      <c r="Q80" s="270" t="inlineStr">
        <is>
          <t>Owner/Operator</t>
        </is>
      </c>
      <c r="R80" s="204" t="inlineStr">
        <is>
          <t>Steven Montgomery
Founder &amp; CEO, ResiBrands
Formerly Action Roofing — family business, 3 generations. Launched franchise 2025.</t>
        </is>
      </c>
      <c r="S80" s="244" t="inlineStr">
        <is>
          <t>Smola Family — founding operators</t>
        </is>
      </c>
      <c r="T80" s="170" t="inlineStr">
        <is>
          <t>No current GPS Insight relationship</t>
        </is>
      </c>
      <c r="U80" s="171" t="n"/>
      <c r="V80" s="273" t="n"/>
      <c r="W80" s="274" t="inlineStr">
        <is>
          <t>Profile + outreach</t>
        </is>
      </c>
      <c r="X80" s="274" t="n"/>
      <c r="Y80" s="275" t="inlineStr">
        <is>
          <t>Newer brand — exterior services</t>
        </is>
      </c>
      <c r="Z80" s="195" t="inlineStr">
        <is>
          <t>SOURCE: Franchise directories 2025
ITEM 19 — Unit Economics:
• Exterior services (siding, windows, roofing)
• Independent brand
• High ticket project-based
ITEM 11 — Technology:
Unknown — verify FSM status
NOTE: Independent brand.</t>
        </is>
      </c>
      <c r="AA80" s="193" t="inlineStr">
        <is>
          <t>KEY ANGLES:
• GreenSky for exterior projects
• Digital estimates</t>
        </is>
      </c>
      <c r="AB80" s="175" t="n"/>
      <c r="AC80" s="175" t="n"/>
      <c r="AD80" s="175" t="n"/>
      <c r="AE80" s="183" t="n">
        <v>49</v>
      </c>
      <c r="AF80" s="177" t="inlineStr">
        <is>
          <t>+15</t>
        </is>
      </c>
      <c r="AG80" s="184" t="inlineStr">
        <is>
          <t>64
🟡 QUEUE</t>
        </is>
      </c>
      <c r="AH80" s="555" t="inlineStr">
        <is>
          <t>The Smola Family (Founders/operators)
LinkedIn: https://www.linkedin.com/company/action-exteriors/
Joined ResiBrands 2025. Formerly Action Roofing.
Steven Montgomery (ResiBrands CEO oversight): Calvary Chapel U DROPOUT ⭐
[Alumni file - Allan Alarcon]: https://www.linkedin.com/in/allan-alarcon-20b703229/</t>
        </is>
      </c>
      <c r="AI80" s="555" t="inlineStr">
        <is>
          <t>[needs verify]</t>
        </is>
      </c>
      <c r="AJ80" s="555" t="inlineStr">
        <is>
          <t>Steven Montgomery (Founder/CEO)
https://www.linkedin.com/in/steven-montgomery-7a452846/
steven@resibrands.com
✓ Founder-led, no separate CFO. firstname format confirmed.</t>
        </is>
      </c>
      <c r="AK80" s="555" t="inlineStr">
        <is>
          <t>Steven Montgomery (Founder/CEO)
https://www.linkedin.com/in/steven-montgomery-7a452846/
steven@resibrands.com
✓ Founder-led model.</t>
        </is>
      </c>
      <c r="AL80" s="518" t="inlineStr">
        <is>
          <t>Action Exteriors = roofing rebrand, joined Resi 2025. 3-generation family business.
Direct competitor to Roof Scientist (HomeFront), Bumble Roofing (Empower).</t>
        </is>
      </c>
      <c r="AM80" s="518" t="inlineStr">
        <is>
          <t>Score: high
Family-led emerging brand within ResiBrands = founder accessibility + Steven oversight.</t>
        </is>
      </c>
      <c r="AN80" s="518" t="inlineStr">
        <is>
          <t>Smola Family (3-generation founders, formerly Action Roofing)
Steven Montgomery oversight (joined ResiBrands 2025)</t>
        </is>
      </c>
      <c r="AO80" s="555" t="inlineStr">
        <is>
          <t>CEO Steven Montgomery (Calvary Chapel BA, Austin TX). Codie Sanchez Co-Owner. ⚠️ ResiConnect + ResiCreative = internal tools (NOT full FSM).
👉 See Signal Intel: ResiBrands section</t>
        </is>
      </c>
      <c r="AP80" s="555" t="inlineStr">
        <is>
          <t>ResiCon (annual summer, ACL Live Moody Theater Austin TX)
PCA Expo (March) — That 1 Painter vertical
Codie Sanchez = IFA 2026 Main Stage Speaker
👉 See Event Intelligence tab</t>
        </is>
      </c>
      <c r="AQ80" s="555" t="inlineStr">
        <is>
          <t>🎓 RESIBRANDS:
• Smola Family (Action Exteriors Founders): Family business; education pending direct verification
• Steven Montgomery (ResiBrands Founder/CEO): Calvary Chapel U DROPOUT to launch That 1 Painter ⭐
• Allan Alarcon (Co-Founder, GarageUp): Pending verification
👉 See Signal Intel: ResiBrands</t>
        </is>
      </c>
    </row>
    <row r="81" ht="280" customHeight="1" s="435">
      <c r="A81" s="267" t="n">
        <v>78</v>
      </c>
      <c r="B81" s="268" t="inlineStr">
        <is>
          <t>Monty's Handyman</t>
        </is>
      </c>
      <c r="C81" s="269" t="inlineStr">
        <is>
          <t>ResiBrands</t>
        </is>
      </c>
      <c r="D81" s="270" t="inlineStr">
        <is>
          <t>Handyman</t>
        </is>
      </c>
      <c r="E81" s="271" t="n">
        <v>50</v>
      </c>
      <c r="F81" s="271" t="n">
        <v>3</v>
      </c>
      <c r="G81" s="272" t="inlineStr">
        <is>
          <t>Greenfield</t>
        </is>
      </c>
      <c r="H81" s="19" t="inlineStr">
        <is>
          <t>TBD</t>
        </is>
      </c>
      <c r="I81" s="276" t="inlineStr">
        <is>
          <t>MED</t>
        </is>
      </c>
      <c r="J81" s="110" t="inlineStr">
        <is>
          <t>Greenfield / Paper</t>
        </is>
      </c>
      <c r="K81" s="120" t="inlineStr">
        <is>
          <t>🟢 None</t>
        </is>
      </c>
      <c r="L81" s="117" t="inlineStr">
        <is>
          <t>Validate with Andrea</t>
        </is>
      </c>
      <c r="M81" s="117" t="inlineStr">
        <is>
          <t>Validate with Andrea</t>
        </is>
      </c>
      <c r="N81" s="117" t="inlineStr">
        <is>
          <t>Validate via FDD</t>
        </is>
      </c>
      <c r="O81" s="109" t="inlineStr">
        <is>
          <t>❓ Unknown</t>
        </is>
      </c>
      <c r="P81" s="270" t="inlineStr">
        <is>
          <t>(Franchisee Owner)</t>
        </is>
      </c>
      <c r="Q81" s="270" t="inlineStr">
        <is>
          <t>Owner/Operator</t>
        </is>
      </c>
      <c r="R81" s="169" t="inlineStr">
        <is>
          <t>TBD — franchisee owner/operator</t>
        </is>
      </c>
      <c r="S81" s="169" t="inlineStr">
        <is>
          <t>TBD — office manager / dispatcher</t>
        </is>
      </c>
      <c r="T81" s="169" t="inlineStr">
        <is>
          <t>TBD — verify GPS Insight customer status via Andrea</t>
        </is>
      </c>
      <c r="U81" s="171" t="n"/>
      <c r="V81" s="273" t="n"/>
      <c r="W81" s="274" t="inlineStr">
        <is>
          <t>Profile + outreach</t>
        </is>
      </c>
      <c r="X81" s="274" t="n"/>
      <c r="Y81" s="275" t="inlineStr">
        <is>
          <t>Newest ResiBrands launch 2025</t>
        </is>
      </c>
      <c r="Z81" s="195" t="inlineStr">
        <is>
          <t>SOURCE: Franchise directories 2025
ITEM 19 — Unit Economics:
• Handyman services
• Independent brand
• Multi-service dispatch model
ITEM 11 — Technology:
Unknown — verify FSM status
NOTE: Independent brand. Lower priority.</t>
        </is>
      </c>
      <c r="AA81" s="193" t="inlineStr">
        <is>
          <t>KEY ANGLES:
• Multi-service scheduling
• 2-way SMS</t>
        </is>
      </c>
      <c r="AB81" s="175" t="n"/>
      <c r="AC81" s="175" t="n"/>
      <c r="AD81" s="175" t="n"/>
      <c r="AE81" s="183" t="n">
        <v>49</v>
      </c>
      <c r="AF81" s="177" t="inlineStr">
        <is>
          <t>+15</t>
        </is>
      </c>
      <c r="AG81" s="184" t="inlineStr">
        <is>
          <t>64
🟡 QUEUE</t>
        </is>
      </c>
      <c r="AH81" s="555" t="inlineStr">
        <is>
          <t>Steven Montgomery (Founder &amp; Franchisor)
LinkedIn: linkedin.com/in/steven-montgomery-7a4527167
Calvary Chapel U DROPOUT to launch That 1 Painter
Per ResiBrands public docs: Steven is Founder/CEO of all 6 ResiBrands brands.
LinkedIn: https://www.linkedin.com/in/steven-montgomery-7a452846/</t>
        </is>
      </c>
      <c r="AI81" s="555" t="inlineStr">
        <is>
          <t>steven@resibrands.com</t>
        </is>
      </c>
      <c r="AJ81" s="555" t="inlineStr">
        <is>
          <t>Steven Montgomery (Founder/CEO)
https://www.linkedin.com/in/steven-montgomery-7a452846/
steven@resibrands.com
✓ Founder-led, no separate CFO. firstname format confirmed.</t>
        </is>
      </c>
      <c r="AK81" s="555" t="inlineStr">
        <is>
          <t>Steven Montgomery (Founder/CEO)
https://www.linkedin.com/in/steven-montgomery-7a452846/
steven@resibrands.com
✓ Founder-led model.</t>
        </is>
      </c>
      <c r="AL81" s="518" t="inlineStr">
        <is>
          <t>Steven Montgomery (LinkedIn re Monty's):
"We wrapped our first-ever Monty's Handyman Services franchise training... Four Pioneer Franchise Owners are trained and ready to launch! So excited to see this brand picking up momentum!"
Brand new — Aug 2024 launch.</t>
        </is>
      </c>
      <c r="AM81" s="518" t="inlineStr">
        <is>
          <t>★ Greenfield HIGHEST — brand 4 launched Aug 2024. Steven controls.
Direct competitor to Mr. Handyman, House Doctors.</t>
        </is>
      </c>
      <c r="AN81" s="518" t="inlineStr">
        <is>
          <t>Steven Montgomery (Founder &amp; Franchisor Aug 2024 launch)
Four 'Pioneer Franchise Owners' from first training class</t>
        </is>
      </c>
      <c r="AO81" s="555" t="inlineStr">
        <is>
          <t>CEO Steven Montgomery (Calvary Chapel BA, Austin TX). Codie Sanchez Co-Owner. ⚠️ ResiConnect + ResiCreative = internal tools (NOT full FSM).
👉 See Signal Intel: ResiBrands section</t>
        </is>
      </c>
      <c r="AP81" s="555" t="inlineStr">
        <is>
          <t>ResiCon (annual summer, ACL Live Moody Theater Austin TX)
PCA Expo (March) — That 1 Painter vertical
Codie Sanchez = IFA 2026 Main Stage Speaker
👉 See Event Intelligence tab</t>
        </is>
      </c>
      <c r="AQ81" s="555" t="inlineStr">
        <is>
          <t>🎓 ResiBrands platform:
• Steven Montgomery (CEO): Calvary Chapel University BA
👉 See Signal Intel: ResiBrands</t>
        </is>
      </c>
    </row>
  </sheetData>
  <mergeCells count="2">
    <mergeCell ref="A1:P1"/>
    <mergeCell ref="A2:P2"/>
  </mergeCells>
  <dataValidations count="3">
    <dataValidation sqref="L4:L81" showDropDown="0" showInputMessage="0" showErrorMessage="0" allowBlank="1" type="list">
      <formula1>"Not Started,Researching,Contacted,Replied,Call Scheduled,Discovery Done,Proposal Sent,Negotiating,Pilot Closed,Stalled,Not a Fit"</formula1>
      <formula2>0</formula2>
    </dataValidation>
    <dataValidation sqref="I4:I81" showDropDown="0" showInputMessage="0" showErrorMessage="0" allowBlank="1" type="list">
      <formula1>"HIGH,MED,LOW"</formula1>
      <formula2>0</formula2>
    </dataValidation>
    <dataValidation sqref="H4:H81" showDropDown="0" showInputMessage="0" showErrorMessage="0" allowBlank="1" type="list">
      <formula1>"YES,TBD,NO"</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P87"/>
  <sheetViews>
    <sheetView showGridLines="0" zoomScaleNormal="100" workbookViewId="0">
      <pane ySplit="4" topLeftCell="A5" activePane="bottomLeft" state="frozen"/>
      <selection pane="bottomLeft" activeCell="A1" sqref="A1"/>
    </sheetView>
  </sheetViews>
  <sheetFormatPr baseColWidth="10" defaultColWidth="8.6640625" defaultRowHeight="15"/>
  <cols>
    <col width="5" customWidth="1" style="435" min="1" max="1"/>
    <col width="10" customWidth="1" style="435" min="2" max="2"/>
    <col width="8" customWidth="1" style="435" min="3" max="3"/>
    <col width="22" customWidth="1" style="435" min="4" max="4"/>
    <col width="18" customWidth="1" style="435" min="5" max="5"/>
    <col width="16" customWidth="1" style="435" min="6" max="6"/>
    <col width="11" customWidth="1" style="435" min="7" max="7"/>
    <col width="14" customWidth="1" style="435" min="8" max="8"/>
    <col width="16" customWidth="1" style="435" min="9" max="9"/>
    <col width="35" customWidth="1" style="435" min="10" max="10"/>
    <col width="22" customWidth="1" style="435" min="11" max="11"/>
    <col width="20" customWidth="1" style="435" min="12" max="13"/>
    <col width="10" customWidth="1" style="435" min="14" max="14"/>
    <col width="12" customWidth="1" style="435" min="15" max="15"/>
    <col width="28" customWidth="1" style="435" min="16" max="16"/>
  </cols>
  <sheetData>
    <row r="1" ht="37.5" customHeight="1" s="435">
      <c r="A1" s="449" t="inlineStr">
        <is>
          <t xml:space="preserve">  CRM  ·  ENGAGEMENT LOG  ·  Every Touchpoint  ·  Every Response  ·  ServiceBridge GTM</t>
        </is>
      </c>
    </row>
    <row r="2" ht="15.75" customHeight="1" s="435">
      <c r="A2" s="460" t="inlineStr">
        <is>
          <t xml:space="preserve">  Velocity GTM Co LLC  ·  One row per interaction  ·  Log calls, emails, LinkedIn, meetings  ·  Verbatim feedback captured per contact</t>
        </is>
      </c>
    </row>
    <row r="3" ht="18" customHeight="1" s="435">
      <c r="A3" s="485" t="inlineStr">
        <is>
          <t xml:space="preserve">  Track 1 = Franchisor accounts (green rows)    Track 2 = Franchisee accounts (blue rows)</t>
        </is>
      </c>
      <c r="I3" s="486" t="inlineStr">
        <is>
          <t xml:space="preserve">  GPS Insight ▸ items (blue) require Charles, Garrett, Andrea, or Angie involvement  ·  New event types added: Conference/Industry Event · Franchisor Annual Convention · Trade Show · Event Follow-Up · Referral from Event</t>
        </is>
      </c>
    </row>
    <row r="4" ht="37.5" customHeight="1" s="435">
      <c r="A4" s="64" t="inlineStr">
        <is>
          <t>LOG #</t>
        </is>
      </c>
      <c r="B4" s="64" t="inlineStr">
        <is>
          <t>DATE</t>
        </is>
      </c>
      <c r="C4" s="64" t="inlineStr">
        <is>
          <t>TRACK</t>
        </is>
      </c>
      <c r="D4" s="64" t="inlineStr">
        <is>
          <t>ACCOUNT / BRAND</t>
        </is>
      </c>
      <c r="E4" s="64" t="inlineStr">
        <is>
          <t>CONTACT NAME</t>
        </is>
      </c>
      <c r="F4" s="64" t="inlineStr">
        <is>
          <t>CONTACT TITLE</t>
        </is>
      </c>
      <c r="G4" s="64" t="inlineStr">
        <is>
          <t>CHANNEL</t>
        </is>
      </c>
      <c r="H4" s="64" t="inlineStr">
        <is>
          <t>TYPE</t>
        </is>
      </c>
      <c r="I4" s="64" t="inlineStr">
        <is>
          <t>OUTCOME</t>
        </is>
      </c>
      <c r="J4" s="64" t="inlineStr">
        <is>
          <t>THEIR FEEDBACK
(Verbatim)</t>
        </is>
      </c>
      <c r="K4" s="64" t="inlineStr">
        <is>
          <t>OBJECTIONS
RAISED</t>
        </is>
      </c>
      <c r="L4" s="64" t="inlineStr">
        <is>
          <t>GPS INSIGHT
ACTION NEEDED</t>
        </is>
      </c>
      <c r="M4" s="64" t="inlineStr">
        <is>
          <t>YOUR
NEXT STEP</t>
        </is>
      </c>
      <c r="N4" s="64" t="inlineStr">
        <is>
          <t>NEXT
DATE</t>
        </is>
      </c>
      <c r="O4" s="64" t="inlineStr">
        <is>
          <t>STATUS</t>
        </is>
      </c>
      <c r="P4" s="64" t="inlineStr">
        <is>
          <t>INTERNAL NOTES</t>
        </is>
      </c>
    </row>
    <row r="5" ht="64.5" customHeight="1" s="435">
      <c r="A5" s="147" t="n">
        <v>1</v>
      </c>
      <c r="B5" s="80" t="inlineStr">
        <is>
          <t>2026-04-07</t>
        </is>
      </c>
      <c r="C5" s="1" t="inlineStr">
        <is>
          <t>Track 1</t>
        </is>
      </c>
      <c r="D5" s="454" t="inlineStr">
        <is>
          <t>BELFOR</t>
        </is>
      </c>
      <c r="E5" s="103" t="inlineStr">
        <is>
          <t>Rusty Amarante, CR</t>
        </is>
      </c>
      <c r="F5" s="103" t="inlineStr">
        <is>
          <t>President, BELFOR FG</t>
        </is>
      </c>
      <c r="G5" s="277" t="inlineStr">
        <is>
          <t>LinkedIn</t>
        </is>
      </c>
      <c r="H5" s="277" t="inlineStr">
        <is>
          <t>First Touch</t>
        </is>
      </c>
      <c r="I5" s="19" t="inlineStr">
        <is>
          <t>No Response</t>
        </is>
      </c>
      <c r="J5" s="278" t="n"/>
      <c r="K5" s="279" t="n"/>
      <c r="L5" s="76" t="inlineStr">
        <is>
          <t>📞 On me — asking Charles. GPS Insight to surface the American Securities connection through AKKR.</t>
        </is>
      </c>
      <c r="M5" s="103" t="inlineStr">
        <is>
          <t>Follow up LinkedIn Day 5 — send connection + note referencing HOODZ Triangle award winner (local NC connection)</t>
        </is>
      </c>
      <c r="N5" s="103" t="inlineStr">
        <is>
          <t>2026-04-14</t>
        </is>
      </c>
      <c r="O5" s="59" t="inlineStr">
        <is>
          <t>Contacted</t>
        </is>
      </c>
      <c r="P5" s="81" t="inlineStr">
        <is>
          <t>Connection request sent. Personalized msg referencing 14-brand network + Dec 2024 territory growth.</t>
        </is>
      </c>
    </row>
    <row r="6" ht="64.5" customHeight="1" s="435">
      <c r="A6" s="147" t="n">
        <v>2</v>
      </c>
      <c r="B6" s="80" t="inlineStr">
        <is>
          <t>2026-04-07</t>
        </is>
      </c>
      <c r="C6" s="1" t="inlineStr">
        <is>
          <t>Track 1</t>
        </is>
      </c>
      <c r="D6" s="454" t="inlineStr">
        <is>
          <t>NEIGHBORLY</t>
        </is>
      </c>
      <c r="E6" s="103" t="inlineStr">
        <is>
          <t>Charles Layne</t>
        </is>
      </c>
      <c r="F6" s="103" t="inlineStr">
        <is>
          <t>CEO, GPS Insight</t>
        </is>
      </c>
      <c r="G6" s="277" t="inlineStr">
        <is>
          <t>Phone Call</t>
        </is>
      </c>
      <c r="H6" s="277" t="inlineStr">
        <is>
          <t>Discovery Call</t>
        </is>
      </c>
      <c r="I6" s="202" t="inlineStr">
        <is>
          <t>Call Complete</t>
        </is>
      </c>
      <c r="J6" s="280" t="inlineStr">
        <is>
          <t>Charles confirmed he'll reach out to Accel-KKR deal team re: KKR/Neighborly intro this week.</t>
        </is>
      </c>
      <c r="K6" s="279" t="n"/>
      <c r="L6" s="76" t="inlineStr">
        <is>
          <t>GPS: Charles initiating Accel-KKR → KKR → Felix Gernburd intro</t>
        </is>
      </c>
      <c r="M6" s="103" t="inlineStr">
        <is>
          <t>Follow up Charles today (Apr 14) on KKR intro status</t>
        </is>
      </c>
      <c r="N6" s="103" t="inlineStr">
        <is>
          <t>2026-04-14</t>
        </is>
      </c>
      <c r="O6" s="59" t="inlineStr">
        <is>
          <t>Pending GPS Action</t>
        </is>
      </c>
      <c r="P6" s="81" t="inlineStr">
        <is>
          <t>Critical call. Charles confirmed. KKR intro is the #1 GPS action Week 1.</t>
        </is>
      </c>
    </row>
    <row r="7" ht="64.5" customHeight="1" s="435">
      <c r="A7" s="147" t="n">
        <v>3</v>
      </c>
      <c r="B7" s="80" t="inlineStr">
        <is>
          <t>2026-04-08</t>
        </is>
      </c>
      <c r="C7" s="1" t="inlineStr">
        <is>
          <t>Track 1</t>
        </is>
      </c>
      <c r="D7" s="454" t="inlineStr">
        <is>
          <t>EMPOWER BRANDS</t>
        </is>
      </c>
      <c r="E7" s="103" t="inlineStr">
        <is>
          <t>Scott Zide</t>
        </is>
      </c>
      <c r="F7" s="103" t="inlineStr">
        <is>
          <t>CEO, Empower Brands</t>
        </is>
      </c>
      <c r="G7" s="277" t="inlineStr">
        <is>
          <t>LinkedIn</t>
        </is>
      </c>
      <c r="H7" s="277" t="inlineStr">
        <is>
          <t>First Touch</t>
        </is>
      </c>
      <c r="I7" s="19" t="inlineStr">
        <is>
          <t>No Response</t>
        </is>
      </c>
      <c r="J7" s="278" t="n"/>
      <c r="K7" s="279" t="n"/>
      <c r="L7" s="76" t="n"/>
      <c r="M7" s="103" t="inlineStr">
        <is>
          <t>Follow-up email with Empower ROI model attached</t>
        </is>
      </c>
      <c r="N7" s="103" t="inlineStr">
        <is>
          <t>2026-04-13</t>
        </is>
      </c>
      <c r="O7" s="59" t="inlineStr">
        <is>
          <t>Contacted</t>
        </is>
      </c>
      <c r="P7" s="81" t="inlineStr">
        <is>
          <t>Connection request sent. EBITDA before exit window — MidOcean narrative.</t>
        </is>
      </c>
    </row>
    <row r="8" ht="64.5" customHeight="1" s="435">
      <c r="A8" s="281" t="n">
        <v>4</v>
      </c>
      <c r="B8" s="282" t="inlineStr">
        <is>
          <t>2026-04-09</t>
        </is>
      </c>
      <c r="C8" s="93" t="inlineStr">
        <is>
          <t>Track 2</t>
        </is>
      </c>
      <c r="D8" s="283" t="inlineStr">
        <is>
          <t>RooterMan</t>
        </is>
      </c>
      <c r="E8" s="284" t="inlineStr">
        <is>
          <t>(TBD)</t>
        </is>
      </c>
      <c r="F8" s="284" t="inlineStr">
        <is>
          <t>Brand President, RooterMan</t>
        </is>
      </c>
      <c r="G8" s="285" t="inlineStr">
        <is>
          <t>LinkedIn</t>
        </is>
      </c>
      <c r="H8" s="285" t="inlineStr">
        <is>
          <t>First Touch</t>
        </is>
      </c>
      <c r="I8" s="19" t="inlineStr">
        <is>
          <t>No Response</t>
        </is>
      </c>
      <c r="J8" s="278" t="n"/>
      <c r="K8" s="279" t="n"/>
      <c r="L8" s="76" t="n"/>
      <c r="M8" s="284" t="inlineStr">
        <is>
          <t>Research brand president name first</t>
        </is>
      </c>
      <c r="N8" s="284" t="inlineStr">
        <is>
          <t>2026-04-11</t>
        </is>
      </c>
      <c r="O8" s="59" t="inlineStr">
        <is>
          <t>Researching</t>
        </is>
      </c>
      <c r="P8" s="286" t="inlineStr">
        <is>
          <t>find RooterMan brand president name before outreach. Check PSB website.</t>
        </is>
      </c>
    </row>
    <row r="9" ht="64.5" customHeight="1" s="435">
      <c r="A9" s="147" t="n">
        <v>5</v>
      </c>
      <c r="B9" s="80" t="inlineStr">
        <is>
          <t>2026-04-09</t>
        </is>
      </c>
      <c r="C9" s="1" t="inlineStr">
        <is>
          <t>Track 1</t>
        </is>
      </c>
      <c r="D9" s="454" t="inlineStr">
        <is>
          <t>RESIBRANDS</t>
        </is>
      </c>
      <c r="E9" s="103" t="inlineStr">
        <is>
          <t>Steven Montgomery</t>
        </is>
      </c>
      <c r="F9" s="103" t="inlineStr">
        <is>
          <t>Founder &amp; CEO, ResiBrands</t>
        </is>
      </c>
      <c r="G9" s="277" t="inlineStr">
        <is>
          <t>LinkedIn</t>
        </is>
      </c>
      <c r="H9" s="277" t="inlineStr">
        <is>
          <t>First Touch</t>
        </is>
      </c>
      <c r="I9" s="202" t="inlineStr">
        <is>
          <t>Replied – Positive</t>
        </is>
      </c>
      <c r="J9" s="280" t="inlineStr">
        <is>
          <t>Steven replied within 2 hours. Said he is interested in seeing the ops stack comparison. Asked to set up a call.</t>
        </is>
      </c>
      <c r="K9" s="279" t="n"/>
      <c r="L9" s="76" t="n"/>
      <c r="M9" s="103" t="inlineStr">
        <is>
          <t>Prep ResiBrands Insight Engine ROI model. Load: 2,550 techs, $200/job, 5 jobs/day. Run conservative + base scenarios only.</t>
        </is>
      </c>
      <c r="N9" s="103" t="inlineStr">
        <is>
          <t>2026-04-15</t>
        </is>
      </c>
      <c r="O9" s="64" t="inlineStr">
        <is>
          <t>Call Scheduled — 🔥 HOT</t>
        </is>
      </c>
      <c r="P9" s="81" t="inlineStr">
        <is>
          <t>🔥 HOT LEAD. Fastest response. Founder-backed — decision comes fast. Prep ResiBrands ROI model before call.</t>
        </is>
      </c>
    </row>
    <row r="10" ht="49.5" customHeight="1" s="435">
      <c r="A10" s="287" t="n">
        <v>6</v>
      </c>
      <c r="B10" s="287" t="inlineStr">
        <is>
          <t>2026-04-14</t>
        </is>
      </c>
      <c r="C10" s="288" t="inlineStr">
        <is>
          <t>Track 1</t>
        </is>
      </c>
      <c r="D10" s="289" t="inlineStr">
        <is>
          <t>BELFOR</t>
        </is>
      </c>
      <c r="E10" s="287" t="inlineStr">
        <is>
          <t>Rusty Amarante, CR</t>
        </is>
      </c>
      <c r="F10" s="287" t="inlineStr">
        <is>
          <t>President, BELFOR FG</t>
        </is>
      </c>
      <c r="G10" s="287" t="inlineStr">
        <is>
          <t>LinkedIn</t>
        </is>
      </c>
      <c r="H10" s="287" t="inlineStr">
        <is>
          <t>Follow-Up Touch</t>
        </is>
      </c>
      <c r="I10" s="287" t="inlineStr">
        <is>
          <t>Pending</t>
        </is>
      </c>
      <c r="J10" s="287" t="n"/>
      <c r="K10" s="287" t="n"/>
      <c r="L10" s="290" t="inlineStr">
        <is>
          <t>📞 On me — Charles to surface American Securities / Accel-KKR path</t>
        </is>
      </c>
      <c r="M10" s="287" t="inlineStr">
        <is>
          <t>Send follow-up note referencing HOODZ Triangle Franchise of Year + 30 new territories Dec 2024</t>
        </is>
      </c>
      <c r="N10" s="287" t="inlineStr">
        <is>
          <t>2026-04-14</t>
        </is>
      </c>
      <c r="O10" s="287" t="inlineStr">
        <is>
          <t>Queued</t>
        </is>
      </c>
      <c r="P10" s="287" t="inlineStr">
        <is>
          <t>Use local NC angle: HOODZ of the Triangle just won BELFOR FoY. Personal connection point.</t>
        </is>
      </c>
    </row>
    <row r="11" ht="49.5" customHeight="1" s="435">
      <c r="A11" s="287" t="n">
        <v>7</v>
      </c>
      <c r="B11" s="287" t="inlineStr">
        <is>
          <t>2026-04-14</t>
        </is>
      </c>
      <c r="C11" s="288" t="inlineStr">
        <is>
          <t>Track 1</t>
        </is>
      </c>
      <c r="D11" s="289" t="inlineStr">
        <is>
          <t>NEIGHBORLY</t>
        </is>
      </c>
      <c r="E11" s="287" t="inlineStr">
        <is>
          <t>Charles Layne</t>
        </is>
      </c>
      <c r="F11" s="287" t="inlineStr">
        <is>
          <t>CEO, GPS Insight</t>
        </is>
      </c>
      <c r="G11" s="287" t="inlineStr">
        <is>
          <t>Text/Call</t>
        </is>
      </c>
      <c r="H11" s="287" t="inlineStr">
        <is>
          <t>GPS Action Follow-Up</t>
        </is>
      </c>
      <c r="I11" s="287" t="inlineStr">
        <is>
          <t>Pending</t>
        </is>
      </c>
      <c r="J11" s="287" t="n"/>
      <c r="K11" s="287" t="n"/>
      <c r="L11" s="290" t="inlineStr">
        <is>
          <t>GPS: Charles → Accel-KKR → KKR → Felix Gernburd. TODAY is follow-up day.</t>
        </is>
      </c>
      <c r="M11" s="287" t="inlineStr">
        <is>
          <t>Confirm KKR intro status from Charles. This is #1 GPS action.</t>
        </is>
      </c>
      <c r="N11" s="287" t="inlineStr">
        <is>
          <t>2026-04-14</t>
        </is>
      </c>
      <c r="O11" s="291" t="inlineStr">
        <is>
          <t>GPS Action Due</t>
        </is>
      </c>
      <c r="P11" s="287" t="inlineStr">
        <is>
          <t>Charles confirmed Apr 7. Two-week follow window. Do not let this slip.</t>
        </is>
      </c>
    </row>
    <row r="12" ht="49.5" customHeight="1" s="435">
      <c r="A12" s="287" t="n">
        <v>8</v>
      </c>
      <c r="B12" s="287" t="inlineStr">
        <is>
          <t>2026-04-15</t>
        </is>
      </c>
      <c r="C12" s="288" t="inlineStr">
        <is>
          <t>Track 1</t>
        </is>
      </c>
      <c r="D12" s="289" t="inlineStr">
        <is>
          <t>RESIBRANDS</t>
        </is>
      </c>
      <c r="E12" s="287" t="inlineStr">
        <is>
          <t>Steven Montgomery</t>
        </is>
      </c>
      <c r="F12" s="287" t="inlineStr">
        <is>
          <t>Founder &amp; CEO, ResiBrands</t>
        </is>
      </c>
      <c r="G12" s="287" t="inlineStr">
        <is>
          <t>Phone/Video</t>
        </is>
      </c>
      <c r="H12" s="287" t="inlineStr">
        <is>
          <t>Discovery Call</t>
        </is>
      </c>
      <c r="I12" s="287" t="inlineStr">
        <is>
          <t>Scheduled</t>
        </is>
      </c>
      <c r="J12" s="292" t="inlineStr">
        <is>
          <t>Replied positive Apr 9. Wants ops stack comparison.</t>
        </is>
      </c>
      <c r="K12" s="287" t="n"/>
      <c r="L12" s="287" t="n"/>
      <c r="M12" s="287" t="inlineStr">
        <is>
          <t>Prep Insight Engine: 2,550 techs, $200/job. Run conservative + base. Print 3-Way Scenario.</t>
        </is>
      </c>
      <c r="N12" s="287" t="inlineStr">
        <is>
          <t>2026-04-15</t>
        </is>
      </c>
      <c r="O12" s="287" t="inlineStr">
        <is>
          <t>Call Scheduled — 🔥</t>
        </is>
      </c>
      <c r="P12" s="287" t="inlineStr">
        <is>
          <t>First Tier 1 call. Founder-backed — decision comes fast. Lead with $1.67/tech/day message. Have Insight Engine open.</t>
        </is>
      </c>
    </row>
    <row r="13" ht="49.5" customHeight="1" s="435">
      <c r="A13" s="287" t="n">
        <v>9</v>
      </c>
      <c r="B13" s="287" t="inlineStr">
        <is>
          <t>2026-04-15</t>
        </is>
      </c>
      <c r="C13" s="288" t="inlineStr">
        <is>
          <t>Track 1</t>
        </is>
      </c>
      <c r="D13" s="289" t="inlineStr">
        <is>
          <t>EMPOWER BRANDS</t>
        </is>
      </c>
      <c r="E13" s="287" t="inlineStr">
        <is>
          <t>Scott Zide</t>
        </is>
      </c>
      <c r="F13" s="287" t="inlineStr">
        <is>
          <t>CEO, Empower Brands</t>
        </is>
      </c>
      <c r="G13" s="287" t="inlineStr">
        <is>
          <t>Email</t>
        </is>
      </c>
      <c r="H13" s="287" t="inlineStr">
        <is>
          <t>Follow-Up Email</t>
        </is>
      </c>
      <c r="I13" s="287" t="inlineStr">
        <is>
          <t>Pending</t>
        </is>
      </c>
      <c r="J13" s="287" t="n"/>
      <c r="K13" s="287" t="n"/>
      <c r="L13" s="287" t="n"/>
      <c r="M13" s="287" t="inlineStr">
        <is>
          <t>Send follow-up email. Attach Insight Engine 3-Way Scenario pre-populated for 9 non-JAN-PRO brands. MidOcean exit window angle.</t>
        </is>
      </c>
      <c r="N13" s="287" t="inlineStr">
        <is>
          <t>2026-04-15</t>
        </is>
      </c>
      <c r="O13" s="287" t="inlineStr">
        <is>
          <t>Queued</t>
        </is>
      </c>
      <c r="P13" s="287" t="inlineStr">
        <is>
          <t>Connection sent Apr 8. No response. Follow up via email referencing Ignite conference 'Accelerate Growth' theme.</t>
        </is>
      </c>
    </row>
    <row r="14" ht="49.5" customHeight="1" s="435">
      <c r="A14" s="287" t="n">
        <v>10</v>
      </c>
      <c r="B14" s="287" t="inlineStr">
        <is>
          <t>2026-04-16</t>
        </is>
      </c>
      <c r="C14" s="288" t="inlineStr">
        <is>
          <t>Track 1</t>
        </is>
      </c>
      <c r="D14" s="289" t="inlineStr">
        <is>
          <t>HOMEFRONT BRANDS</t>
        </is>
      </c>
      <c r="E14" s="287" t="inlineStr">
        <is>
          <t>Jeff Dudan</t>
        </is>
      </c>
      <c r="F14" s="287" t="inlineStr">
        <is>
          <t>Chairman &amp; CEO, HomeFront Brands</t>
        </is>
      </c>
      <c r="G14" s="287" t="inlineStr">
        <is>
          <t>LinkedIn</t>
        </is>
      </c>
      <c r="H14" s="287" t="inlineStr">
        <is>
          <t>First Touch</t>
        </is>
      </c>
      <c r="I14" s="287" t="inlineStr">
        <is>
          <t>Pending</t>
        </is>
      </c>
      <c r="J14" s="287" t="n"/>
      <c r="K14" s="287" t="n"/>
      <c r="L14" s="287" t="n"/>
      <c r="M14" s="287" t="inlineStr">
        <is>
          <t>Connection request + note referencing Forbes contributor work + Homecoming 4 vendor opportunity</t>
        </is>
      </c>
      <c r="N14" s="287" t="inlineStr">
        <is>
          <t>2026-04-16</t>
        </is>
      </c>
      <c r="O14" s="287" t="inlineStr">
        <is>
          <t>Queued</t>
        </is>
      </c>
      <c r="P14" s="287" t="inlineStr">
        <is>
          <t>Podcaster/Forbes angle — lead with content, not pitch. Reference Homecoming 4 vendor path. Window Hero brand wedge.</t>
        </is>
      </c>
    </row>
    <row r="15" ht="49.5" customHeight="1" s="435">
      <c r="A15" s="287" t="n">
        <v>11</v>
      </c>
      <c r="B15" s="287" t="inlineStr">
        <is>
          <t>2026-04-17</t>
        </is>
      </c>
      <c r="C15" s="288" t="inlineStr">
        <is>
          <t>Track 1</t>
        </is>
      </c>
      <c r="D15" s="289" t="inlineStr">
        <is>
          <t>FIVE STAR FRANCHISING</t>
        </is>
      </c>
      <c r="E15" s="287" t="inlineStr">
        <is>
          <t>Scott Abbott</t>
        </is>
      </c>
      <c r="F15" s="287" t="inlineStr">
        <is>
          <t>CEO &amp; Co-Founder</t>
        </is>
      </c>
      <c r="G15" s="287" t="inlineStr">
        <is>
          <t>LinkedIn</t>
        </is>
      </c>
      <c r="H15" s="287" t="inlineStr">
        <is>
          <t>First Touch</t>
        </is>
      </c>
      <c r="I15" s="287" t="inlineStr">
        <is>
          <t>Pending</t>
        </is>
      </c>
      <c r="J15" s="287" t="n"/>
      <c r="K15" s="287" t="n"/>
      <c r="L15" s="287" t="n"/>
      <c r="M15" s="287" t="inlineStr">
        <is>
          <t>Connection + note referencing HSS 2026 'Home Services Summit' + Princeton Equity Year 5 framing</t>
        </is>
      </c>
      <c r="N15" s="287" t="inlineStr">
        <is>
          <t>2026-04-17</t>
        </is>
      </c>
      <c r="O15" s="287" t="inlineStr">
        <is>
          <t>Queued</t>
        </is>
      </c>
      <c r="P15" s="287" t="inlineStr">
        <is>
          <t>Lead with HSS energy + Mosquito Shield as brand wedge. Princeton Equity Year 5 = exit window. CFO Steve White is the numbers conversation.</t>
        </is>
      </c>
    </row>
    <row r="16" ht="49.5" customHeight="1" s="435">
      <c r="A16" s="287" t="n">
        <v>12</v>
      </c>
      <c r="B16" s="287" t="inlineStr">
        <is>
          <t>2026-04-18</t>
        </is>
      </c>
      <c r="C16" s="288" t="inlineStr">
        <is>
          <t>Track 1</t>
        </is>
      </c>
      <c r="D16" s="289" t="inlineStr">
        <is>
          <t>THRESHOLD BRANDS</t>
        </is>
      </c>
      <c r="E16" s="287" t="inlineStr">
        <is>
          <t>Andrea Hohermuth</t>
        </is>
      </c>
      <c r="F16" s="287" t="inlineStr">
        <is>
          <t>COO, Threshold Brands</t>
        </is>
      </c>
      <c r="G16" s="287" t="inlineStr">
        <is>
          <t>LinkedIn</t>
        </is>
      </c>
      <c r="H16" s="287" t="inlineStr">
        <is>
          <t>First Touch</t>
        </is>
      </c>
      <c r="I16" s="287" t="inlineStr">
        <is>
          <t>Pending</t>
        </is>
      </c>
      <c r="J16" s="287" t="n"/>
      <c r="K16" s="287" t="n"/>
      <c r="L16" s="290" t="inlineStr">
        <is>
          <t>GPS: Riverside PE → Charles Layne intro path</t>
        </is>
      </c>
      <c r="M16" s="287" t="inlineStr">
        <is>
          <t>Verify Hagan Kappler CEO status first. If confirmed: approach CEO. If not: COO Andrea Hohermuth is primary.</t>
        </is>
      </c>
      <c r="N16" s="287" t="inlineStr">
        <is>
          <t>2026-04-18</t>
        </is>
      </c>
      <c r="O16" s="287" t="inlineStr">
        <is>
          <t>Queued</t>
        </is>
      </c>
      <c r="P16" s="287" t="inlineStr">
        <is>
          <t>⚠️ Verify Hagan Kappler still CEO before outreach. Use unfulfilled tech promise angle. ServiceBridge = what Threshold promised franchisees.</t>
        </is>
      </c>
    </row>
    <row r="17" ht="49.5" customHeight="1" s="435">
      <c r="A17" s="293" t="n">
        <v>13</v>
      </c>
      <c r="B17" s="293" t="inlineStr">
        <is>
          <t>2026-04-19</t>
        </is>
      </c>
      <c r="C17" s="288" t="inlineStr">
        <is>
          <t>Track 2</t>
        </is>
      </c>
      <c r="D17" s="289" t="inlineStr">
        <is>
          <t>1-800 Water Damage</t>
        </is>
      </c>
      <c r="E17" s="293" t="inlineStr">
        <is>
          <t>Local franchisee (TBD)</t>
        </is>
      </c>
      <c r="F17" s="293" t="inlineStr">
        <is>
          <t>Owner/Operator</t>
        </is>
      </c>
      <c r="G17" s="293" t="inlineStr">
        <is>
          <t>Phone</t>
        </is>
      </c>
      <c r="H17" s="293" t="inlineStr">
        <is>
          <t>Warm Outreach</t>
        </is>
      </c>
      <c r="I17" s="293" t="inlineStr">
        <is>
          <t>Pending</t>
        </is>
      </c>
      <c r="J17" s="293" t="n"/>
      <c r="K17" s="293" t="n"/>
      <c r="L17" s="290" t="inlineStr">
        <is>
          <t>📋 Getting GPS Insight telematics customer list from Andrea — cross-reference BELFOR first</t>
        </is>
      </c>
      <c r="M17" s="293" t="inlineStr">
        <is>
          <t>Identify 2-3 GPS Insight telematics customers within BELFOR network. These are warmest Track 2 calls.</t>
        </is>
      </c>
      <c r="N17" s="293" t="inlineStr">
        <is>
          <t>2026-04-19</t>
        </is>
      </c>
      <c r="O17" s="294" t="inlineStr">
        <is>
          <t>Waiting on Andrea</t>
        </is>
      </c>
      <c r="P17" s="293" t="inlineStr">
        <is>
          <t>GPS warm flag confirmed for BELFOR network. Andrea's telematics list unlocks the warm Track 2 path.</t>
        </is>
      </c>
    </row>
    <row r="18" ht="49.5" customHeight="1" s="435">
      <c r="A18" s="287" t="n">
        <v>14</v>
      </c>
      <c r="B18" s="287" t="inlineStr">
        <is>
          <t>2026-04-21</t>
        </is>
      </c>
      <c r="C18" s="288" t="inlineStr">
        <is>
          <t>Track 1</t>
        </is>
      </c>
      <c r="D18" s="289" t="inlineStr">
        <is>
          <t>AUTHORITY BRANDS</t>
        </is>
      </c>
      <c r="E18" s="287" t="inlineStr">
        <is>
          <t>Tij Bedi</t>
        </is>
      </c>
      <c r="F18" s="287" t="inlineStr">
        <is>
          <t>CTO, Authority Brands</t>
        </is>
      </c>
      <c r="G18" s="287" t="inlineStr">
        <is>
          <t>LinkedIn</t>
        </is>
      </c>
      <c r="H18" s="287" t="inlineStr">
        <is>
          <t>First Touch</t>
        </is>
      </c>
      <c r="I18" s="287" t="inlineStr">
        <is>
          <t>Pending</t>
        </is>
      </c>
      <c r="J18" s="287" t="n"/>
      <c r="K18" s="287" t="n"/>
      <c r="L18" s="290" t="inlineStr">
        <is>
          <t>GPS: Apax Partners → Charles Layne for PE intro before direct outreach</t>
        </is>
      </c>
      <c r="M18" s="287" t="inlineStr">
        <is>
          <t>Research Tij Bedi LinkedIn profile. Connect referencing 9 non-ST brands + tech infrastructure build mandate.</t>
        </is>
      </c>
      <c r="N18" s="287" t="inlineStr">
        <is>
          <t>2026-04-21</t>
        </is>
      </c>
      <c r="O18" s="287" t="inlineStr">
        <is>
          <t>Queued</t>
        </is>
      </c>
      <c r="P18" s="287" t="inlineStr">
        <is>
          <t>Joined Aug 2024. Building tech infrastructure from scratch for 9 greenfield brands. CTO = tech champion, not gatekeeper. Direct outreach appropriate.</t>
        </is>
      </c>
    </row>
    <row r="19" ht="49.5" customHeight="1" s="435">
      <c r="A19" s="293" t="n">
        <v>15</v>
      </c>
      <c r="B19" s="293" t="inlineStr">
        <is>
          <t>2026-04-21</t>
        </is>
      </c>
      <c r="C19" s="288" t="inlineStr">
        <is>
          <t>Track 2</t>
        </is>
      </c>
      <c r="D19" s="289" t="inlineStr">
        <is>
          <t>That 1 Painter</t>
        </is>
      </c>
      <c r="E19" s="293" t="inlineStr">
        <is>
          <t>Steven Montgomery</t>
        </is>
      </c>
      <c r="F19" s="293" t="inlineStr">
        <is>
          <t>Founder &amp; CEO, ResiBrands</t>
        </is>
      </c>
      <c r="G19" s="293" t="inlineStr">
        <is>
          <t>Discovery Call</t>
        </is>
      </c>
      <c r="H19" s="293" t="inlineStr">
        <is>
          <t>Brand Discussion</t>
        </is>
      </c>
      <c r="I19" s="293" t="inlineStr">
        <is>
          <t>Pending</t>
        </is>
      </c>
      <c r="J19" s="293" t="n"/>
      <c r="K19" s="293" t="n"/>
      <c r="L19" s="293" t="n"/>
      <c r="M19" s="293" t="inlineStr">
        <is>
          <t>If ResiBrands call goes well Apr 15 — expand to That 1 Painter specifically. 800+ territories.</t>
        </is>
      </c>
      <c r="N19" s="293" t="inlineStr">
        <is>
          <t>2026-04-21</t>
        </is>
      </c>
      <c r="O19" s="293" t="inlineStr">
        <is>
          <t>Post-Call Action</t>
        </is>
      </c>
      <c r="P19" s="293" t="inlineStr">
        <is>
          <t>800+ territories. ResiConnect handles scheduling. ServiceBridge handles field. Position as complement.</t>
        </is>
      </c>
    </row>
    <row r="20" ht="49.5" customHeight="1" s="435">
      <c r="A20" s="287" t="n">
        <v>16</v>
      </c>
      <c r="B20" s="287" t="inlineStr">
        <is>
          <t>2026-04-22</t>
        </is>
      </c>
      <c r="C20" s="288" t="inlineStr">
        <is>
          <t>Track 1</t>
        </is>
      </c>
      <c r="D20" s="289" t="inlineStr">
        <is>
          <t>PREMIUM SERVICE BRANDS</t>
        </is>
      </c>
      <c r="E20" s="287" t="inlineStr">
        <is>
          <t>Paul Flick</t>
        </is>
      </c>
      <c r="F20" s="287" t="inlineStr">
        <is>
          <t>Founder &amp; CEO, PSB</t>
        </is>
      </c>
      <c r="G20" s="287" t="inlineStr">
        <is>
          <t>LinkedIn</t>
        </is>
      </c>
      <c r="H20" s="287" t="inlineStr">
        <is>
          <t>First Touch</t>
        </is>
      </c>
      <c r="I20" s="287" t="inlineStr">
        <is>
          <t>Pending</t>
        </is>
      </c>
      <c r="J20" s="287" t="n"/>
      <c r="K20" s="287" t="n"/>
      <c r="L20" s="287" t="n"/>
      <c r="M20" s="287" t="inlineStr">
        <is>
          <t>Connection + note referencing RooterMan 300-location plumbing network as entry point</t>
        </is>
      </c>
      <c r="N20" s="287" t="inlineStr">
        <is>
          <t>2026-04-22</t>
        </is>
      </c>
      <c r="O20" s="287" t="inlineStr">
        <is>
          <t>Queued</t>
        </is>
      </c>
      <c r="P20" s="287" t="inlineStr">
        <is>
          <t>RooterMan = 300 locations = largest PSB brand by location count. PSB is greenfield across all 8 brands.</t>
        </is>
      </c>
    </row>
    <row r="21" ht="49.5" customHeight="1" s="435">
      <c r="A21" s="287" t="n">
        <v>17</v>
      </c>
      <c r="B21" s="287" t="inlineStr">
        <is>
          <t>2026-04-25</t>
        </is>
      </c>
      <c r="C21" s="288" t="inlineStr">
        <is>
          <t>Track 1</t>
        </is>
      </c>
      <c r="D21" s="289" t="inlineStr">
        <is>
          <t>BELFOR</t>
        </is>
      </c>
      <c r="E21" s="287" t="inlineStr">
        <is>
          <t>Sheldon Yellen</t>
        </is>
      </c>
      <c r="F21" s="287" t="inlineStr">
        <is>
          <t>CEO, BELFOR Holdings</t>
        </is>
      </c>
      <c r="G21" s="287" t="inlineStr">
        <is>
          <t>PE Path</t>
        </is>
      </c>
      <c r="H21" s="287" t="inlineStr">
        <is>
          <t>PE Intro Research</t>
        </is>
      </c>
      <c r="I21" s="287" t="inlineStr">
        <is>
          <t>Pending</t>
        </is>
      </c>
      <c r="J21" s="287" t="n"/>
      <c r="K21" s="287" t="n"/>
      <c r="L21" s="290" t="inlineStr">
        <is>
          <t>GPS: American Securities → Charles Layne → PE warm intro. Do NOT approach Sheldon direct.</t>
        </is>
      </c>
      <c r="M21" s="287" t="inlineStr">
        <is>
          <t>Charles to map American Securities connection. Sheldon approached only via PE intro, not cold.</t>
        </is>
      </c>
      <c r="N21" s="287" t="inlineStr">
        <is>
          <t>2026-04-25</t>
        </is>
      </c>
      <c r="O21" s="294" t="inlineStr">
        <is>
          <t>Waiting on GPS</t>
        </is>
      </c>
      <c r="P21" s="287" t="inlineStr">
        <is>
          <t>Sheldon Yellen is the top-of-house decision maker. American Securities backed. Charles Layne must own this intro path.</t>
        </is>
      </c>
    </row>
    <row r="22" ht="49.5" customHeight="1" s="435">
      <c r="A22" s="293" t="n">
        <v>18</v>
      </c>
      <c r="B22" s="293" t="inlineStr">
        <is>
          <t>2026-04-28</t>
        </is>
      </c>
      <c r="C22" s="288" t="inlineStr">
        <is>
          <t>Track 2</t>
        </is>
      </c>
      <c r="D22" s="289" t="inlineStr">
        <is>
          <t>DUCTZ</t>
        </is>
      </c>
      <c r="E22" s="293" t="inlineStr">
        <is>
          <t>Local franchisee (TBD)</t>
        </is>
      </c>
      <c r="F22" s="293" t="inlineStr">
        <is>
          <t>Owner/Operator</t>
        </is>
      </c>
      <c r="G22" s="293" t="inlineStr">
        <is>
          <t>Phone</t>
        </is>
      </c>
      <c r="H22" s="293" t="inlineStr">
        <is>
          <t>Track 2 Warm Outreach</t>
        </is>
      </c>
      <c r="I22" s="293" t="inlineStr">
        <is>
          <t>Pending</t>
        </is>
      </c>
      <c r="J22" s="293" t="n"/>
      <c r="K22" s="293" t="n"/>
      <c r="L22" s="290" t="inlineStr">
        <is>
          <t>📋 Cross-reference GPS Insight telematics list — DUCTZ route model = strong dispatch fit</t>
        </is>
      </c>
      <c r="M22" s="293" t="inlineStr">
        <is>
          <t>Target GPS Insight telematics customers in DUCTZ network. Route-based duct cleaning = repeatable dispatch pattern.</t>
        </is>
      </c>
      <c r="N22" s="293" t="inlineStr">
        <is>
          <t>2026-04-28</t>
        </is>
      </c>
      <c r="O22" s="294" t="inlineStr">
        <is>
          <t>Waiting on Andrea</t>
        </is>
      </c>
      <c r="P22" s="293" t="inlineStr">
        <is>
          <t>DUCTZ is recurring route model — annual duct cleanings. Strong ServiceBridge fit. GPS warm flag may unlock direct intro.</t>
        </is>
      </c>
    </row>
    <row r="23" ht="49.5" customHeight="1" s="435">
      <c r="A23" s="287" t="n">
        <v>19</v>
      </c>
      <c r="B23" s="287" t="inlineStr">
        <is>
          <t>2026-04-28</t>
        </is>
      </c>
      <c r="C23" s="288" t="inlineStr">
        <is>
          <t>Track 1</t>
        </is>
      </c>
      <c r="D23" s="289" t="inlineStr">
        <is>
          <t>EMPOWER BRANDS</t>
        </is>
      </c>
      <c r="E23" s="287" t="inlineStr">
        <is>
          <t>Gary Bauer</t>
        </is>
      </c>
      <c r="F23" s="287" t="inlineStr">
        <is>
          <t>Brand President, JAN-PRO</t>
        </is>
      </c>
      <c r="G23" s="287" t="inlineStr">
        <is>
          <t>LinkedIn</t>
        </is>
      </c>
      <c r="H23" s="287" t="inlineStr">
        <is>
          <t>Brand Wedge Touch</t>
        </is>
      </c>
      <c r="I23" s="287" t="inlineStr">
        <is>
          <t>Pending</t>
        </is>
      </c>
      <c r="J23" s="287" t="n"/>
      <c r="K23" s="287" t="n"/>
      <c r="L23" s="287" t="n"/>
      <c r="M23" s="287" t="inlineStr">
        <is>
          <t>Connect referencing Ignite conference + JAN-PRO's 30+ year ServiceMaster background. Discuss Aspire conflict carefully.</t>
        </is>
      </c>
      <c r="N23" s="287" t="inlineStr">
        <is>
          <t>2026-04-28</t>
        </is>
      </c>
      <c r="O23" s="287" t="inlineStr">
        <is>
          <t>Queued</t>
        </is>
      </c>
      <c r="P23" s="287" t="inlineStr">
        <is>
          <t>⚠️ JAN-PRO has proprietary FSM. Gary Bauer comes from ServiceMaster — knows Aspire. Approach as conversation, not pitch. Focus on gap between what JAN-PRO has vs ServiceBridge capability.</t>
        </is>
      </c>
    </row>
    <row r="24" ht="49.5" customHeight="1" s="435">
      <c r="A24" s="293" t="n">
        <v>20</v>
      </c>
      <c r="B24" s="293" t="inlineStr">
        <is>
          <t>2026-05-01</t>
        </is>
      </c>
      <c r="C24" s="288" t="inlineStr">
        <is>
          <t>Track 2</t>
        </is>
      </c>
      <c r="D24" s="289" t="inlineStr">
        <is>
          <t>Top Rail Fence</t>
        </is>
      </c>
      <c r="E24" s="293" t="inlineStr">
        <is>
          <t>Zack Dudan</t>
        </is>
      </c>
      <c r="F24" s="293" t="inlineStr">
        <is>
          <t>CGO, HomeFront Brands</t>
        </is>
      </c>
      <c r="G24" s="293" t="inlineStr">
        <is>
          <t>Event</t>
        </is>
      </c>
      <c r="H24" s="293" t="inlineStr">
        <is>
          <t>Homecoming 4 Vendor Research</t>
        </is>
      </c>
      <c r="I24" s="293" t="inlineStr">
        <is>
          <t>Pending</t>
        </is>
      </c>
      <c r="J24" s="293" t="n"/>
      <c r="K24" s="293" t="n"/>
      <c r="L24" s="293" t="n"/>
      <c r="M24" s="293" t="inlineStr">
        <is>
          <t>Research HomeFront Homecoming 4 vendor registration process. Target Nov 2026 Orlando.</t>
        </is>
      </c>
      <c r="N24" s="293" t="inlineStr">
        <is>
          <t>2026-05-01</t>
        </is>
      </c>
      <c r="O24" s="293" t="inlineStr">
        <is>
          <t>Research</t>
        </is>
      </c>
      <c r="P24" s="293" t="inlineStr">
        <is>
          <t>Top Rail Fence was Homecoming 3 Franchisee of the Year. Zack Dudan (CGO) runs vendor relationships. Homecoming 4 = still time to get in as vendor.</t>
        </is>
      </c>
    </row>
    <row r="25" ht="120" customHeight="1" s="435">
      <c r="A25" s="295" t="n">
        <v>21</v>
      </c>
      <c r="B25" s="295" t="inlineStr">
        <is>
          <t>2026-04-14</t>
        </is>
      </c>
      <c r="C25" s="296" t="inlineStr">
        <is>
          <t>Internal</t>
        </is>
      </c>
      <c r="D25" s="296" t="inlineStr">
        <is>
          <t>GPS Insight / ServiceBridge</t>
        </is>
      </c>
      <c r="E25" s="295" t="inlineStr">
        <is>
          <t>Andrea Rowan</t>
        </is>
      </c>
      <c r="F25" s="295" t="inlineStr">
        <is>
          <t>GM, ServiceBridge</t>
        </is>
      </c>
      <c r="G25" s="295" t="inlineStr">
        <is>
          <t>Internal</t>
        </is>
      </c>
      <c r="H25" s="295" t="inlineStr">
        <is>
          <t>Reference Validation</t>
        </is>
      </c>
      <c r="I25" s="295" t="inlineStr">
        <is>
          <t>Action Required</t>
        </is>
      </c>
      <c r="J25" s="297" t="n"/>
      <c r="K25" s="298" t="n"/>
      <c r="L25" s="299" t="inlineStr">
        <is>
          <t>📋 On me — GPS Insight to review ALL current ServiceBridge testimonials and case studies.
SB ADVANTAGE DOC ALREADY CONTAINS:
1. Robertson Pools (Dallas-Fort Worth TX) — Kelli Griffin, Service Manager
   Results: 64% revenue growth · 2pt net profit increase · Week 1 platform ROI
2. Critter Control (National Franchise Network) — Joe Felegi, President
   Results: Headcount-neutral growth · Improved lead-to-sale ratio · Eliminated daily office visits
3. Master Mastic (Regional Operator) — Brian Stilwell, Owner
   Results: 2x sales growth · Reduced admin overhead · Eliminated QB double-entry
ACTION: Andrea to confirm:
  a) Are these three clients still active and referenceable?
  b) Can their names/results be used in franchise prospect meetings?
  c) Are there any additional ServiceBridge clients (especially restoration, plumbing, pest control) that could serve as references for BELFOR/PSB/Empower outreach?
  d) Does GPS Insight have any existing BELFOR network telematics customers who could serve as a warm pilot candidate?</t>
        </is>
      </c>
      <c r="M25" s="300" t="inlineStr">
        <is>
          <t>Once references confirmed — populate Trade Reference tab in Insight_Engine_Excel_v3.xlsx with real client data to validate Insight Engine benchmarks before Rusty Amarante meeting.</t>
        </is>
      </c>
      <c r="N25" s="295" t="inlineStr">
        <is>
          <t>2026-04-18</t>
        </is>
      </c>
      <c r="O25" s="301" t="inlineStr">
        <is>
          <t>GPS Action Due</t>
        </is>
      </c>
      <c r="P25" s="295" t="inlineStr">
        <is>
          <t>Robertson Pools: 64% revenue growth. Critter Control: headcount-neutral growth. Master Mastic: 2x sales. All three in SB Advantage doc already. These are the pilot reference conversation starters. Validate referenceable status before using in any prospect conversation.</t>
        </is>
      </c>
    </row>
    <row r="26" ht="51.75" customHeight="1" s="435">
      <c r="A26" s="302" t="n"/>
      <c r="B26" s="302" t="n"/>
      <c r="C26" s="302" t="n"/>
      <c r="D26" s="302" t="n"/>
      <c r="E26" s="302" t="n"/>
      <c r="F26" s="302" t="n"/>
      <c r="G26" s="302" t="n"/>
      <c r="H26" s="302" t="n"/>
      <c r="I26" s="302" t="n"/>
      <c r="J26" s="302" t="n"/>
      <c r="K26" s="302" t="n"/>
      <c r="L26" s="302" t="n"/>
      <c r="M26" s="302" t="n"/>
      <c r="N26" s="302" t="n"/>
      <c r="O26" s="302" t="n"/>
      <c r="P26" s="302" t="n"/>
    </row>
    <row r="27" ht="51.75" customHeight="1" s="435">
      <c r="A27" s="303" t="n"/>
      <c r="B27" s="303" t="n"/>
      <c r="C27" s="303" t="n"/>
      <c r="D27" s="303" t="n"/>
      <c r="E27" s="303" t="n"/>
      <c r="F27" s="303" t="n"/>
      <c r="G27" s="303" t="n"/>
      <c r="H27" s="303" t="n"/>
      <c r="I27" s="303" t="n"/>
      <c r="J27" s="303" t="n"/>
      <c r="K27" s="303" t="n"/>
      <c r="L27" s="303" t="n"/>
      <c r="M27" s="303" t="n"/>
      <c r="N27" s="303" t="n"/>
      <c r="O27" s="303" t="n"/>
      <c r="P27" s="303" t="n"/>
    </row>
    <row r="28" ht="51.75" customHeight="1" s="435">
      <c r="A28" s="302" t="n"/>
      <c r="B28" s="302" t="n"/>
      <c r="C28" s="302" t="n"/>
      <c r="D28" s="302" t="n"/>
      <c r="E28" s="302" t="n"/>
      <c r="F28" s="302" t="n"/>
      <c r="G28" s="302" t="n"/>
      <c r="H28" s="302" t="n"/>
      <c r="I28" s="302" t="n"/>
      <c r="J28" s="302" t="n"/>
      <c r="K28" s="302" t="n"/>
      <c r="L28" s="302" t="n"/>
      <c r="M28" s="302" t="n"/>
      <c r="N28" s="302" t="n"/>
      <c r="O28" s="302" t="n"/>
      <c r="P28" s="302" t="n"/>
    </row>
    <row r="29" ht="51.75" customHeight="1" s="435">
      <c r="A29" s="303" t="n"/>
      <c r="B29" s="303" t="n"/>
      <c r="C29" s="303" t="n"/>
      <c r="D29" s="303" t="n"/>
      <c r="E29" s="303" t="n"/>
      <c r="F29" s="303" t="n"/>
      <c r="G29" s="303" t="n"/>
      <c r="H29" s="303" t="n"/>
      <c r="I29" s="303" t="n"/>
      <c r="J29" s="303" t="n"/>
      <c r="K29" s="303" t="n"/>
      <c r="L29" s="303" t="n"/>
      <c r="M29" s="303" t="n"/>
      <c r="N29" s="303" t="n"/>
      <c r="O29" s="303" t="n"/>
      <c r="P29" s="303" t="n"/>
    </row>
    <row r="30" ht="51.75" customHeight="1" s="435">
      <c r="A30" s="302" t="n"/>
      <c r="B30" s="302" t="n"/>
      <c r="C30" s="302" t="n"/>
      <c r="D30" s="302" t="n"/>
      <c r="E30" s="302" t="n"/>
      <c r="F30" s="302" t="n"/>
      <c r="G30" s="302" t="n"/>
      <c r="H30" s="302" t="n"/>
      <c r="I30" s="302" t="n"/>
      <c r="J30" s="302" t="n"/>
      <c r="K30" s="302" t="n"/>
      <c r="L30" s="302" t="n"/>
      <c r="M30" s="302" t="n"/>
      <c r="N30" s="302" t="n"/>
      <c r="O30" s="302" t="n"/>
      <c r="P30" s="302" t="n"/>
    </row>
    <row r="31" ht="51.75" customHeight="1" s="435">
      <c r="A31" s="303" t="n"/>
      <c r="B31" s="303" t="n"/>
      <c r="C31" s="303" t="n"/>
      <c r="D31" s="303" t="n"/>
      <c r="E31" s="303" t="n"/>
      <c r="F31" s="303" t="n"/>
      <c r="G31" s="303" t="n"/>
      <c r="H31" s="303" t="n"/>
      <c r="I31" s="303" t="n"/>
      <c r="J31" s="303" t="n"/>
      <c r="K31" s="303" t="n"/>
      <c r="L31" s="303" t="n"/>
      <c r="M31" s="303" t="n"/>
      <c r="N31" s="303" t="n"/>
      <c r="O31" s="303" t="n"/>
      <c r="P31" s="303" t="n"/>
    </row>
    <row r="32" ht="51.75" customHeight="1" s="435">
      <c r="A32" s="302" t="n"/>
      <c r="B32" s="302" t="n"/>
      <c r="C32" s="302" t="n"/>
      <c r="D32" s="302" t="n"/>
      <c r="E32" s="302" t="n"/>
      <c r="F32" s="302" t="n"/>
      <c r="G32" s="302" t="n"/>
      <c r="H32" s="302" t="n"/>
      <c r="I32" s="302" t="n"/>
      <c r="J32" s="302" t="n"/>
      <c r="K32" s="302" t="n"/>
      <c r="L32" s="302" t="n"/>
      <c r="M32" s="302" t="n"/>
      <c r="N32" s="302" t="n"/>
      <c r="O32" s="302" t="n"/>
      <c r="P32" s="302" t="n"/>
    </row>
    <row r="33" ht="51.75" customHeight="1" s="435">
      <c r="A33" s="303" t="n"/>
      <c r="B33" s="303" t="n"/>
      <c r="C33" s="303" t="n"/>
      <c r="D33" s="303" t="n"/>
      <c r="E33" s="303" t="n"/>
      <c r="F33" s="303" t="n"/>
      <c r="G33" s="303" t="n"/>
      <c r="H33" s="303" t="n"/>
      <c r="I33" s="303" t="n"/>
      <c r="J33" s="303" t="n"/>
      <c r="K33" s="303" t="n"/>
      <c r="L33" s="303" t="n"/>
      <c r="M33" s="303" t="n"/>
      <c r="N33" s="303" t="n"/>
      <c r="O33" s="303" t="n"/>
      <c r="P33" s="303" t="n"/>
    </row>
    <row r="34" ht="51.75" customHeight="1" s="435">
      <c r="A34" s="302" t="n"/>
      <c r="B34" s="302" t="n"/>
      <c r="C34" s="302" t="n"/>
      <c r="D34" s="302" t="n"/>
      <c r="E34" s="302" t="n"/>
      <c r="F34" s="302" t="n"/>
      <c r="G34" s="302" t="n"/>
      <c r="H34" s="302" t="n"/>
      <c r="I34" s="302" t="n"/>
      <c r="J34" s="302" t="n"/>
      <c r="K34" s="302" t="n"/>
      <c r="L34" s="302" t="n"/>
      <c r="M34" s="302" t="n"/>
      <c r="N34" s="302" t="n"/>
      <c r="O34" s="302" t="n"/>
      <c r="P34" s="302" t="n"/>
    </row>
    <row r="35" ht="51.75" customHeight="1" s="435">
      <c r="A35" s="303" t="n"/>
      <c r="B35" s="303" t="n"/>
      <c r="C35" s="303" t="n"/>
      <c r="D35" s="303" t="n"/>
      <c r="E35" s="303" t="n"/>
      <c r="F35" s="303" t="n"/>
      <c r="G35" s="303" t="n"/>
      <c r="H35" s="303" t="n"/>
      <c r="I35" s="303" t="n"/>
      <c r="J35" s="303" t="n"/>
      <c r="K35" s="303" t="n"/>
      <c r="L35" s="303" t="n"/>
      <c r="M35" s="303" t="n"/>
      <c r="N35" s="303" t="n"/>
      <c r="O35" s="303" t="n"/>
      <c r="P35" s="303" t="n"/>
    </row>
    <row r="36" ht="51.75" customHeight="1" s="435">
      <c r="A36" s="302" t="n"/>
      <c r="B36" s="302" t="n"/>
      <c r="C36" s="302" t="n"/>
      <c r="D36" s="302" t="n"/>
      <c r="E36" s="302" t="n"/>
      <c r="F36" s="302" t="n"/>
      <c r="G36" s="302" t="n"/>
      <c r="H36" s="302" t="n"/>
      <c r="I36" s="302" t="n"/>
      <c r="J36" s="302" t="n"/>
      <c r="K36" s="302" t="n"/>
      <c r="L36" s="302" t="n"/>
      <c r="M36" s="302" t="n"/>
      <c r="N36" s="302" t="n"/>
      <c r="O36" s="302" t="n"/>
      <c r="P36" s="302" t="n"/>
    </row>
    <row r="37" ht="51.75" customHeight="1" s="435">
      <c r="A37" s="303" t="n"/>
      <c r="B37" s="303" t="n"/>
      <c r="C37" s="303" t="n"/>
      <c r="D37" s="303" t="n"/>
      <c r="E37" s="303" t="n"/>
      <c r="F37" s="303" t="n"/>
      <c r="G37" s="303" t="n"/>
      <c r="H37" s="303" t="n"/>
      <c r="I37" s="303" t="n"/>
      <c r="J37" s="303" t="n"/>
      <c r="K37" s="303" t="n"/>
      <c r="L37" s="303" t="n"/>
      <c r="M37" s="303" t="n"/>
      <c r="N37" s="303" t="n"/>
      <c r="O37" s="303" t="n"/>
      <c r="P37" s="303" t="n"/>
    </row>
    <row r="38" ht="51.75" customHeight="1" s="435">
      <c r="A38" s="302" t="n"/>
      <c r="B38" s="302" t="n"/>
      <c r="C38" s="302" t="n"/>
      <c r="D38" s="302" t="n"/>
      <c r="E38" s="302" t="n"/>
      <c r="F38" s="302" t="n"/>
      <c r="G38" s="302" t="n"/>
      <c r="H38" s="302" t="n"/>
      <c r="I38" s="302" t="n"/>
      <c r="J38" s="302" t="n"/>
      <c r="K38" s="302" t="n"/>
      <c r="L38" s="302" t="n"/>
      <c r="M38" s="302" t="n"/>
      <c r="N38" s="302" t="n"/>
      <c r="O38" s="302" t="n"/>
      <c r="P38" s="302" t="n"/>
    </row>
    <row r="39" ht="51.75" customHeight="1" s="435">
      <c r="A39" s="303" t="n"/>
      <c r="B39" s="303" t="n"/>
      <c r="C39" s="303" t="n"/>
      <c r="D39" s="303" t="n"/>
      <c r="E39" s="303" t="n"/>
      <c r="F39" s="303" t="n"/>
      <c r="G39" s="303" t="n"/>
      <c r="H39" s="303" t="n"/>
      <c r="I39" s="303" t="n"/>
      <c r="J39" s="303" t="n"/>
      <c r="K39" s="303" t="n"/>
      <c r="L39" s="303" t="n"/>
      <c r="M39" s="303" t="n"/>
      <c r="N39" s="303" t="n"/>
      <c r="O39" s="303" t="n"/>
      <c r="P39" s="303" t="n"/>
    </row>
    <row r="40" ht="51.75" customHeight="1" s="435">
      <c r="A40" s="302" t="n"/>
      <c r="B40" s="302" t="n"/>
      <c r="C40" s="302" t="n"/>
      <c r="D40" s="302" t="n"/>
      <c r="E40" s="302" t="n"/>
      <c r="F40" s="302" t="n"/>
      <c r="G40" s="302" t="n"/>
      <c r="H40" s="302" t="n"/>
      <c r="I40" s="302" t="n"/>
      <c r="J40" s="302" t="n"/>
      <c r="K40" s="302" t="n"/>
      <c r="L40" s="302" t="n"/>
      <c r="M40" s="302" t="n"/>
      <c r="N40" s="302" t="n"/>
      <c r="O40" s="302" t="n"/>
      <c r="P40" s="302" t="n"/>
    </row>
    <row r="41" ht="51.75" customHeight="1" s="435">
      <c r="A41" s="303" t="n"/>
      <c r="B41" s="303" t="n"/>
      <c r="C41" s="303" t="n"/>
      <c r="D41" s="303" t="n"/>
      <c r="E41" s="303" t="n"/>
      <c r="F41" s="303" t="n"/>
      <c r="G41" s="303" t="n"/>
      <c r="H41" s="303" t="n"/>
      <c r="I41" s="303" t="n"/>
      <c r="J41" s="303" t="n"/>
      <c r="K41" s="303" t="n"/>
      <c r="L41" s="303" t="n"/>
      <c r="M41" s="303" t="n"/>
      <c r="N41" s="303" t="n"/>
      <c r="O41" s="303" t="n"/>
      <c r="P41" s="303" t="n"/>
    </row>
    <row r="42" ht="51.75" customHeight="1" s="435">
      <c r="A42" s="302" t="n"/>
      <c r="B42" s="302" t="n"/>
      <c r="C42" s="302" t="n"/>
      <c r="D42" s="302" t="n"/>
      <c r="E42" s="302" t="n"/>
      <c r="F42" s="302" t="n"/>
      <c r="G42" s="302" t="n"/>
      <c r="H42" s="302" t="n"/>
      <c r="I42" s="302" t="n"/>
      <c r="J42" s="302" t="n"/>
      <c r="K42" s="302" t="n"/>
      <c r="L42" s="302" t="n"/>
      <c r="M42" s="302" t="n"/>
      <c r="N42" s="302" t="n"/>
      <c r="O42" s="302" t="n"/>
      <c r="P42" s="302" t="n"/>
    </row>
    <row r="43" ht="51.75" customHeight="1" s="435">
      <c r="A43" s="303" t="n"/>
      <c r="B43" s="303" t="n"/>
      <c r="C43" s="303" t="n"/>
      <c r="D43" s="303" t="n"/>
      <c r="E43" s="303" t="n"/>
      <c r="F43" s="303" t="n"/>
      <c r="G43" s="303" t="n"/>
      <c r="H43" s="303" t="n"/>
      <c r="I43" s="303" t="n"/>
      <c r="J43" s="303" t="n"/>
      <c r="K43" s="303" t="n"/>
      <c r="L43" s="303" t="n"/>
      <c r="M43" s="303" t="n"/>
      <c r="N43" s="303" t="n"/>
      <c r="O43" s="303" t="n"/>
      <c r="P43" s="303" t="n"/>
    </row>
    <row r="44" ht="51.75" customHeight="1" s="435">
      <c r="A44" s="302" t="n"/>
      <c r="B44" s="302" t="n"/>
      <c r="C44" s="302" t="n"/>
      <c r="D44" s="302" t="n"/>
      <c r="E44" s="302" t="n"/>
      <c r="F44" s="302" t="n"/>
      <c r="G44" s="302" t="n"/>
      <c r="H44" s="302" t="n"/>
      <c r="I44" s="302" t="n"/>
      <c r="J44" s="302" t="n"/>
      <c r="K44" s="302" t="n"/>
      <c r="L44" s="302" t="n"/>
      <c r="M44" s="302" t="n"/>
      <c r="N44" s="302" t="n"/>
      <c r="O44" s="302" t="n"/>
      <c r="P44" s="302" t="n"/>
    </row>
    <row r="45" ht="51.75" customHeight="1" s="435">
      <c r="A45" s="303" t="n"/>
      <c r="B45" s="303" t="n"/>
      <c r="C45" s="303" t="n"/>
      <c r="D45" s="303" t="n"/>
      <c r="E45" s="303" t="n"/>
      <c r="F45" s="303" t="n"/>
      <c r="G45" s="303" t="n"/>
      <c r="H45" s="303" t="n"/>
      <c r="I45" s="303" t="n"/>
      <c r="J45" s="303" t="n"/>
      <c r="K45" s="303" t="n"/>
      <c r="L45" s="303" t="n"/>
      <c r="M45" s="303" t="n"/>
      <c r="N45" s="303" t="n"/>
      <c r="O45" s="303" t="n"/>
      <c r="P45" s="303" t="n"/>
    </row>
    <row r="46" ht="51.75" customHeight="1" s="435">
      <c r="A46" s="302" t="n"/>
      <c r="B46" s="302" t="n"/>
      <c r="C46" s="302" t="n"/>
      <c r="D46" s="302" t="n"/>
      <c r="E46" s="302" t="n"/>
      <c r="F46" s="302" t="n"/>
      <c r="G46" s="302" t="n"/>
      <c r="H46" s="302" t="n"/>
      <c r="I46" s="302" t="n"/>
      <c r="J46" s="302" t="n"/>
      <c r="K46" s="302" t="n"/>
      <c r="L46" s="302" t="n"/>
      <c r="M46" s="302" t="n"/>
      <c r="N46" s="302" t="n"/>
      <c r="O46" s="302" t="n"/>
      <c r="P46" s="302" t="n"/>
    </row>
    <row r="47" ht="51.75" customHeight="1" s="435">
      <c r="A47" s="303" t="n"/>
      <c r="B47" s="303" t="n"/>
      <c r="C47" s="303" t="n"/>
      <c r="D47" s="303" t="n"/>
      <c r="E47" s="303" t="n"/>
      <c r="F47" s="303" t="n"/>
      <c r="G47" s="303" t="n"/>
      <c r="H47" s="303" t="n"/>
      <c r="I47" s="303" t="n"/>
      <c r="J47" s="303" t="n"/>
      <c r="K47" s="303" t="n"/>
      <c r="L47" s="303" t="n"/>
      <c r="M47" s="303" t="n"/>
      <c r="N47" s="303" t="n"/>
      <c r="O47" s="303" t="n"/>
      <c r="P47" s="303" t="n"/>
    </row>
    <row r="48" ht="51.75" customHeight="1" s="435">
      <c r="A48" s="302" t="n"/>
      <c r="B48" s="302" t="n"/>
      <c r="C48" s="302" t="n"/>
      <c r="D48" s="302" t="n"/>
      <c r="E48" s="302" t="n"/>
      <c r="F48" s="302" t="n"/>
      <c r="G48" s="302" t="n"/>
      <c r="H48" s="302" t="n"/>
      <c r="I48" s="302" t="n"/>
      <c r="J48" s="302" t="n"/>
      <c r="K48" s="302" t="n"/>
      <c r="L48" s="302" t="n"/>
      <c r="M48" s="302" t="n"/>
      <c r="N48" s="302" t="n"/>
      <c r="O48" s="302" t="n"/>
      <c r="P48" s="302" t="n"/>
    </row>
    <row r="49" ht="51.75" customHeight="1" s="435">
      <c r="A49" s="303" t="n"/>
      <c r="B49" s="303" t="n"/>
      <c r="C49" s="303" t="n"/>
      <c r="D49" s="303" t="n"/>
      <c r="E49" s="303" t="n"/>
      <c r="F49" s="303" t="n"/>
      <c r="G49" s="303" t="n"/>
      <c r="H49" s="303" t="n"/>
      <c r="I49" s="303" t="n"/>
      <c r="J49" s="303" t="n"/>
      <c r="K49" s="303" t="n"/>
      <c r="L49" s="303" t="n"/>
      <c r="M49" s="303" t="n"/>
      <c r="N49" s="303" t="n"/>
      <c r="O49" s="303" t="n"/>
      <c r="P49" s="303" t="n"/>
    </row>
    <row r="50" ht="51.75" customHeight="1" s="435">
      <c r="A50" s="302" t="n"/>
      <c r="B50" s="302" t="n"/>
      <c r="C50" s="302" t="n"/>
      <c r="D50" s="302" t="n"/>
      <c r="E50" s="302" t="n"/>
      <c r="F50" s="302" t="n"/>
      <c r="G50" s="302" t="n"/>
      <c r="H50" s="302" t="n"/>
      <c r="I50" s="302" t="n"/>
      <c r="J50" s="302" t="n"/>
      <c r="K50" s="302" t="n"/>
      <c r="L50" s="302" t="n"/>
      <c r="M50" s="302" t="n"/>
      <c r="N50" s="302" t="n"/>
      <c r="O50" s="302" t="n"/>
      <c r="P50" s="302" t="n"/>
    </row>
    <row r="51" ht="51.75" customHeight="1" s="435">
      <c r="A51" s="303" t="n"/>
      <c r="B51" s="303" t="n"/>
      <c r="C51" s="303" t="n"/>
      <c r="D51" s="303" t="n"/>
      <c r="E51" s="303" t="n"/>
      <c r="F51" s="303" t="n"/>
      <c r="G51" s="303" t="n"/>
      <c r="H51" s="303" t="n"/>
      <c r="I51" s="303" t="n"/>
      <c r="J51" s="303" t="n"/>
      <c r="K51" s="303" t="n"/>
      <c r="L51" s="303" t="n"/>
      <c r="M51" s="303" t="n"/>
      <c r="N51" s="303" t="n"/>
      <c r="O51" s="303" t="n"/>
      <c r="P51" s="303" t="n"/>
    </row>
    <row r="52" ht="51.75" customHeight="1" s="435">
      <c r="A52" s="302" t="n"/>
      <c r="B52" s="302" t="n"/>
      <c r="C52" s="302" t="n"/>
      <c r="D52" s="302" t="n"/>
      <c r="E52" s="302" t="n"/>
      <c r="F52" s="302" t="n"/>
      <c r="G52" s="302" t="n"/>
      <c r="H52" s="302" t="n"/>
      <c r="I52" s="302" t="n"/>
      <c r="J52" s="302" t="n"/>
      <c r="K52" s="302" t="n"/>
      <c r="L52" s="302" t="n"/>
      <c r="M52" s="302" t="n"/>
      <c r="N52" s="302" t="n"/>
      <c r="O52" s="302" t="n"/>
      <c r="P52" s="302" t="n"/>
    </row>
    <row r="53" ht="51.75" customHeight="1" s="435">
      <c r="A53" s="303" t="n"/>
      <c r="B53" s="303" t="n"/>
      <c r="C53" s="303" t="n"/>
      <c r="D53" s="303" t="n"/>
      <c r="E53" s="303" t="n"/>
      <c r="F53" s="303" t="n"/>
      <c r="G53" s="303" t="n"/>
      <c r="H53" s="303" t="n"/>
      <c r="I53" s="303" t="n"/>
      <c r="J53" s="303" t="n"/>
      <c r="K53" s="303" t="n"/>
      <c r="L53" s="303" t="n"/>
      <c r="M53" s="303" t="n"/>
      <c r="N53" s="303" t="n"/>
      <c r="O53" s="303" t="n"/>
      <c r="P53" s="303" t="n"/>
    </row>
    <row r="54" ht="51.75" customHeight="1" s="435">
      <c r="A54" s="302" t="n"/>
      <c r="B54" s="302" t="n"/>
      <c r="C54" s="302" t="n"/>
      <c r="D54" s="302" t="n"/>
      <c r="E54" s="302" t="n"/>
      <c r="F54" s="302" t="n"/>
      <c r="G54" s="302" t="n"/>
      <c r="H54" s="302" t="n"/>
      <c r="I54" s="302" t="n"/>
      <c r="J54" s="302" t="n"/>
      <c r="K54" s="302" t="n"/>
      <c r="L54" s="302" t="n"/>
      <c r="M54" s="302" t="n"/>
      <c r="N54" s="302" t="n"/>
      <c r="O54" s="302" t="n"/>
      <c r="P54" s="302" t="n"/>
    </row>
    <row r="55" ht="51.75" customHeight="1" s="435">
      <c r="A55" s="303" t="n"/>
      <c r="B55" s="303" t="n"/>
      <c r="C55" s="303" t="n"/>
      <c r="D55" s="303" t="n"/>
      <c r="E55" s="303" t="n"/>
      <c r="F55" s="303" t="n"/>
      <c r="G55" s="303" t="n"/>
      <c r="H55" s="303" t="n"/>
      <c r="I55" s="303" t="n"/>
      <c r="J55" s="303" t="n"/>
      <c r="K55" s="303" t="n"/>
      <c r="L55" s="303" t="n"/>
      <c r="M55" s="303" t="n"/>
      <c r="N55" s="303" t="n"/>
      <c r="O55" s="303" t="n"/>
      <c r="P55" s="303" t="n"/>
    </row>
    <row r="56" ht="51.75" customHeight="1" s="435">
      <c r="A56" s="302" t="n"/>
      <c r="B56" s="302" t="n"/>
      <c r="C56" s="302" t="n"/>
      <c r="D56" s="302" t="n"/>
      <c r="E56" s="302" t="n"/>
      <c r="F56" s="302" t="n"/>
      <c r="G56" s="302" t="n"/>
      <c r="H56" s="302" t="n"/>
      <c r="I56" s="302" t="n"/>
      <c r="J56" s="302" t="n"/>
      <c r="K56" s="302" t="n"/>
      <c r="L56" s="302" t="n"/>
      <c r="M56" s="302" t="n"/>
      <c r="N56" s="302" t="n"/>
      <c r="O56" s="302" t="n"/>
      <c r="P56" s="302" t="n"/>
    </row>
    <row r="57" ht="51.75" customHeight="1" s="435">
      <c r="A57" s="303" t="n"/>
      <c r="B57" s="303" t="n"/>
      <c r="C57" s="303" t="n"/>
      <c r="D57" s="303" t="n"/>
      <c r="E57" s="303" t="n"/>
      <c r="F57" s="303" t="n"/>
      <c r="G57" s="303" t="n"/>
      <c r="H57" s="303" t="n"/>
      <c r="I57" s="303" t="n"/>
      <c r="J57" s="303" t="n"/>
      <c r="K57" s="303" t="n"/>
      <c r="L57" s="303" t="n"/>
      <c r="M57" s="303" t="n"/>
      <c r="N57" s="303" t="n"/>
      <c r="O57" s="303" t="n"/>
      <c r="P57" s="303" t="n"/>
    </row>
    <row r="58" ht="51.75" customHeight="1" s="435">
      <c r="A58" s="302" t="n"/>
      <c r="B58" s="302" t="n"/>
      <c r="C58" s="302" t="n"/>
      <c r="D58" s="302" t="n"/>
      <c r="E58" s="302" t="n"/>
      <c r="F58" s="302" t="n"/>
      <c r="G58" s="302" t="n"/>
      <c r="H58" s="302" t="n"/>
      <c r="I58" s="302" t="n"/>
      <c r="J58" s="302" t="n"/>
      <c r="K58" s="302" t="n"/>
      <c r="L58" s="302" t="n"/>
      <c r="M58" s="302" t="n"/>
      <c r="N58" s="302" t="n"/>
      <c r="O58" s="302" t="n"/>
      <c r="P58" s="302" t="n"/>
    </row>
    <row r="59" ht="51.75" customHeight="1" s="435">
      <c r="A59" s="303" t="n"/>
      <c r="B59" s="303" t="n"/>
      <c r="C59" s="303" t="n"/>
      <c r="D59" s="303" t="n"/>
      <c r="E59" s="303" t="n"/>
      <c r="F59" s="303" t="n"/>
      <c r="G59" s="303" t="n"/>
      <c r="H59" s="303" t="n"/>
      <c r="I59" s="303" t="n"/>
      <c r="J59" s="303" t="n"/>
      <c r="K59" s="303" t="n"/>
      <c r="L59" s="303" t="n"/>
      <c r="M59" s="303" t="n"/>
      <c r="N59" s="303" t="n"/>
      <c r="O59" s="303" t="n"/>
      <c r="P59" s="303" t="n"/>
    </row>
    <row r="60" ht="51.75" customHeight="1" s="435">
      <c r="A60" s="302" t="n"/>
      <c r="B60" s="302" t="n"/>
      <c r="C60" s="302" t="n"/>
      <c r="D60" s="302" t="n"/>
      <c r="E60" s="302" t="n"/>
      <c r="F60" s="302" t="n"/>
      <c r="G60" s="302" t="n"/>
      <c r="H60" s="302" t="n"/>
      <c r="I60" s="302" t="n"/>
      <c r="J60" s="302" t="n"/>
      <c r="K60" s="302" t="n"/>
      <c r="L60" s="302" t="n"/>
      <c r="M60" s="302" t="n"/>
      <c r="N60" s="302" t="n"/>
      <c r="O60" s="302" t="n"/>
      <c r="P60" s="302" t="n"/>
    </row>
    <row r="61" ht="51.75" customHeight="1" s="435">
      <c r="A61" s="303" t="n"/>
      <c r="B61" s="303" t="n"/>
      <c r="C61" s="303" t="n"/>
      <c r="D61" s="303" t="n"/>
      <c r="E61" s="303" t="n"/>
      <c r="F61" s="303" t="n"/>
      <c r="G61" s="303" t="n"/>
      <c r="H61" s="303" t="n"/>
      <c r="I61" s="303" t="n"/>
      <c r="J61" s="303" t="n"/>
      <c r="K61" s="303" t="n"/>
      <c r="L61" s="303" t="n"/>
      <c r="M61" s="303" t="n"/>
      <c r="N61" s="303" t="n"/>
      <c r="O61" s="303" t="n"/>
      <c r="P61" s="303" t="n"/>
    </row>
    <row r="62" ht="51.75" customHeight="1" s="435">
      <c r="A62" s="302" t="n"/>
      <c r="B62" s="302" t="n"/>
      <c r="C62" s="302" t="n"/>
      <c r="D62" s="302" t="n"/>
      <c r="E62" s="302" t="n"/>
      <c r="F62" s="302" t="n"/>
      <c r="G62" s="302" t="n"/>
      <c r="H62" s="302" t="n"/>
      <c r="I62" s="302" t="n"/>
      <c r="J62" s="302" t="n"/>
      <c r="K62" s="302" t="n"/>
      <c r="L62" s="302" t="n"/>
      <c r="M62" s="302" t="n"/>
      <c r="N62" s="302" t="n"/>
      <c r="O62" s="302" t="n"/>
      <c r="P62" s="302" t="n"/>
    </row>
    <row r="63" ht="51.75" customHeight="1" s="435">
      <c r="A63" s="303" t="n"/>
      <c r="B63" s="303" t="n"/>
      <c r="C63" s="303" t="n"/>
      <c r="D63" s="303" t="n"/>
      <c r="E63" s="303" t="n"/>
      <c r="F63" s="303" t="n"/>
      <c r="G63" s="303" t="n"/>
      <c r="H63" s="303" t="n"/>
      <c r="I63" s="303" t="n"/>
      <c r="J63" s="303" t="n"/>
      <c r="K63" s="303" t="n"/>
      <c r="L63" s="303" t="n"/>
      <c r="M63" s="303" t="n"/>
      <c r="N63" s="303" t="n"/>
      <c r="O63" s="303" t="n"/>
      <c r="P63" s="303" t="n"/>
    </row>
    <row r="64" ht="51.75" customHeight="1" s="435">
      <c r="A64" s="302" t="n"/>
      <c r="B64" s="302" t="n"/>
      <c r="C64" s="302" t="n"/>
      <c r="D64" s="302" t="n"/>
      <c r="E64" s="302" t="n"/>
      <c r="F64" s="302" t="n"/>
      <c r="G64" s="302" t="n"/>
      <c r="H64" s="302" t="n"/>
      <c r="I64" s="302" t="n"/>
      <c r="J64" s="302" t="n"/>
      <c r="K64" s="302" t="n"/>
      <c r="L64" s="302" t="n"/>
      <c r="M64" s="302" t="n"/>
      <c r="N64" s="302" t="n"/>
      <c r="O64" s="302" t="n"/>
      <c r="P64" s="302" t="n"/>
    </row>
    <row r="65" ht="51.75" customHeight="1" s="435">
      <c r="A65" s="303" t="n"/>
      <c r="B65" s="303" t="n"/>
      <c r="C65" s="303" t="n"/>
      <c r="D65" s="303" t="n"/>
      <c r="E65" s="303" t="n"/>
      <c r="F65" s="303" t="n"/>
      <c r="G65" s="303" t="n"/>
      <c r="H65" s="303" t="n"/>
      <c r="I65" s="303" t="n"/>
      <c r="J65" s="303" t="n"/>
      <c r="K65" s="303" t="n"/>
      <c r="L65" s="303" t="n"/>
      <c r="M65" s="303" t="n"/>
      <c r="N65" s="303" t="n"/>
      <c r="O65" s="303" t="n"/>
      <c r="P65" s="303" t="n"/>
    </row>
    <row r="66" ht="51.75" customHeight="1" s="435">
      <c r="A66" s="302" t="n"/>
      <c r="B66" s="302" t="n"/>
      <c r="C66" s="302" t="n"/>
      <c r="D66" s="302" t="n"/>
      <c r="E66" s="302" t="n"/>
      <c r="F66" s="302" t="n"/>
      <c r="G66" s="302" t="n"/>
      <c r="H66" s="302" t="n"/>
      <c r="I66" s="302" t="n"/>
      <c r="J66" s="302" t="n"/>
      <c r="K66" s="302" t="n"/>
      <c r="L66" s="302" t="n"/>
      <c r="M66" s="302" t="n"/>
      <c r="N66" s="302" t="n"/>
      <c r="O66" s="302" t="n"/>
      <c r="P66" s="302" t="n"/>
    </row>
    <row r="67" ht="51.75" customHeight="1" s="435">
      <c r="A67" s="303" t="n"/>
      <c r="B67" s="303" t="n"/>
      <c r="C67" s="303" t="n"/>
      <c r="D67" s="303" t="n"/>
      <c r="E67" s="303" t="n"/>
      <c r="F67" s="303" t="n"/>
      <c r="G67" s="303" t="n"/>
      <c r="H67" s="303" t="n"/>
      <c r="I67" s="303" t="n"/>
      <c r="J67" s="303" t="n"/>
      <c r="K67" s="303" t="n"/>
      <c r="L67" s="303" t="n"/>
      <c r="M67" s="303" t="n"/>
      <c r="N67" s="303" t="n"/>
      <c r="O67" s="303" t="n"/>
      <c r="P67" s="303" t="n"/>
    </row>
    <row r="68" ht="51.75" customHeight="1" s="435">
      <c r="A68" s="302" t="n"/>
      <c r="B68" s="302" t="n"/>
      <c r="C68" s="302" t="n"/>
      <c r="D68" s="302" t="n"/>
      <c r="E68" s="302" t="n"/>
      <c r="F68" s="302" t="n"/>
      <c r="G68" s="302" t="n"/>
      <c r="H68" s="302" t="n"/>
      <c r="I68" s="302" t="n"/>
      <c r="J68" s="302" t="n"/>
      <c r="K68" s="302" t="n"/>
      <c r="L68" s="302" t="n"/>
      <c r="M68" s="302" t="n"/>
      <c r="N68" s="302" t="n"/>
      <c r="O68" s="302" t="n"/>
      <c r="P68" s="302" t="n"/>
    </row>
    <row r="69" ht="51.75" customHeight="1" s="435">
      <c r="A69" s="303" t="n"/>
      <c r="B69" s="303" t="n"/>
      <c r="C69" s="303" t="n"/>
      <c r="D69" s="303" t="n"/>
      <c r="E69" s="303" t="n"/>
      <c r="F69" s="303" t="n"/>
      <c r="G69" s="303" t="n"/>
      <c r="H69" s="303" t="n"/>
      <c r="I69" s="303" t="n"/>
      <c r="J69" s="303" t="n"/>
      <c r="K69" s="303" t="n"/>
      <c r="L69" s="303" t="n"/>
      <c r="M69" s="303" t="n"/>
      <c r="N69" s="303" t="n"/>
      <c r="O69" s="303" t="n"/>
      <c r="P69" s="303" t="n"/>
    </row>
    <row r="70" ht="51.75" customHeight="1" s="435">
      <c r="A70" s="302" t="n"/>
      <c r="B70" s="302" t="n"/>
      <c r="C70" s="302" t="n"/>
      <c r="D70" s="302" t="n"/>
      <c r="E70" s="302" t="n"/>
      <c r="F70" s="302" t="n"/>
      <c r="G70" s="302" t="n"/>
      <c r="H70" s="302" t="n"/>
      <c r="I70" s="302" t="n"/>
      <c r="J70" s="302" t="n"/>
      <c r="K70" s="302" t="n"/>
      <c r="L70" s="302" t="n"/>
      <c r="M70" s="302" t="n"/>
      <c r="N70" s="302" t="n"/>
      <c r="O70" s="302" t="n"/>
      <c r="P70" s="302" t="n"/>
    </row>
    <row r="71" ht="51.75" customHeight="1" s="435">
      <c r="A71" s="303" t="n"/>
      <c r="B71" s="303" t="n"/>
      <c r="C71" s="303" t="n"/>
      <c r="D71" s="303" t="n"/>
      <c r="E71" s="303" t="n"/>
      <c r="F71" s="303" t="n"/>
      <c r="G71" s="303" t="n"/>
      <c r="H71" s="303" t="n"/>
      <c r="I71" s="303" t="n"/>
      <c r="J71" s="303" t="n"/>
      <c r="K71" s="303" t="n"/>
      <c r="L71" s="303" t="n"/>
      <c r="M71" s="303" t="n"/>
      <c r="N71" s="303" t="n"/>
      <c r="O71" s="303" t="n"/>
      <c r="P71" s="303" t="n"/>
    </row>
    <row r="72" ht="51.75" customHeight="1" s="435">
      <c r="A72" s="302" t="n"/>
      <c r="B72" s="302" t="n"/>
      <c r="C72" s="302" t="n"/>
      <c r="D72" s="302" t="n"/>
      <c r="E72" s="302" t="n"/>
      <c r="F72" s="302" t="n"/>
      <c r="G72" s="302" t="n"/>
      <c r="H72" s="302" t="n"/>
      <c r="I72" s="302" t="n"/>
      <c r="J72" s="302" t="n"/>
      <c r="K72" s="302" t="n"/>
      <c r="L72" s="302" t="n"/>
      <c r="M72" s="302" t="n"/>
      <c r="N72" s="302" t="n"/>
      <c r="O72" s="302" t="n"/>
      <c r="P72" s="302" t="n"/>
    </row>
    <row r="73" ht="51.75" customHeight="1" s="435">
      <c r="A73" s="303" t="n"/>
      <c r="B73" s="303" t="n"/>
      <c r="C73" s="303" t="n"/>
      <c r="D73" s="303" t="n"/>
      <c r="E73" s="303" t="n"/>
      <c r="F73" s="303" t="n"/>
      <c r="G73" s="303" t="n"/>
      <c r="H73" s="303" t="n"/>
      <c r="I73" s="303" t="n"/>
      <c r="J73" s="303" t="n"/>
      <c r="K73" s="303" t="n"/>
      <c r="L73" s="303" t="n"/>
      <c r="M73" s="303" t="n"/>
      <c r="N73" s="303" t="n"/>
      <c r="O73" s="303" t="n"/>
      <c r="P73" s="303" t="n"/>
    </row>
    <row r="74" ht="51.75" customHeight="1" s="435">
      <c r="A74" s="302" t="n"/>
      <c r="B74" s="302" t="n"/>
      <c r="C74" s="302" t="n"/>
      <c r="D74" s="302" t="n"/>
      <c r="E74" s="302" t="n"/>
      <c r="F74" s="302" t="n"/>
      <c r="G74" s="302" t="n"/>
      <c r="H74" s="302" t="n"/>
      <c r="I74" s="302" t="n"/>
      <c r="J74" s="302" t="n"/>
      <c r="K74" s="302" t="n"/>
      <c r="L74" s="302" t="n"/>
      <c r="M74" s="302" t="n"/>
      <c r="N74" s="302" t="n"/>
      <c r="O74" s="302" t="n"/>
      <c r="P74" s="302" t="n"/>
    </row>
    <row r="75" ht="51.75" customHeight="1" s="435">
      <c r="A75" s="303" t="n"/>
      <c r="B75" s="303" t="n"/>
      <c r="C75" s="303" t="n"/>
      <c r="D75" s="303" t="n"/>
      <c r="E75" s="303" t="n"/>
      <c r="F75" s="303" t="n"/>
      <c r="G75" s="303" t="n"/>
      <c r="H75" s="303" t="n"/>
      <c r="I75" s="303" t="n"/>
      <c r="J75" s="303" t="n"/>
      <c r="K75" s="303" t="n"/>
      <c r="L75" s="303" t="n"/>
      <c r="M75" s="303" t="n"/>
      <c r="N75" s="303" t="n"/>
      <c r="O75" s="303" t="n"/>
      <c r="P75" s="303" t="n"/>
    </row>
    <row r="76" ht="51.75" customHeight="1" s="435">
      <c r="A76" s="302" t="n"/>
      <c r="B76" s="302" t="n"/>
      <c r="C76" s="302" t="n"/>
      <c r="D76" s="302" t="n"/>
      <c r="E76" s="302" t="n"/>
      <c r="F76" s="302" t="n"/>
      <c r="G76" s="302" t="n"/>
      <c r="H76" s="302" t="n"/>
      <c r="I76" s="302" t="n"/>
      <c r="J76" s="302" t="n"/>
      <c r="K76" s="302" t="n"/>
      <c r="L76" s="302" t="n"/>
      <c r="M76" s="302" t="n"/>
      <c r="N76" s="302" t="n"/>
      <c r="O76" s="302" t="n"/>
      <c r="P76" s="302" t="n"/>
    </row>
    <row r="77" ht="51.75" customHeight="1" s="435">
      <c r="A77" s="303" t="n"/>
      <c r="B77" s="303" t="n"/>
      <c r="C77" s="303" t="n"/>
      <c r="D77" s="303" t="n"/>
      <c r="E77" s="303" t="n"/>
      <c r="F77" s="303" t="n"/>
      <c r="G77" s="303" t="n"/>
      <c r="H77" s="303" t="n"/>
      <c r="I77" s="303" t="n"/>
      <c r="J77" s="303" t="n"/>
      <c r="K77" s="303" t="n"/>
      <c r="L77" s="303" t="n"/>
      <c r="M77" s="303" t="n"/>
      <c r="N77" s="303" t="n"/>
      <c r="O77" s="303" t="n"/>
      <c r="P77" s="303" t="n"/>
    </row>
    <row r="78" ht="51.75" customHeight="1" s="435">
      <c r="A78" s="302" t="n"/>
      <c r="B78" s="302" t="n"/>
      <c r="C78" s="302" t="n"/>
      <c r="D78" s="302" t="n"/>
      <c r="E78" s="302" t="n"/>
      <c r="F78" s="302" t="n"/>
      <c r="G78" s="302" t="n"/>
      <c r="H78" s="302" t="n"/>
      <c r="I78" s="302" t="n"/>
      <c r="J78" s="302" t="n"/>
      <c r="K78" s="302" t="n"/>
      <c r="L78" s="302" t="n"/>
      <c r="M78" s="302" t="n"/>
      <c r="N78" s="302" t="n"/>
      <c r="O78" s="302" t="n"/>
      <c r="P78" s="302" t="n"/>
    </row>
    <row r="79" ht="51.75" customHeight="1" s="435">
      <c r="A79" s="303" t="n"/>
      <c r="B79" s="303" t="n"/>
      <c r="C79" s="303" t="n"/>
      <c r="D79" s="303" t="n"/>
      <c r="E79" s="303" t="n"/>
      <c r="F79" s="303" t="n"/>
      <c r="G79" s="303" t="n"/>
      <c r="H79" s="303" t="n"/>
      <c r="I79" s="303" t="n"/>
      <c r="J79" s="303" t="n"/>
      <c r="K79" s="303" t="n"/>
      <c r="L79" s="303" t="n"/>
      <c r="M79" s="303" t="n"/>
      <c r="N79" s="303" t="n"/>
      <c r="O79" s="303" t="n"/>
      <c r="P79" s="303" t="n"/>
    </row>
    <row r="80" ht="51.75" customHeight="1" s="435">
      <c r="A80" s="302" t="n"/>
      <c r="B80" s="302" t="n"/>
      <c r="C80" s="302" t="n"/>
      <c r="D80" s="302" t="n"/>
      <c r="E80" s="302" t="n"/>
      <c r="F80" s="302" t="n"/>
      <c r="G80" s="302" t="n"/>
      <c r="H80" s="302" t="n"/>
      <c r="I80" s="302" t="n"/>
      <c r="J80" s="302" t="n"/>
      <c r="K80" s="302" t="n"/>
      <c r="L80" s="302" t="n"/>
      <c r="M80" s="302" t="n"/>
      <c r="N80" s="302" t="n"/>
      <c r="O80" s="302" t="n"/>
      <c r="P80" s="302" t="n"/>
    </row>
    <row r="81" ht="99.75" customHeight="1" s="435">
      <c r="A81" s="304" t="n">
        <v>77</v>
      </c>
      <c r="B81" s="304" t="inlineStr">
        <is>
          <t>2026-04-14</t>
        </is>
      </c>
      <c r="C81" s="305" t="inlineStr">
        <is>
          <t>Internal</t>
        </is>
      </c>
      <c r="D81" s="306" t="inlineStr">
        <is>
          <t>GPS Insight / ServiceBridge</t>
        </is>
      </c>
      <c r="E81" s="304" t="inlineStr">
        <is>
          <t>Charles Layne</t>
        </is>
      </c>
      <c r="F81" s="304" t="inlineStr">
        <is>
          <t>CEO, GPS Insight</t>
        </is>
      </c>
      <c r="G81" s="304" t="inlineStr">
        <is>
          <t>LinkedIn / Internal</t>
        </is>
      </c>
      <c r="H81" s="304" t="inlineStr">
        <is>
          <t>Product Update</t>
        </is>
      </c>
      <c r="I81" s="304" t="inlineStr">
        <is>
          <t>Received</t>
        </is>
      </c>
      <c r="J81" s="304" t="inlineStr">
        <is>
          <t>Charles shared Spring Release: 3 new features — Smart Scheduler (AI dispatch), Job Confirmations (2-way SMS), GreenSky® Consumer Financing.</t>
        </is>
      </c>
      <c r="K81" s="304" t="n"/>
      <c r="L81" s="307" t="inlineStr">
        <is>
          <t>📋 GPS ACTION — three things:
1. Brief Mike on how Smart Scheduler works in franchise context
2. Confirm GreenSky® eligibility for franchise mandate pricing
3. Confirm third-party telematics API status (Samsara/VC/Geotab) — does ServiceBridge accept third-party telematics data via API?</t>
        </is>
      </c>
      <c r="M81" s="304" t="inlineStr">
        <is>
          <t>Incorporate Spring Release features into Insight Engine pitch and Engagement Ideas scripting. Smart Scheduler is the biggest GTM story — AI-driven dispatch is exactly what the 'orchestration' positioning needs.</t>
        </is>
      </c>
      <c r="N81" s="304" t="inlineStr">
        <is>
          <t>2026-04-18</t>
        </is>
      </c>
      <c r="O81" s="308" t="inlineStr">
        <is>
          <t>GPS Action Due</t>
        </is>
      </c>
      <c r="P81" s="304" t="inlineStr">
        <is>
          <t>Spring Into Smarter Service 🌸 release. Charles shared via LinkedIn Apr 11. Three features: Smart Scheduler (AI), Job Confirmations (2-way SMS), GreenSky® financing. All relevant to franchise pitch.</t>
        </is>
      </c>
    </row>
    <row r="82" ht="99.75" customHeight="1" s="435">
      <c r="A82" s="304" t="n">
        <v>78</v>
      </c>
      <c r="B82" s="304" t="inlineStr">
        <is>
          <t>2026-04-14</t>
        </is>
      </c>
      <c r="C82" s="305" t="inlineStr">
        <is>
          <t>Internal</t>
        </is>
      </c>
      <c r="D82" s="306" t="inlineStr">
        <is>
          <t>GPS Insight / ServiceBridge</t>
        </is>
      </c>
      <c r="E82" s="304" t="inlineStr">
        <is>
          <t>Andrea Rowan</t>
        </is>
      </c>
      <c r="F82" s="304" t="inlineStr">
        <is>
          <t>GM, ServiceBridge</t>
        </is>
      </c>
      <c r="G82" s="304" t="inlineStr">
        <is>
          <t>Internal</t>
        </is>
      </c>
      <c r="H82" s="304" t="inlineStr">
        <is>
          <t>Product Verification</t>
        </is>
      </c>
      <c r="I82" s="304" t="inlineStr">
        <is>
          <t>Action Required</t>
        </is>
      </c>
      <c r="J82" s="304" t="n"/>
      <c r="K82" s="304" t="n"/>
      <c r="L82" s="307" t="inlineStr">
        <is>
          <t>📋 GPS ACTION — Critical product question before scripting:
Does ServiceBridge support third-party telematics providers via API?
Confirmed native integrations: GPS Insight + ClearPathGPS ONLY.
Specific question: Can ServiceBridge ingest location/vehicle data from:
• Samsara (Neighborly Smart Fleet network uses Samsara-adjacent tech)
• Verizon Connect
• Geotab
• Motive
Answer materially changes pitch for any account NOT on GPS Insight telematics.
Two-pitch framework until answered:
PITCH A (GPS Insight customers): Full Ownership + Orchestration story
PITCH B (Other telematics): ServiceBridge FSM standalone → GPS Insight at telematics renewal</t>
        </is>
      </c>
      <c r="M82" s="304" t="inlineStr">
        <is>
          <t>Confirm with Andrea/product team before scripting any account on Samsara/VC/Geotab.</t>
        </is>
      </c>
      <c r="N82" s="304" t="inlineStr">
        <is>
          <t>2026-04-18</t>
        </is>
      </c>
      <c r="O82" s="308" t="inlineStr">
        <is>
          <t>GPS Action Due</t>
        </is>
      </c>
      <c r="P82" s="304" t="inlineStr">
        <is>
          <t>This answer changes the pitch for Authority Brands, Five Star, HomeFront, and any other account with existing non-GPS Insight telematics.</t>
        </is>
      </c>
    </row>
    <row r="83" ht="80" customHeight="1" s="435">
      <c r="A83" s="626" t="n">
        <v>79</v>
      </c>
      <c r="B83" s="626" t="inlineStr">
        <is>
          <t>2026-05-04</t>
        </is>
      </c>
      <c r="C83" s="626" t="inlineStr">
        <is>
          <t>BOTH</t>
        </is>
      </c>
      <c r="D83" s="626" t="inlineStr">
        <is>
          <t>ALL TARGETS - Alumni Crossover</t>
        </is>
      </c>
      <c r="E83" s="626" t="inlineStr">
        <is>
          <t>Charles, Andrea, Garrett, Faton</t>
        </is>
      </c>
      <c r="F83" s="626" t="inlineStr">
        <is>
          <t>GPS Insight Leadership Team</t>
        </is>
      </c>
      <c r="G83" s="626" t="inlineStr">
        <is>
          <t>Email</t>
        </is>
      </c>
      <c r="H83" s="626" t="inlineStr">
        <is>
          <t>Coordinated Outreach Request</t>
        </is>
      </c>
      <c r="I83" s="626" t="inlineStr">
        <is>
          <t>Sent</t>
        </is>
      </c>
      <c r="J83" s="626" t="inlineStr"/>
      <c r="K83" s="626" t="inlineStr"/>
      <c r="L83" s="626" t="inlineStr">
        <is>
          <t>📞 GPS Insight team: Open Alumni Crossover v19 — scan column G for alma maters AND click LinkedIn URLs (column I) to find mutual connections. Drop last name in column J for any matches.</t>
        </is>
      </c>
      <c r="M83" s="626" t="inlineStr">
        <is>
          <t>Monitor team responses; consolidate alumni hits as input to Becky touch plan</t>
        </is>
      </c>
      <c r="N83" s="626" t="inlineStr">
        <is>
          <t>2026-05-11</t>
        </is>
      </c>
      <c r="O83" s="626" t="inlineStr">
        <is>
          <t>Pending GPS Action</t>
        </is>
      </c>
      <c r="P83" s="626" t="inlineStr">
        <is>
          <t>Alumni Crossover v19 sent. Contains 103 contacts mapped to 87 institutions across all 10 priority franchisors. Asked team to do dual-pass: alma mater + LinkedIn mutual connections. Becky-Mike touch plan will sequence outreach using team's warm anchors as entry points.</t>
        </is>
      </c>
    </row>
    <row r="84" ht="80" customHeight="1" s="435">
      <c r="A84" s="626" t="n">
        <v>80</v>
      </c>
      <c r="B84" s="626" t="inlineStr">
        <is>
          <t>2026-05-04</t>
        </is>
      </c>
      <c r="C84" s="626" t="inlineStr">
        <is>
          <t>INTERNAL</t>
        </is>
      </c>
      <c r="D84" s="626" t="inlineStr">
        <is>
          <t>Velocity GTM + GPS Insight Marketing</t>
        </is>
      </c>
      <c r="E84" s="626" t="inlineStr">
        <is>
          <t>Becky</t>
        </is>
      </c>
      <c r="F84" s="626" t="inlineStr">
        <is>
          <t>GPS Insight Marketing</t>
        </is>
      </c>
      <c r="G84" s="626" t="inlineStr">
        <is>
          <t>Working Session</t>
        </is>
      </c>
      <c r="H84" s="626" t="inlineStr">
        <is>
          <t>Strategy / Touch Plan</t>
        </is>
      </c>
      <c r="I84" s="626" t="inlineStr">
        <is>
          <t>Scheduled</t>
        </is>
      </c>
      <c r="J84" s="626" t="inlineStr"/>
      <c r="K84" s="626" t="inlineStr"/>
      <c r="L84" s="626" t="inlineStr"/>
      <c r="M84" s="626" t="inlineStr">
        <is>
          <t>Build coordinated warm marketing touch plan sequencing outreach against 103-contact alumni roster, using team alumni hits as warm anchors</t>
        </is>
      </c>
      <c r="N84" s="626" t="inlineStr">
        <is>
          <t>2026-05-08</t>
        </is>
      </c>
      <c r="O84" s="626" t="inlineStr">
        <is>
          <t>In Progress</t>
        </is>
      </c>
      <c r="P84" s="626" t="inlineStr">
        <is>
          <t>Working with Becky this week. Thesis: warm relationships compress sales cycle from months to weeks vs cold outreach. Touch plan integrates alumni hits + LinkedIn 1st-degree connections + status changes flagged in v19. Key inputs: 20 relationship intel notes already captured in alumni roster.</t>
        </is>
      </c>
    </row>
    <row r="85" ht="80" customHeight="1" s="435">
      <c r="A85" s="627" t="n">
        <v>81</v>
      </c>
      <c r="B85" s="627" t="inlineStr">
        <is>
          <t>2026-05-04</t>
        </is>
      </c>
      <c r="C85" s="627" t="inlineStr">
        <is>
          <t>Track 1</t>
        </is>
      </c>
      <c r="D85" s="627" t="inlineStr">
        <is>
          <t>BELFOR</t>
        </is>
      </c>
      <c r="E85" s="627" t="inlineStr">
        <is>
          <t>Beth Toenies</t>
        </is>
      </c>
      <c r="F85" s="627" t="inlineStr">
        <is>
          <t>COO 1-800-BOARDUP + VP FD BELFOR FG</t>
        </is>
      </c>
      <c r="G85" s="627" t="inlineStr">
        <is>
          <t>LinkedIn</t>
        </is>
      </c>
      <c r="H85" s="627" t="inlineStr">
        <is>
          <t>Connection Request</t>
        </is>
      </c>
      <c r="I85" s="627" t="inlineStr">
        <is>
          <t>Connection Accepted</t>
        </is>
      </c>
      <c r="J85" s="627" t="inlineStr"/>
      <c r="K85" s="627" t="inlineStr"/>
      <c r="L85" s="627" t="inlineStr"/>
      <c r="M85" s="627" t="inlineStr">
        <is>
          <t>Plan first content message via Becky-Mike touch plan. Asbury University ('06) — journalism, varsity tennis, military spouse profile.</t>
        </is>
      </c>
      <c r="N85" s="627" t="inlineStr">
        <is>
          <t>2026-05-15</t>
        </is>
      </c>
      <c r="O85" s="627" t="inlineStr">
        <is>
          <t>Connected</t>
        </is>
      </c>
      <c r="P85" s="627" t="inlineStr">
        <is>
          <t>Test outreach sent connection request, accepted. Beth holds dual role (1-800-BOARDUP COO + BELFOR FG VP Franchise Dev) — high leverage entry to BELFOR's franchise side. Bronze Stevie Award + Top 50 Women Leaders Construction 2025.</t>
        </is>
      </c>
    </row>
    <row r="86" ht="80" customHeight="1" s="435">
      <c r="A86" s="628" t="n">
        <v>82</v>
      </c>
      <c r="B86" s="628" t="inlineStr">
        <is>
          <t>2026-05-04</t>
        </is>
      </c>
      <c r="C86" s="628" t="inlineStr">
        <is>
          <t>Track 2</t>
        </is>
      </c>
      <c r="D86" s="628" t="inlineStr">
        <is>
          <t>RESIBRANDS / Pink's Window Services</t>
        </is>
      </c>
      <c r="E86" s="628" t="inlineStr">
        <is>
          <t>Carter Smith</t>
        </is>
      </c>
      <c r="F86" s="628" t="inlineStr">
        <is>
          <t>Co-Founder Pink's Window Services</t>
        </is>
      </c>
      <c r="G86" s="628" t="inlineStr">
        <is>
          <t>Internal Handoff</t>
        </is>
      </c>
      <c r="H86" s="628" t="inlineStr">
        <is>
          <t>Team Assignment</t>
        </is>
      </c>
      <c r="I86" s="628" t="inlineStr">
        <is>
          <t>Assigned</t>
        </is>
      </c>
      <c r="J86" s="628" t="inlineStr"/>
      <c r="K86" s="628" t="inlineStr"/>
      <c r="L86" s="628" t="inlineStr">
        <is>
          <t>📞 Garrett: Carter Smith looks like your guy — please scan LinkedIn for connection.</t>
        </is>
      </c>
      <c r="M86" s="628" t="inlineStr">
        <is>
          <t>Wait for Garrett's connection check; if hit, sequence warm intro through Garrett.</t>
        </is>
      </c>
      <c r="N86" s="628" t="inlineStr">
        <is>
          <t>2026-05-15</t>
        </is>
      </c>
      <c r="O86" s="628" t="inlineStr">
        <is>
          <t>Pending GPS Action</t>
        </is>
      </c>
      <c r="P86" s="628" t="inlineStr">
        <is>
          <t>Per Mike note in alumni v19. Carter Smith = Baylor BBA, led Baylor's largest mens service org (170 members). Pink's is one of 6 ResiBrands brands. Strong alignment with Garrett's likely network.</t>
        </is>
      </c>
    </row>
    <row r="87" ht="80" customHeight="1" s="435">
      <c r="A87" s="627" t="n">
        <v>83</v>
      </c>
      <c r="B87" s="627" t="inlineStr">
        <is>
          <t>2026-05-04</t>
        </is>
      </c>
      <c r="C87" s="627" t="inlineStr">
        <is>
          <t>Track 1</t>
        </is>
      </c>
      <c r="D87" s="627" t="inlineStr">
        <is>
          <t>HOMEFRONT BRANDS</t>
        </is>
      </c>
      <c r="E87" s="627" t="inlineStr">
        <is>
          <t>Jeff Dudan</t>
        </is>
      </c>
      <c r="F87" s="627" t="inlineStr">
        <is>
          <t>Chairman &amp; CEO</t>
        </is>
      </c>
      <c r="G87" s="627" t="inlineStr">
        <is>
          <t>Planning</t>
        </is>
      </c>
      <c r="H87" s="627" t="inlineStr">
        <is>
          <t>Warm-Path Strategy</t>
        </is>
      </c>
      <c r="I87" s="627" t="inlineStr">
        <is>
          <t>Strategy Set</t>
        </is>
      </c>
      <c r="J87" s="627" t="inlineStr"/>
      <c r="K87" s="627" t="inlineStr"/>
      <c r="L87" s="627" t="inlineStr"/>
      <c r="M87" s="627" t="inlineStr">
        <is>
          <t>Mike to work App State alumni angle for intro. Family of 3 brothers (Jeff, Mike, Zack) all in HomeFront — Jeff CEO, Mike CFO, Zack CGO.</t>
        </is>
      </c>
      <c r="N87" s="627" t="inlineStr">
        <is>
          <t>2026-05-15</t>
        </is>
      </c>
      <c r="O87" s="627" t="inlineStr">
        <is>
          <t>In Progress</t>
        </is>
      </c>
      <c r="P87" s="627" t="inlineStr">
        <is>
          <t>Mike captured this in alumni v19. Jeff = App State + Yosef Club athletics. Mike Dudan = ex-CFO Carolina Panthers. Zack Dudan = Elon. NC school cluster. All three brothers — family-led franchisor.</t>
        </is>
      </c>
    </row>
  </sheetData>
  <mergeCells count="4">
    <mergeCell ref="A2:P2"/>
    <mergeCell ref="A1:P1"/>
    <mergeCell ref="A3:H3"/>
    <mergeCell ref="I3:P3"/>
  </mergeCells>
  <dataValidations count="5">
    <dataValidation sqref="C5:C80" showDropDown="0" showInputMessage="0" showErrorMessage="0" allowBlank="1" type="list">
      <formula1>"Track 1,Track 2"</formula1>
      <formula2>0</formula2>
    </dataValidation>
    <dataValidation sqref="G5:G80" showDropDown="0" showInputMessage="0" showErrorMessage="0" allowBlank="1" type="list">
      <formula1>"LinkedIn,Email,Phone Call,Video Call,In-Person,Text,Referral,Event,Other"</formula1>
      <formula2>0</formula2>
    </dataValidation>
    <dataValidation sqref="H5:H80" showDropDown="0" showInputMessage="0" showErrorMessage="0" allowBlank="1" type="list">
      <formula1>"First Touch,Follow-Up,Discovery Call,Proposal,Pilot Discussion,Negotiation,Check-In,Referral Ask,Meeting,Other"</formula1>
      <formula2>0</formula2>
    </dataValidation>
    <dataValidation sqref="I5:I80" showDropDown="0" showInputMessage="0" showErrorMessage="0" allowBlank="1" type="list">
      <formula1>"No Response,Opened,Replied – Positive,Replied – Neutral,Replied – Negative,Call Scheduled,Call Complete,Meeting Complete,Proposal Requested,Pilot Agreed,Stalled,Not a Fit"</formula1>
      <formula2>0</formula2>
    </dataValidation>
    <dataValidation sqref="O5:O80" showDropDown="0" showInputMessage="0" showErrorMessage="0" allowBlank="1" type="list">
      <formula1>"Not Started,Researching,Contacted,Replied,Call Scheduled,Discovery Done,Proposal Sent,Negotiating,Pilot Closed,Stalled,Not a Fit"</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J29"/>
  <sheetViews>
    <sheetView showGridLines="0" zoomScaleNormal="100" workbookViewId="0">
      <pane ySplit="3" topLeftCell="A4" activePane="bottomLeft" state="frozen"/>
      <selection pane="bottomLeft" activeCell="A1" sqref="A1"/>
    </sheetView>
  </sheetViews>
  <sheetFormatPr baseColWidth="10" defaultColWidth="8.6640625" defaultRowHeight="15"/>
  <cols>
    <col width="22" customWidth="1" style="435" min="1" max="1"/>
    <col width="8" customWidth="1" style="435" min="2" max="2"/>
    <col width="13" customWidth="1" style="435" min="3" max="3"/>
    <col width="8" customWidth="1" style="435" min="4" max="4"/>
    <col width="11" customWidth="1" style="435" min="5" max="5"/>
    <col width="14" customWidth="1" style="435" min="6" max="6"/>
    <col width="35" customWidth="1" style="435" min="7" max="7"/>
    <col width="24" customWidth="1" style="435" min="8" max="8"/>
    <col width="10" customWidth="1" style="435" min="9" max="9"/>
    <col width="22" customWidth="1" style="435" min="10" max="10"/>
  </cols>
  <sheetData>
    <row r="1" ht="37.5" customHeight="1" s="435">
      <c r="A1" s="449" t="inlineStr">
        <is>
          <t xml:space="preserve">  ACCOUNT FEEDBACK CARDS  ·  Pipeline Status by Account  ·  Updated Weekly</t>
        </is>
      </c>
    </row>
    <row r="2" ht="15.75" customHeight="1" s="435">
      <c r="A2" s="460" t="inlineStr">
        <is>
          <t xml:space="preserve">  Velocity GTM Co LLC  ·  One row per account  ·  Status, touch count, verbatim feedback, objections, temperature  ·  Friday report to GPS Insight</t>
        </is>
      </c>
    </row>
    <row r="3" ht="37.5" customHeight="1" s="435">
      <c r="A3" s="64" t="inlineStr">
        <is>
          <t>ACCOUNT</t>
        </is>
      </c>
      <c r="B3" s="64" t="inlineStr">
        <is>
          <t>TRACK</t>
        </is>
      </c>
      <c r="C3" s="64" t="inlineStr">
        <is>
          <t>STATUS</t>
        </is>
      </c>
      <c r="D3" s="64" t="inlineStr">
        <is>
          <t># TOUCHES</t>
        </is>
      </c>
      <c r="E3" s="64" t="inlineStr">
        <is>
          <t>LAST CONTACT</t>
        </is>
      </c>
      <c r="F3" s="64" t="inlineStr">
        <is>
          <t>LAST OUTCOME</t>
        </is>
      </c>
      <c r="G3" s="64" t="inlineStr">
        <is>
          <t>KEY FEEDBACK
(Their Words)</t>
        </is>
      </c>
      <c r="H3" s="64" t="inlineStr">
        <is>
          <t>OBJECTIONS RAISED</t>
        </is>
      </c>
      <c r="I3" s="64" t="inlineStr">
        <is>
          <t>TEMPERATURE</t>
        </is>
      </c>
      <c r="J3" s="64" t="inlineStr">
        <is>
          <t>NEXT MILESTONE</t>
        </is>
      </c>
    </row>
    <row r="4" ht="130" customHeight="1" s="435">
      <c r="A4" s="309" t="inlineStr">
        <is>
          <t>BELFOR</t>
        </is>
      </c>
      <c r="B4" s="309" t="inlineStr">
        <is>
          <t>P2 Set</t>
        </is>
      </c>
      <c r="C4" s="293" t="inlineStr">
        <is>
          <t>Researching</t>
        </is>
      </c>
      <c r="D4" s="309" t="n">
        <v>1</v>
      </c>
      <c r="E4" s="309" t="inlineStr">
        <is>
          <t>2026-04-14</t>
        </is>
      </c>
      <c r="F4" s="309" t="inlineStr">
        <is>
          <t>LinkedIn — no response yet</t>
        </is>
      </c>
      <c r="G4" s="629" t="inlineStr">
        <is>
          <t>No response to LinkedIn yet
[v19 Update]: Beth Toenies LinkedIn connection accepted (test outreach success). Doug Smith may have just left BELFOR — verify before outreach. Sheldon Yellen no individual LinkedIn — engage via BELFOR brand page. Aaron Rich (BluSky CIO) lives in Cary NC — Mike working geographic/local angle.</t>
        </is>
      </c>
      <c r="H4" s="309" t="n"/>
      <c r="I4" s="630" t="inlineStr">
        <is>
          <t>🌡 Warming</t>
        </is>
      </c>
      <c r="J4" s="631" t="inlineStr">
        <is>
          <t>GPS PE intro via American Securities → Charles Layne. Meanwhile: HOODZ Triangle FoY local angle. Insight Engine pre-loaded: $4,500/job, 40% carrier-referred, $4.3M system EBITDA case.
[v19 next]: Beth Toenies content sequence via Becky-Mike touch plan. Verify Doug Smith status before any FD outreach. Geographic angle on Aaron Rich (Cary NC).</t>
        </is>
      </c>
    </row>
    <row r="5" ht="130" customHeight="1" s="435">
      <c r="A5" s="309" t="inlineStr">
        <is>
          <t>THRESHOLD BRANDS</t>
        </is>
      </c>
      <c r="B5" s="309" t="inlineStr">
        <is>
          <t>P2 Set</t>
        </is>
      </c>
      <c r="C5" s="293" t="inlineStr">
        <is>
          <t>Researching</t>
        </is>
      </c>
      <c r="D5" s="309" t="n">
        <v>0</v>
      </c>
      <c r="E5" s="309" t="n"/>
      <c r="F5" s="309" t="inlineStr">
        <is>
          <t>Not contacted yet</t>
        </is>
      </c>
      <c r="G5" s="629" t="inlineStr">
        <is>
          <t>⚠️ Must verify Hagan Kappler CEO status before outreach
[v19 Update]: Charles input captured — Bryan McMurray (Granite Garage Floors) = 'Typical ASU grad starting at Massage Envy.' Operator-path entry point. Use for franchise-development positioning angle.</t>
        </is>
      </c>
      <c r="H5" s="309" t="n"/>
      <c r="I5" s="632" t="inlineStr">
        <is>
          <t>❄ Cold</t>
        </is>
      </c>
      <c r="J5" s="631" t="inlineStr">
        <is>
          <t>Unfulfilled tech promise = ServiceBridge delivers what they promised. Andrea Hohermuth (COO) is backup primary if Kappler unconfirmed. Riverside PE intro path via Charles.
[v19 next]: Position Granite Garage Floors angle leveraging Charles' read of McMurray's background.</t>
        </is>
      </c>
    </row>
    <row r="6" ht="130" customHeight="1" s="435">
      <c r="A6" s="309" t="inlineStr">
        <is>
          <t>EMPOWER BRANDS</t>
        </is>
      </c>
      <c r="B6" s="309" t="inlineStr">
        <is>
          <t>Track 1</t>
        </is>
      </c>
      <c r="C6" s="294" t="inlineStr">
        <is>
          <t>Contacted</t>
        </is>
      </c>
      <c r="D6" s="309" t="n">
        <v>1</v>
      </c>
      <c r="E6" s="309" t="inlineStr">
        <is>
          <t>2026-04-08</t>
        </is>
      </c>
      <c r="F6" s="309" t="inlineStr">
        <is>
          <t>LinkedIn — no response</t>
        </is>
      </c>
      <c r="G6" s="629" t="inlineStr">
        <is>
          <t>⚠️ JAN-PRO proprietary FSM conflict. Lead with 9 greenfield brands only.
[v19 Update]: Russ Jundt (Empower Pres National Accounts / Conserva Founder) RETIRED — remove from active outreach. Hunt Davis + Ben Wright (Canopy Lawn Care, both NC State Wolfpack alums) — Mike working existing-relationships angle. Cary NC HQ adjacency = highest-warmth path in entire dataset.</t>
        </is>
      </c>
      <c r="H6" s="309" t="n"/>
      <c r="I6" s="632" t="inlineStr">
        <is>
          <t>🔥 Hot</t>
        </is>
      </c>
      <c r="J6" s="631" t="inlineStr">
        <is>
          <t>Follow-up email Apr 15 with Insight Engine 3-Way Scenario for 9 non-JAN-PRO brands. MidOcean exit window angle for Scott Zide. Gary Bauer (JAN-PRO) is separate conversation.
[v19 next]: Canopy NC State angle is Mike's top warm path. Sequence Becky-Mike touch plan with Wolfpack/Cary local hooks for Davis + Wright.</t>
        </is>
      </c>
    </row>
    <row r="7" ht="60" customHeight="1" s="435">
      <c r="A7" s="309" t="inlineStr">
        <is>
          <t>PREMIUM SERVICE BRANDS</t>
        </is>
      </c>
      <c r="B7" s="309" t="inlineStr">
        <is>
          <t>Track 1</t>
        </is>
      </c>
      <c r="C7" s="309" t="inlineStr">
        <is>
          <t>Not Started</t>
        </is>
      </c>
      <c r="D7" s="309" t="n">
        <v>0</v>
      </c>
      <c r="E7" s="309" t="n"/>
      <c r="F7" s="309" t="inlineStr">
        <is>
          <t>Not contacted yet</t>
        </is>
      </c>
      <c r="G7" s="292" t="inlineStr">
        <is>
          <t>RooterMan brand president name TBD — research needed</t>
        </is>
      </c>
      <c r="H7" s="309" t="n"/>
      <c r="I7" s="312" t="inlineStr">
        <is>
          <t>❄ Cold</t>
        </is>
      </c>
      <c r="J7" s="311" t="inlineStr">
        <is>
          <t>RooterMan = 300 locations = best entry point. Paul Flick is founder — accessible. Full greenfield across all 8 PSB brands.</t>
        </is>
      </c>
    </row>
    <row r="8" ht="130" customHeight="1" s="435">
      <c r="A8" s="309" t="inlineStr">
        <is>
          <t>RESIBRANDS</t>
        </is>
      </c>
      <c r="B8" s="309" t="inlineStr">
        <is>
          <t>Track 1</t>
        </is>
      </c>
      <c r="C8" s="313" t="inlineStr">
        <is>
          <t>Call Scheduled</t>
        </is>
      </c>
      <c r="D8" s="309" t="n">
        <v>2</v>
      </c>
      <c r="E8" s="309" t="inlineStr">
        <is>
          <t>2026-04-09</t>
        </is>
      </c>
      <c r="F8" s="309" t="inlineStr">
        <is>
          <t>LinkedIn — Replied Positive within 2 hours</t>
        </is>
      </c>
      <c r="G8" s="629" t="inlineStr">
        <is>
          <t>Steven replied: interested in ops stack comparison. Call Apr 15.
[v19 Update]: Mike has mutual connection to Steven Montgomery (CEO) — investigating. Codie Sanchez (co-owner since 2024) — Mike has business colleague with 1st-degree link. Carter Smith (Pink's) assigned to Garrett (likely Baylor connection — Carter led Baylor's largest mens service org).</t>
        </is>
      </c>
      <c r="H8" s="292" t="inlineStr">
        <is>
          <t>None raised</t>
        </is>
      </c>
      <c r="I8" s="633" t="inlineStr">
        <is>
          <t>🌡 Warming</t>
        </is>
      </c>
      <c r="J8" s="631" t="inlineStr">
        <is>
          <t>BEST LEAD IN PIPELINE. Founder-backed = fast decision. Prep Insight Engine conservative scenario: $1.67/tech/day message. Target: close pilot agreement on first or second call.
[v19 next]: Mike working Montgomery + Sanchez warm angles. Garrett owns Carter Smith / Pink's outreach.</t>
        </is>
      </c>
    </row>
    <row r="9" ht="60" customHeight="1" s="435">
      <c r="A9" s="309" t="inlineStr">
        <is>
          <t>FIVE STAR FRANCHISING</t>
        </is>
      </c>
      <c r="B9" s="309" t="inlineStr">
        <is>
          <t>Track 1</t>
        </is>
      </c>
      <c r="C9" s="309" t="inlineStr">
        <is>
          <t>Not Started</t>
        </is>
      </c>
      <c r="D9" s="309" t="n">
        <v>0</v>
      </c>
      <c r="E9" s="309" t="n"/>
      <c r="F9" s="309" t="inlineStr">
        <is>
          <t>Not contacted yet</t>
        </is>
      </c>
      <c r="G9" s="292" t="inlineStr">
        <is>
          <t>Check FieldRoutes conflict on Mosquito Shield before outreach</t>
        </is>
      </c>
      <c r="H9" s="309" t="n"/>
      <c r="I9" s="312" t="inlineStr">
        <is>
          <t>❄ Cold</t>
        </is>
      </c>
      <c r="J9" s="311" t="inlineStr">
        <is>
          <t>Princeton Equity Year 5 = exit window opening. Scott Abbott (CEO) + Steve White (CFO) dual-track. Mosquito Shield brand wedge — verify FieldRoutes first.</t>
        </is>
      </c>
    </row>
    <row r="10" ht="130" customHeight="1" s="435">
      <c r="A10" s="309" t="inlineStr">
        <is>
          <t>HOMEFRONT BRANDS</t>
        </is>
      </c>
      <c r="B10" s="309" t="inlineStr">
        <is>
          <t>Track 1</t>
        </is>
      </c>
      <c r="C10" s="309" t="inlineStr">
        <is>
          <t>Not Started</t>
        </is>
      </c>
      <c r="D10" s="309" t="n">
        <v>0</v>
      </c>
      <c r="E10" s="309" t="n"/>
      <c r="F10" s="309" t="inlineStr">
        <is>
          <t>Not contacted yet</t>
        </is>
      </c>
      <c r="G10" s="629" t="inlineStr">
        <is>
          <t>⚠️ Franchisee satisfaction issues flagged Dec 2025. Verify system health first.
[v19 Update]: Family-run franchisor confirmed — Jeff (CEO), Mike (CFO ex-Carolina Panthers), Zack (CGO) Dudan are brothers. Mike working App State alumni angle for Jeff intro. Michael O'Driscoll (COO) — Mike has old NZ colleague with apparent relationship. Tim McCullen (Window Gang) — Mike believes existing connection.</t>
        </is>
      </c>
      <c r="H10" s="309" t="n"/>
      <c r="I10" s="632" t="inlineStr">
        <is>
          <t>🌡 Warming</t>
        </is>
      </c>
      <c r="J10" s="631" t="inlineStr">
        <is>
          <t>Jeff Dudan is podcaster + Forbes contributor — use content angle first. Homecoming 4 vendor path = highest leverage. Window Hero (Tyler Kirk) is brand-level wedge.
[v19 next]: App State alumni intro to Jeff Dudan. Activate NZ colleague for O'Driscoll. Confirm Tim McCullen (Window Gang) connection.</t>
        </is>
      </c>
    </row>
    <row r="11" ht="60" customHeight="1" s="435">
      <c r="A11" s="309" t="inlineStr">
        <is>
          <t>AUTHORITY BRANDS</t>
        </is>
      </c>
      <c r="B11" s="309" t="inlineStr">
        <is>
          <t>Track 1</t>
        </is>
      </c>
      <c r="C11" s="309" t="inlineStr">
        <is>
          <t>Not Started</t>
        </is>
      </c>
      <c r="D11" s="309" t="n">
        <v>0</v>
      </c>
      <c r="E11" s="309" t="n"/>
      <c r="F11" s="309" t="inlineStr">
        <is>
          <t>Not contacted yet</t>
        </is>
      </c>
      <c r="G11" s="292" t="inlineStr">
        <is>
          <t>9 non-ST brands = greenfield. Tij Bedi (CTO) is primary contact.</t>
        </is>
      </c>
      <c r="H11" s="309" t="n"/>
      <c r="I11" s="312" t="inlineStr">
        <is>
          <t>❄ Cold</t>
        </is>
      </c>
      <c r="J11" s="311" t="inlineStr">
        <is>
          <t>ST mandated for 3 brands only. 9 brands fully greenfield. Tij Bedi hired Aug 2024 to build tech infrastructure — ServiceBridge is exactly what he needs. GPS Apax Partners intro path via Charles.</t>
        </is>
      </c>
    </row>
    <row r="12" ht="130" customHeight="1" s="435">
      <c r="A12" s="309" t="inlineStr">
        <is>
          <t>NEIGHBORLY</t>
        </is>
      </c>
      <c r="B12" s="309" t="inlineStr">
        <is>
          <t>Track 1</t>
        </is>
      </c>
      <c r="C12" s="313" t="inlineStr">
        <is>
          <t>GPS Action Pending</t>
        </is>
      </c>
      <c r="D12" s="309" t="n">
        <v>1</v>
      </c>
      <c r="E12" s="309" t="inlineStr">
        <is>
          <t>2026-04-07</t>
        </is>
      </c>
      <c r="F12" s="309" t="inlineStr">
        <is>
          <t>Charles Layne confirmed KKR intro path</t>
        </is>
      </c>
      <c r="G12" s="629" t="inlineStr">
        <is>
          <t>Charles confirmed Accel-KKR → KKR → Felix Gernburd intro
[v19 Update]: Mike has 1st-degree connection through former colleague to Mike Davis (CEO) — investigating. Ben Lamb (CFO) appears to have moved Feb 2026 — verify CFO succession before Garrett-targeted outreach. Brad Roberson (former Glass Doctor / Aire Serv → Fastest Labs CEO) may have just left business March 2026.</t>
        </is>
      </c>
      <c r="H12" s="292" t="inlineStr">
        <is>
          <t>ST mandate locked</t>
        </is>
      </c>
      <c r="I12" s="630" t="inlineStr">
        <is>
          <t>🌡 Warming</t>
        </is>
      </c>
      <c r="J12" s="631" t="inlineStr">
        <is>
          <t>DO NOT approach direct. PE intro only. Charles follow-up today (Apr 14) on KKR intro status. ST renewal window 2025-2027 is the leverage point.
[v19 next]: Confirm Mike Davis warm path via former colleague. Verify Ben Lamb successor at Neighborly. Investigate Brad Roberson status before pursuing Fastest Labs.</t>
        </is>
      </c>
    </row>
    <row r="13" ht="130" customHeight="1" s="435">
      <c r="A13" s="309" t="inlineStr">
        <is>
          <t>BELFOR (franchise network)</t>
        </is>
      </c>
      <c r="B13" s="309" t="inlineStr">
        <is>
          <t>Track 2</t>
        </is>
      </c>
      <c r="C13" s="293" t="inlineStr">
        <is>
          <t>Researching</t>
        </is>
      </c>
      <c r="D13" s="309" t="n">
        <v>0</v>
      </c>
      <c r="E13" s="309" t="n"/>
      <c r="F13" s="309" t="inlineStr">
        <is>
          <t>Waiting on Andrea telematics list</t>
        </is>
      </c>
      <c r="G13" s="629" t="inlineStr">
        <is>
          <t>Need GPS Insight telematics customer list from Andrea
[v19 Update]: Beth Toenies LinkedIn connection accepted (test outreach success). Doug Smith may have just left BELFOR — verify before outreach. Sheldon Yellen no individual LinkedIn — engage via BELFOR brand page. Aaron Rich (BluSky CIO) lives in Cary NC — Mike working geographic/local angle.</t>
        </is>
      </c>
      <c r="H13" s="309" t="n"/>
      <c r="I13" s="630" t="inlineStr">
        <is>
          <t>🌡 Warming</t>
        </is>
      </c>
      <c r="J13" s="631" t="inlineStr">
        <is>
          <t>Full greenfield across all 14 brands. GPS Insight warm flag confirmed. Andrea's telematics list = warmest Track 2 calls. 1-800 WD Insight Engine pre-loaded with FDD data.
[v19 next]: Beth Toenies content sequence via Becky-Mike touch plan. Verify Doug Smith status before any FD outreach. Geographic angle on Aaron Rich (Cary NC).</t>
        </is>
      </c>
    </row>
    <row r="14" ht="130" customHeight="1" s="435">
      <c r="A14" s="309" t="inlineStr">
        <is>
          <t>That 1 Painter (ResiBrands)</t>
        </is>
      </c>
      <c r="B14" s="309" t="inlineStr">
        <is>
          <t>Track 2</t>
        </is>
      </c>
      <c r="C14" s="309" t="inlineStr">
        <is>
          <t>Pending</t>
        </is>
      </c>
      <c r="D14" s="309" t="n">
        <v>0</v>
      </c>
      <c r="E14" s="309" t="n"/>
      <c r="F14" s="309" t="inlineStr">
        <is>
          <t>Waiting on ResiBrands call (Apr 15)</t>
        </is>
      </c>
      <c r="G14" s="629" t="inlineStr">
        <is>
          <t>Steven Montgomery is the decision-maker for all ResiBrands
[v19 Update]: Mike has mutual connection to Steven Montgomery (CEO) — investigating. Codie Sanchez (co-owner since 2024) — Mike has business colleague with 1st-degree link. Carter Smith (Pink's) assigned to Garrett (likely Baylor connection — Carter led Baylor's largest mens service org).</t>
        </is>
      </c>
      <c r="H14" s="309" t="n"/>
      <c r="I14" s="630" t="inlineStr">
        <is>
          <t>🌡 Warming</t>
        </is>
      </c>
      <c r="J14" s="631" t="inlineStr">
        <is>
          <t>800+ territories. ResiConnect = scheduling only. ServiceBridge = field ops layer. Position as complement not replacement. Follow ResiBrands call Apr 15 with specific That 1 Painter pilot proposal.
[v19 next]: Mike working Montgomery + Sanchez warm angles. Garrett owns Carter Smith / Pink's outreach.</t>
        </is>
      </c>
    </row>
    <row r="15" ht="60" customHeight="1" s="435">
      <c r="A15" s="309" t="inlineStr">
        <is>
          <t>JAN-PRO (Empower)</t>
        </is>
      </c>
      <c r="B15" s="309" t="inlineStr">
        <is>
          <t>Track 2</t>
        </is>
      </c>
      <c r="C15" s="293" t="inlineStr">
        <is>
          <t>Researching</t>
        </is>
      </c>
      <c r="D15" s="309" t="n">
        <v>0</v>
      </c>
      <c r="E15" s="309" t="n"/>
      <c r="F15" s="309" t="inlineStr">
        <is>
          <t>Not contacted yet</t>
        </is>
      </c>
      <c r="G15" s="292" t="inlineStr">
        <is>
          <t>⚠️ $60/month proprietary tech fee in FDD. Conflict flag.</t>
        </is>
      </c>
      <c r="H15" s="292" t="inlineStr">
        <is>
          <t>Proprietary FSM conflict</t>
        </is>
      </c>
      <c r="I15" s="312" t="inlineStr">
        <is>
          <t>❄ Cold</t>
        </is>
      </c>
      <c r="J15" s="311" t="inlineStr">
        <is>
          <t>Approach via Scott Zide (CEO) level only. Gary Bauer (30yr ServiceMaster background) is brand president. Model the $8.1M/yr system cost elimination if ServiceBridge replaces proprietary platform.</t>
        </is>
      </c>
    </row>
    <row r="16" ht="60" customHeight="1" s="435">
      <c r="A16" s="309" t="inlineStr">
        <is>
          <t>RooterMan (PSB)</t>
        </is>
      </c>
      <c r="B16" s="309" t="inlineStr">
        <is>
          <t>Track 2</t>
        </is>
      </c>
      <c r="C16" s="293" t="inlineStr">
        <is>
          <t>Researching</t>
        </is>
      </c>
      <c r="D16" s="309" t="n">
        <v>0</v>
      </c>
      <c r="E16" s="309" t="n"/>
      <c r="F16" s="309" t="inlineStr">
        <is>
          <t>Brand president name TBD</t>
        </is>
      </c>
      <c r="G16" s="292" t="inlineStr">
        <is>
          <t>Must find brand president name before outreach</t>
        </is>
      </c>
      <c r="H16" s="309" t="n"/>
      <c r="I16" s="312" t="inlineStr">
        <is>
          <t>❄ Cold</t>
        </is>
      </c>
      <c r="J16" s="311" t="inlineStr">
        <is>
          <t>300 locations. Plumbing dispatch. Entry point for full PSB conversation with Paul Flick. Full greenfield — no FSM mandate.</t>
        </is>
      </c>
    </row>
    <row r="17" ht="60" customHeight="1" s="435">
      <c r="A17" s="309" t="inlineStr">
        <is>
          <t>Mosquito Shield (Five Star)</t>
        </is>
      </c>
      <c r="B17" s="309" t="inlineStr">
        <is>
          <t>Track 2</t>
        </is>
      </c>
      <c r="C17" s="293" t="inlineStr">
        <is>
          <t>Researching</t>
        </is>
      </c>
      <c r="D17" s="309" t="n">
        <v>0</v>
      </c>
      <c r="E17" s="309" t="n"/>
      <c r="F17" s="309" t="inlineStr">
        <is>
          <t>Not contacted yet</t>
        </is>
      </c>
      <c r="G17" s="292" t="inlineStr">
        <is>
          <t>⚠️ FieldRoutes (ServiceTitan subsidiary) may be in use — verify first</t>
        </is>
      </c>
      <c r="H17" s="292" t="inlineStr">
        <is>
          <t>FieldRoutes possible conflict</t>
        </is>
      </c>
      <c r="I17" s="312" t="inlineStr">
        <is>
          <t>❄ Cold</t>
        </is>
      </c>
      <c r="J17" s="311" t="inlineStr">
        <is>
          <t>Michael Moorhouse is Brand President. Route/recurring model — strong dispatch fit IF FieldRoutes not mandated. Verify via Five Star FDD before outreach.</t>
        </is>
      </c>
    </row>
    <row r="18" ht="60" customHeight="1" s="435">
      <c r="A18" s="309" t="inlineStr">
        <is>
          <t>Window Hero (HomeFront)</t>
        </is>
      </c>
      <c r="B18" s="309" t="inlineStr">
        <is>
          <t>Track 2</t>
        </is>
      </c>
      <c r="C18" s="309" t="inlineStr">
        <is>
          <t>Not Started</t>
        </is>
      </c>
      <c r="D18" s="309" t="n">
        <v>0</v>
      </c>
      <c r="E18" s="309" t="n"/>
      <c r="F18" s="309" t="inlineStr">
        <is>
          <t>Not contacted yet</t>
        </is>
      </c>
      <c r="G18" s="292" t="inlineStr">
        <is>
          <t>HomeFront Homecoming 4 is the vendor entry path — Nov 2026</t>
        </is>
      </c>
      <c r="H18" s="309" t="n"/>
      <c r="I18" s="312" t="inlineStr">
        <is>
          <t>❄ Cold</t>
        </is>
      </c>
      <c r="J18" s="311" t="inlineStr">
        <is>
          <t>Tyler Kirk is founder. Jeff Dudan connection. Homecoming 4 vendor registration = right path. Small exterior cleaning crew — simple FSM pitch.</t>
        </is>
      </c>
    </row>
    <row r="19" ht="60" customHeight="1" s="435">
      <c r="A19" s="309" t="inlineStr">
        <is>
          <t>MaidPro (Threshold)</t>
        </is>
      </c>
      <c r="B19" s="309" t="inlineStr">
        <is>
          <t>Track 2</t>
        </is>
      </c>
      <c r="C19" s="309" t="inlineStr">
        <is>
          <t>Not Started</t>
        </is>
      </c>
      <c r="D19" s="309" t="n">
        <v>0</v>
      </c>
      <c r="E19" s="309" t="n"/>
      <c r="F19" s="309" t="inlineStr">
        <is>
          <t>Not contacted yet</t>
        </is>
      </c>
      <c r="G19" s="292" t="inlineStr">
        <is>
          <t>MaidPro had proprietary scheduling software pre-Threshold acquisition</t>
        </is>
      </c>
      <c r="H19" s="292" t="inlineStr">
        <is>
          <t>Proprietary system possible</t>
        </is>
      </c>
      <c r="I19" s="312" t="inlineStr">
        <is>
          <t>❄ Cold</t>
        </is>
      </c>
      <c r="J19" s="311" t="inlineStr">
        <is>
          <t>Largest Threshold brand by location. Proprietary system status post-acquisition unclear. Threshold unfulfilled tech promise = ServiceBridge opportunity.</t>
        </is>
      </c>
    </row>
    <row r="20" ht="60" customHeight="1" s="435">
      <c r="A20" s="309" t="inlineStr">
        <is>
          <t>USA Insulation (Threshold)</t>
        </is>
      </c>
      <c r="B20" s="309" t="inlineStr">
        <is>
          <t>Track 2</t>
        </is>
      </c>
      <c r="C20" s="309" t="inlineStr">
        <is>
          <t>Not Started</t>
        </is>
      </c>
      <c r="D20" s="309" t="n">
        <v>0</v>
      </c>
      <c r="E20" s="309" t="n"/>
      <c r="F20" s="309" t="inlineStr">
        <is>
          <t>Not contacted yet</t>
        </is>
      </c>
      <c r="G20" s="309" t="inlineStr">
        <is>
          <t xml:space="preserve">⚠️ AT-RISK: 75% SB penetration transitioning off over next year (Andrea Apr 2026). Retention play — defend if reversible. </t>
        </is>
      </c>
      <c r="H20" s="309" t="n"/>
      <c r="I20" s="312" t="inlineStr">
        <is>
          <t>❄ Cold</t>
        </is>
      </c>
      <c r="J20" s="311" t="inlineStr">
        <is>
          <t>Insulation install = project-based. Estimate → schedule → install → invoice flow. Strong FSM fit for job documentation.</t>
        </is>
      </c>
    </row>
    <row r="21" ht="130" customHeight="1" s="435">
      <c r="A21" s="309" t="inlineStr">
        <is>
          <t>Mosquito Joe (Neighborly)</t>
        </is>
      </c>
      <c r="B21" s="309" t="inlineStr">
        <is>
          <t>Track 2</t>
        </is>
      </c>
      <c r="C21" s="293" t="inlineStr">
        <is>
          <t>Researching</t>
        </is>
      </c>
      <c r="D21" s="309" t="n">
        <v>0</v>
      </c>
      <c r="E21" s="309" t="n"/>
      <c r="F21" s="309" t="inlineStr">
        <is>
          <t>Not contacted yet</t>
        </is>
      </c>
      <c r="G21" s="629" t="inlineStr">
        <is>
          <t>⚠️ Neighborly brand — ST or FieldRoutes mandate. Check before outreach.
[v19 Update]: Mike has 1st-degree connection through former colleague to Mike Davis (CEO) — investigating. Ben Lamb (CFO) appears to have moved Feb 2026 — verify CFO succession before Garrett-targeted outreach. Brad Roberson (former Glass Doctor / Aire Serv → Fastest Labs CEO) may have just left business March 2026.</t>
        </is>
      </c>
      <c r="H21" s="292" t="inlineStr">
        <is>
          <t>ST/FieldRoutes mandate likely</t>
        </is>
      </c>
      <c r="I21" s="632" t="inlineStr">
        <is>
          <t>🌡 Warming</t>
        </is>
      </c>
      <c r="J21" s="631" t="inlineStr">
        <is>
          <t>Smart Fleet USA confirmed telematics. Route recurring model. Do not approach until Neighborly PE intro confirmed.
[v19 next]: Confirm Mike Davis warm path via former colleague. Verify Ben Lamb successor at Neighborly. Investigate Brad Roberson status before pursuing Fastest Labs.</t>
        </is>
      </c>
    </row>
    <row r="22" ht="130" customHeight="1" s="435">
      <c r="A22" s="309" t="inlineStr">
        <is>
          <t>Mr. Rooter (Neighborly)</t>
        </is>
      </c>
      <c r="B22" s="309" t="inlineStr">
        <is>
          <t>Track 2</t>
        </is>
      </c>
      <c r="C22" s="293" t="inlineStr">
        <is>
          <t>Researching</t>
        </is>
      </c>
      <c r="D22" s="309" t="n">
        <v>0</v>
      </c>
      <c r="E22" s="309" t="n"/>
      <c r="F22" s="309" t="inlineStr">
        <is>
          <t>Not contacted yet</t>
        </is>
      </c>
      <c r="G22" s="629" t="inlineStr">
        <is>
          <t>ServiceTitan required per FDD. GPS Insight telematics angle only.
[v19 Update]: Mike has 1st-degree connection through former colleague to Mike Davis (CEO) — investigating. Ben Lamb (CFO) appears to have moved Feb 2026 — verify CFO succession before Garrett-targeted outreach. Brad Roberson (former Glass Doctor / Aire Serv → Fastest Labs CEO) may have just left business March 2026.</t>
        </is>
      </c>
      <c r="H22" s="292" t="inlineStr">
        <is>
          <t>ST mandated since 2012</t>
        </is>
      </c>
      <c r="I22" s="632" t="inlineStr">
        <is>
          <t>🌡 Warming</t>
        </is>
      </c>
      <c r="J22" s="631" t="inlineStr">
        <is>
          <t>188 reporting franchisees (2025 FDD). Smart Fleet USA telematics. No FSM displacement angle. GPS Insight only if confirmed customer.
[v19 next]: Confirm Mike Davis warm path via former colleague. Verify Ben Lamb successor at Neighborly. Investigate Brad Roberson status before pursuing Fastest Labs.</t>
        </is>
      </c>
    </row>
    <row r="23" ht="60" customHeight="1" s="435">
      <c r="A23" s="309" t="inlineStr">
        <is>
          <t>Benjamin Franklin Plumbing (Authority)</t>
        </is>
      </c>
      <c r="B23" s="309" t="inlineStr">
        <is>
          <t>Track 2</t>
        </is>
      </c>
      <c r="C23" s="293" t="inlineStr">
        <is>
          <t>Researching</t>
        </is>
      </c>
      <c r="D23" s="309" t="n">
        <v>0</v>
      </c>
      <c r="E23" s="309" t="n"/>
      <c r="F23" s="309" t="inlineStr">
        <is>
          <t>Not contacted yet</t>
        </is>
      </c>
      <c r="G23" s="292" t="inlineStr">
        <is>
          <t>ServiceTitan mandate announced Sep 2024. High conflict risk.</t>
        </is>
      </c>
      <c r="H23" s="292" t="inlineStr">
        <is>
          <t>ST mandated Sep 2024</t>
        </is>
      </c>
      <c r="I23" s="312" t="inlineStr">
        <is>
          <t>❄ Cold</t>
        </is>
      </c>
      <c r="J23" s="311" t="inlineStr">
        <is>
          <t>ST mandated — do not pitch ServiceBridge as FSM. GPS Insight telematics only if Andrea confirms as customer.</t>
        </is>
      </c>
    </row>
    <row r="24" ht="130" customHeight="1" s="435">
      <c r="A24" s="309" t="inlineStr">
        <is>
          <t>GarageUp (ResiBrands)</t>
        </is>
      </c>
      <c r="B24" s="309" t="inlineStr">
        <is>
          <t>Track 2</t>
        </is>
      </c>
      <c r="C24" s="309" t="inlineStr">
        <is>
          <t>Pending</t>
        </is>
      </c>
      <c r="D24" s="309" t="n">
        <v>0</v>
      </c>
      <c r="E24" s="309" t="n"/>
      <c r="F24" s="309" t="inlineStr">
        <is>
          <t>Waiting on ResiBrands call (Apr 15)</t>
        </is>
      </c>
      <c r="G24" s="629" t="inlineStr">
        <is>
          <t>ResiConnect handles scheduling only — field ops greenfield
[v19 Update]: Mike has mutual connection to Steven Montgomery (CEO) — investigating. Codie Sanchez (co-owner since 2024) — Mike has business colleague with 1st-degree link. Carter Smith (Pink's) assigned to Garrett (likely Baylor connection — Carter led Baylor's largest mens service org).</t>
        </is>
      </c>
      <c r="H24" s="309" t="n"/>
      <c r="I24" s="630" t="inlineStr">
        <is>
          <t>🌡 Warming</t>
        </is>
      </c>
      <c r="J24" s="631" t="inlineStr">
        <is>
          <t>Route + project mix. Strong dispatch fit — garage door service = emergency + scheduled. Part of ResiBrands — Steven Montgomery decides.
[v19 next]: Mike working Montgomery + Sanchez warm angles. Garrett owns Carter Smith / Pink's outreach.</t>
        </is>
      </c>
    </row>
    <row r="25" ht="60" customHeight="1" s="435">
      <c r="A25" s="309" t="inlineStr">
        <is>
          <t>Bumble Roofing (Empower)</t>
        </is>
      </c>
      <c r="B25" s="309" t="inlineStr">
        <is>
          <t>Track 2</t>
        </is>
      </c>
      <c r="C25" s="309" t="inlineStr">
        <is>
          <t>Not Started</t>
        </is>
      </c>
      <c r="D25" s="309" t="n">
        <v>0</v>
      </c>
      <c r="E25" s="309" t="n"/>
      <c r="F25" s="309" t="inlineStr">
        <is>
          <t>Not contacted yet</t>
        </is>
      </c>
      <c r="G25" s="292" t="inlineStr">
        <is>
          <t>Part of Empower — approach via Scott Zide mandate first</t>
        </is>
      </c>
      <c r="H25" s="309" t="n"/>
      <c r="I25" s="312" t="inlineStr">
        <is>
          <t>❄ Cold</t>
        </is>
      </c>
      <c r="J25" s="311" t="inlineStr">
        <is>
          <t>Project roofing — estimate to invoice workflow. Greenfield. No FSM named in FDD. Fastest growing Empower brand 2025.</t>
        </is>
      </c>
    </row>
    <row r="26" ht="60" customHeight="1" s="435">
      <c r="A26" s="309" t="inlineStr">
        <is>
          <t>360 Painting (PSB)</t>
        </is>
      </c>
      <c r="B26" s="309" t="inlineStr">
        <is>
          <t>Track 2</t>
        </is>
      </c>
      <c r="C26" s="309" t="inlineStr">
        <is>
          <t>Not Started</t>
        </is>
      </c>
      <c r="D26" s="309" t="n">
        <v>0</v>
      </c>
      <c r="E26" s="309" t="n"/>
      <c r="F26" s="309" t="inlineStr">
        <is>
          <t>Not contacted yet</t>
        </is>
      </c>
      <c r="G26" s="292" t="inlineStr">
        <is>
          <t>Part of PSB — approach via Paul Flick mandate first</t>
        </is>
      </c>
      <c r="H26" s="309" t="n"/>
      <c r="I26" s="312" t="inlineStr">
        <is>
          <t>❄ Cold</t>
        </is>
      </c>
      <c r="J26" s="311" t="inlineStr">
        <is>
          <t>Large painting network. Project-based — quote, schedule, crews, invoice. Greenfield — no FSM mandate.</t>
        </is>
      </c>
    </row>
    <row r="27" ht="60" customHeight="1" s="435">
      <c r="A27" s="309" t="inlineStr">
        <is>
          <t>Canopy Lawn Care (Empower)</t>
        </is>
      </c>
      <c r="B27" s="309" t="inlineStr">
        <is>
          <t>Track 2</t>
        </is>
      </c>
      <c r="C27" s="293" t="inlineStr">
        <is>
          <t>Researching</t>
        </is>
      </c>
      <c r="D27" s="309" t="n">
        <v>0</v>
      </c>
      <c r="E27" s="309" t="n"/>
      <c r="F27" s="309" t="inlineStr">
        <is>
          <t>Not contacted yet</t>
        </is>
      </c>
      <c r="G27" s="292" t="inlineStr">
        <is>
          <t>⚠️ Lawn care = FieldRoutes (ST subsidiary) possible. Verify FDD first.</t>
        </is>
      </c>
      <c r="H27" s="292" t="inlineStr">
        <is>
          <t>FieldRoutes possible conflict</t>
        </is>
      </c>
      <c r="I27" s="312" t="inlineStr">
        <is>
          <t>❄ Cold</t>
        </is>
      </c>
      <c r="J27" s="311" t="inlineStr">
        <is>
          <t>Route-intensive recurring lawn model. FieldRoutes is dominant in this trade. Verify before any outreach.</t>
        </is>
      </c>
    </row>
    <row r="28" ht="60" customHeight="1" s="435">
      <c r="A28" s="309" t="inlineStr">
        <is>
          <t>Top Rail Fence (HomeFront)</t>
        </is>
      </c>
      <c r="B28" s="309" t="inlineStr">
        <is>
          <t>Track 2</t>
        </is>
      </c>
      <c r="C28" s="309" t="inlineStr">
        <is>
          <t>Not Started</t>
        </is>
      </c>
      <c r="D28" s="309" t="n">
        <v>0</v>
      </c>
      <c r="E28" s="309" t="n"/>
      <c r="F28" s="309" t="inlineStr">
        <is>
          <t>Not contacted yet</t>
        </is>
      </c>
      <c r="G28" s="292" t="inlineStr">
        <is>
          <t>Homecoming 3 Franchisee of the Year 2025 — warm brand reputation</t>
        </is>
      </c>
      <c r="H28" s="309" t="n"/>
      <c r="I28" s="312" t="inlineStr">
        <is>
          <t>❄ Cold</t>
        </is>
      </c>
      <c r="J28" s="311" t="inlineStr">
        <is>
          <t>Project fencing. Homecoming 4 vendor path = right entry. FoY winner builds credibility for vendor conversation.</t>
        </is>
      </c>
    </row>
    <row r="29" ht="69.75" customHeight="1" s="435">
      <c r="A29" s="315" t="inlineStr">
        <is>
          <t>GPS Insight — Testimonial Review</t>
        </is>
      </c>
      <c r="B29" s="316" t="inlineStr">
        <is>
          <t>Internal</t>
        </is>
      </c>
      <c r="C29" s="316" t="inlineStr">
        <is>
          <t>Action Required</t>
        </is>
      </c>
      <c r="D29" s="316" t="n">
        <v>0</v>
      </c>
      <c r="E29" s="316" t="inlineStr">
        <is>
          <t>2026-04-14</t>
        </is>
      </c>
      <c r="F29" s="316" t="inlineStr">
        <is>
          <t>Action assigned</t>
        </is>
      </c>
      <c r="G29" s="317" t="inlineStr">
        <is>
          <t>SB Advantage already contains 3 references: Robertson Pools (64% rev growth), Critter Control (national franchise — headcount-neutral), Master Mastic (2x sales). Confirm referenceable status.</t>
        </is>
      </c>
      <c r="H29" s="318" t="inlineStr">
        <is>
          <t>None — internal action</t>
        </is>
      </c>
      <c r="I29" s="319" t="inlineStr">
        <is>
          <t>🌡 Action Due</t>
        </is>
      </c>
      <c r="J29" s="320" t="inlineStr">
        <is>
          <t>Andrea to confirm: (1) all 3 references still active + referenceable, (2) any additional restoration/plumbing/pest clients for franchise outreach, (3) BELFOR telematics customers for pilot candidate identification. Populate Trade Reference tab in Insight Engine once confirmed.</t>
        </is>
      </c>
    </row>
  </sheetData>
  <mergeCells count="2">
    <mergeCell ref="A1:J1"/>
    <mergeCell ref="A2:J2"/>
  </mergeCells>
  <dataValidations count="2">
    <dataValidation sqref="C4:C28" showDropDown="0" showInputMessage="0" showErrorMessage="0" allowBlank="1" type="list">
      <formula1>"Not Started,Researching,Contacted,Replied,Call Scheduled,Discovery Done,Proposal Sent,Negotiating,Pilot Closed,Stalled,Not a Fit"</formula1>
      <formula2>0</formula2>
    </dataValidation>
    <dataValidation sqref="I4:I28" showDropDown="0" showInputMessage="0" showErrorMessage="0" allowBlank="1" type="list">
      <formula1>"🔥 Hot,🌡 Warm,❄ Cold,⛔ Dead"</formula1>
      <formula2>0</formula2>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E136"/>
  <sheetViews>
    <sheetView showGridLines="0" zoomScaleNormal="100" workbookViewId="0">
      <selection activeCell="A1" sqref="A1"/>
    </sheetView>
  </sheetViews>
  <sheetFormatPr baseColWidth="10" defaultColWidth="8.6640625" defaultRowHeight="15"/>
  <cols>
    <col width="3" customWidth="1" style="435" min="1" max="1"/>
    <col width="22" customWidth="1" style="435" min="2" max="2"/>
    <col width="55" customWidth="1" style="435" min="3" max="3"/>
    <col width="22" customWidth="1" style="435" min="4" max="4"/>
    <col width="3" customWidth="1" style="435" min="5" max="5"/>
  </cols>
  <sheetData>
    <row r="1" ht="43.5" customHeight="1" s="435">
      <c r="A1" s="449" t="inlineStr">
        <is>
          <t xml:space="preserve">  SERVICEBRIDGE GTM ENGAGEMENT TRACKER  ·  Field Guide &amp; Reference</t>
        </is>
      </c>
    </row>
    <row r="2" ht="19.5" customHeight="1" s="435">
      <c r="A2" s="460" t="inlineStr">
        <is>
          <t xml:space="preserve">  Prepared by Velocity GTM Co LLC  ·  Michael Montgomery Flynt Jr  ·  In Partnership with GPS Insight / ServiceBridge  ·  April 2026</t>
        </is>
      </c>
    </row>
    <row r="3" ht="12" customHeight="1" s="435">
      <c r="A3" s="321" t="n"/>
      <c r="B3" s="321" t="n"/>
      <c r="C3" s="321" t="n"/>
      <c r="D3" s="321" t="n"/>
      <c r="E3" s="321" t="n"/>
    </row>
    <row r="4" ht="15.75" customHeight="1" s="435">
      <c r="B4" s="481" t="inlineStr">
        <is>
          <t>WHAT THIS FILE IS</t>
        </is>
      </c>
    </row>
    <row r="5" ht="60" customHeight="1" s="435">
      <c r="B5" s="498" t="inlineStr">
        <is>
          <t>This is your complete GTM command center for the ServiceBridge franchise engagement. It replaces a CRM for this engagement. Every franchisor, every franchisee brand, every call, email, and meeting lives here. Keep it open. Update it in real time. On Friday, the Account Feedback Cards tab is your weekly status report to Andrea.</t>
        </is>
      </c>
      <c r="C5" s="451" t="n"/>
      <c r="D5" s="452" t="n"/>
    </row>
    <row r="6" ht="12" customHeight="1" s="435">
      <c r="A6" s="321" t="n"/>
      <c r="B6" s="321" t="n"/>
      <c r="C6" s="321" t="n"/>
      <c r="D6" s="321" t="n"/>
      <c r="E6" s="321" t="n"/>
    </row>
    <row r="7" ht="30" customHeight="1" s="435">
      <c r="B7" s="458" t="inlineStr">
        <is>
          <t xml:space="preserve">  THE 4 TABS  ·  What Each One Does</t>
        </is>
      </c>
    </row>
    <row r="8" ht="3.75" customHeight="1" s="435">
      <c r="A8" s="321" t="n"/>
      <c r="B8" s="321" t="n"/>
      <c r="C8" s="321" t="n"/>
      <c r="D8" s="321" t="n"/>
      <c r="E8" s="321" t="n"/>
    </row>
    <row r="9" ht="24" customHeight="1" s="435">
      <c r="B9" s="491" t="inlineStr">
        <is>
          <t>Tab 1  ·  Top 9 Franchisors</t>
        </is>
      </c>
      <c r="C9" s="451" t="n"/>
      <c r="D9" s="452" t="n"/>
    </row>
    <row r="10" ht="54.75" customHeight="1" s="435">
      <c r="B10" s="487" t="inlineStr">
        <is>
          <t>Your Track 1 enterprise pipeline. One row per franchisor account. Shows CEO, CFO, COO, and BD lead for each account. Use this to track which franchisors are in active conversation, what your next step is, and whether you need GPS Insight involvement. GPS Insight items are highlighted in blue.</t>
        </is>
      </c>
      <c r="C10" s="451" t="n"/>
      <c r="D10" s="452" t="n"/>
    </row>
    <row r="11" ht="6" customHeight="1" s="435">
      <c r="A11" s="321" t="n"/>
      <c r="B11" s="321" t="n"/>
      <c r="C11" s="321" t="n"/>
      <c r="D11" s="321" t="n"/>
      <c r="E11" s="321" t="n"/>
    </row>
    <row r="12" ht="24" customHeight="1" s="435">
      <c r="B12" s="493" t="inlineStr">
        <is>
          <t>Tab 2  ·  85 Franchisees</t>
        </is>
      </c>
      <c r="C12" s="451" t="n"/>
      <c r="D12" s="452" t="n"/>
    </row>
    <row r="13" ht="54.75" customHeight="1" s="435">
      <c r="B13" s="489" t="inlineStr">
        <is>
          <t>Your Track 2 greenfield volume pipeline. All 85 brands sorted by parent franchisor so you can see each group together. Each brand shows FSM status, GPS warm flag, pilot potential score, contact, and outreach status. Start with HIGH pilot potential and YES GPS warm accounts first.</t>
        </is>
      </c>
      <c r="C13" s="451" t="n"/>
      <c r="D13" s="452" t="n"/>
    </row>
    <row r="14" ht="6" customHeight="1" s="435">
      <c r="A14" s="321" t="n"/>
      <c r="B14" s="321" t="n"/>
      <c r="C14" s="321" t="n"/>
      <c r="D14" s="321" t="n"/>
      <c r="E14" s="321" t="n"/>
    </row>
    <row r="15" ht="24" customHeight="1" s="435">
      <c r="B15" s="497" t="inlineStr">
        <is>
          <t>Tab 3  ·  CRM · Engagement Log</t>
        </is>
      </c>
      <c r="C15" s="451" t="n"/>
      <c r="D15" s="452" t="n"/>
    </row>
    <row r="16" ht="54.75" customHeight="1" s="435">
      <c r="B16" s="487" t="inlineStr">
        <is>
          <t>One row per touchpoint. Every call, email, LinkedIn message, and meeting gets its own row. Log what you did, what channel, what they said verbatim, any objections, and your next step. This is the source of truth for your engagement history. Add a row every time you make contact.</t>
        </is>
      </c>
      <c r="C16" s="451" t="n"/>
      <c r="D16" s="452" t="n"/>
    </row>
    <row r="17" ht="6" customHeight="1" s="435">
      <c r="A17" s="321" t="n"/>
      <c r="B17" s="321" t="n"/>
      <c r="C17" s="321" t="n"/>
      <c r="D17" s="321" t="n"/>
      <c r="E17" s="321" t="n"/>
    </row>
    <row r="18" ht="24" customHeight="1" s="435">
      <c r="B18" s="492" t="inlineStr">
        <is>
          <t>Tab 4  ·  Account Feedback Cards</t>
        </is>
      </c>
      <c r="C18" s="451" t="n"/>
      <c r="D18" s="452" t="n"/>
    </row>
    <row r="19" ht="54.75" customHeight="1" s="435">
      <c r="B19" s="489" t="inlineStr">
        <is>
          <t>One row per account — your quick-read summary view. Shows current status, touch count, last contact date, their feedback in their words, objections raised, and temperature score. Update this after every meaningful interaction. On Friday, this tab IS your weekly status report.</t>
        </is>
      </c>
      <c r="C19" s="451" t="n"/>
      <c r="D19" s="452" t="n"/>
    </row>
    <row r="20" ht="6" customHeight="1" s="435">
      <c r="A20" s="321" t="n"/>
      <c r="B20" s="321" t="n"/>
      <c r="C20" s="321" t="n"/>
      <c r="D20" s="321" t="n"/>
      <c r="E20" s="321" t="n"/>
    </row>
    <row r="21" ht="12" customHeight="1" s="435">
      <c r="A21" s="321" t="n"/>
      <c r="B21" s="321" t="n"/>
      <c r="C21" s="321" t="n"/>
      <c r="D21" s="321" t="n"/>
      <c r="E21" s="321" t="n"/>
    </row>
    <row r="22" ht="30" customHeight="1" s="435">
      <c r="B22" s="459" t="inlineStr">
        <is>
          <t xml:space="preserve">  YOUR WEEKLY RHYTHM  ·  How To Use This Every Day</t>
        </is>
      </c>
    </row>
    <row r="23" ht="3.75" customHeight="1" s="435">
      <c r="A23" s="321" t="n"/>
      <c r="B23" s="321" t="n"/>
      <c r="C23" s="321" t="n"/>
      <c r="D23" s="321" t="n"/>
      <c r="E23" s="321" t="n"/>
    </row>
    <row r="24" ht="24" customHeight="1" s="435">
      <c r="B24" s="491" t="inlineStr">
        <is>
          <t>MONDAY</t>
        </is>
      </c>
      <c r="C24" s="451" t="n"/>
      <c r="D24" s="452" t="n"/>
    </row>
    <row r="25" ht="54.75" customHeight="1" s="435">
      <c r="B25" s="487" t="inlineStr">
        <is>
          <t>Review weekly plan. Open Tab 1 and Tab 2. Check what outreach is due this week. Send all new first-touch messages. Prioritize warm GPS Insight accounts and any accounts that replied last week.</t>
        </is>
      </c>
      <c r="C25" s="451" t="n"/>
      <c r="D25" s="452" t="n"/>
    </row>
    <row r="26" ht="24" customHeight="1" s="435">
      <c r="B26" s="493" t="inlineStr">
        <is>
          <t>TUESDAY</t>
        </is>
      </c>
      <c r="C26" s="451" t="n"/>
      <c r="D26" s="452" t="n"/>
    </row>
    <row r="27" ht="54.75" customHeight="1" s="435">
      <c r="B27" s="489" t="inlineStr">
        <is>
          <t>Discovery calls and follow-up conversations. After every call — open Tab 3 and log the interaction. Name, outcome, and what they said verbatim. Then update Tab 4 for that account.</t>
        </is>
      </c>
      <c r="C27" s="451" t="n"/>
      <c r="D27" s="452" t="n"/>
    </row>
    <row r="28" ht="24" customHeight="1" s="435">
      <c r="B28" s="492" t="inlineStr">
        <is>
          <t>WEDNESDAY</t>
        </is>
      </c>
      <c r="C28" s="451" t="n"/>
      <c r="D28" s="452" t="n"/>
    </row>
    <row r="29" ht="54.75" customHeight="1" s="435">
      <c r="B29" s="487" t="inlineStr">
        <is>
          <t>Proposal work. Build or update custom ROI models for accounts in active conversation. Update next step and next date in Tab 1 or Tab 2 for any account you worked on.</t>
        </is>
      </c>
      <c r="C29" s="451" t="n"/>
      <c r="D29" s="452" t="n"/>
    </row>
    <row r="30" ht="24" customHeight="1" s="435">
      <c r="B30" s="495" t="inlineStr">
        <is>
          <t>THURSDAY</t>
        </is>
      </c>
      <c r="C30" s="451" t="n"/>
      <c r="D30" s="452" t="n"/>
    </row>
    <row r="31" ht="54.75" customHeight="1" s="435">
      <c r="B31" s="489" t="inlineStr">
        <is>
          <t>Follow-ups. Reply to anyone who hasn't responded in 5+ days. Referral asks from warm accounts. Check Tab 4 — any account with 0 touches this week needs a touch before Friday.</t>
        </is>
      </c>
      <c r="C31" s="451" t="n"/>
      <c r="D31" s="452" t="n"/>
    </row>
    <row r="32" ht="24" customHeight="1" s="435">
      <c r="B32" s="497" t="inlineStr">
        <is>
          <t>FRIDAY</t>
        </is>
      </c>
      <c r="C32" s="451" t="n"/>
      <c r="D32" s="452" t="n"/>
    </row>
    <row r="33" ht="54.75" customHeight="1" s="435">
      <c r="B33" s="487" t="inlineStr">
        <is>
          <t>Status report day. Update Tab 4 for every account you touched this week — status, touch count, feedback, temperature. Screenshot Tab 4 and send to Andrea as your weekly update. Plan next week's outreach.</t>
        </is>
      </c>
      <c r="C33" s="451" t="n"/>
      <c r="D33" s="452" t="n"/>
    </row>
    <row r="34" ht="12" customHeight="1" s="435">
      <c r="A34" s="321" t="n"/>
      <c r="B34" s="321" t="n"/>
      <c r="C34" s="321" t="n"/>
      <c r="D34" s="321" t="n"/>
      <c r="E34" s="321" t="n"/>
    </row>
    <row r="35" ht="30" customHeight="1" s="435">
      <c r="B35" s="458" t="inlineStr">
        <is>
          <t xml:space="preserve">  COLOR KEY  ·  What The Colors Mean</t>
        </is>
      </c>
    </row>
    <row r="36" ht="3.75" customHeight="1" s="435">
      <c r="A36" s="321" t="n"/>
      <c r="B36" s="321" t="n"/>
      <c r="C36" s="321" t="n"/>
      <c r="D36" s="321" t="n"/>
      <c r="E36" s="321" t="n"/>
    </row>
    <row r="37" ht="27.75" customHeight="1" s="435">
      <c r="B37" s="24" t="n"/>
      <c r="C37" s="322" t="inlineStr">
        <is>
          <t>Green row background</t>
        </is>
      </c>
      <c r="D37" s="323" t="inlineStr">
        <is>
          <t>Track 1 Franchisor account or Tier 1 priority</t>
        </is>
      </c>
    </row>
    <row r="38" ht="27.75" customHeight="1" s="435">
      <c r="B38" s="4" t="n"/>
      <c r="C38" s="324" t="inlineStr">
        <is>
          <t>Light grey background</t>
        </is>
      </c>
      <c r="D38" s="325" t="inlineStr">
        <is>
          <t>Track 2 Franchisee or Tier 2 account</t>
        </is>
      </c>
    </row>
    <row r="39" ht="27.75" customHeight="1" s="435">
      <c r="B39" s="326" t="n"/>
      <c r="C39" s="322" t="inlineStr">
        <is>
          <t>Light blue background</t>
        </is>
      </c>
      <c r="D39" s="323" t="inlineStr">
        <is>
          <t>GPS Insight action required — involves Charles, Garrett, Andrea, or Angie</t>
        </is>
      </c>
    </row>
    <row r="40" ht="27.75" customHeight="1" s="435">
      <c r="B40" s="327" t="n"/>
      <c r="C40" s="324" t="inlineStr">
        <is>
          <t>Navy header / badge</t>
        </is>
      </c>
      <c r="D40" s="325" t="inlineStr">
        <is>
          <t>Tier 1 franchisor (BELFOR, Threshold, Empower) — move now</t>
        </is>
      </c>
    </row>
    <row r="41" ht="27.75" customHeight="1" s="435">
      <c r="B41" s="328" t="n"/>
      <c r="C41" s="322" t="inlineStr">
        <is>
          <t>Blue badge</t>
        </is>
      </c>
      <c r="D41" s="323" t="inlineStr">
        <is>
          <t>Tier 2 franchisor (PSB, ResiBrands, Five Star, HomeFront) — active pipeline</t>
        </is>
      </c>
    </row>
    <row r="42" ht="27.75" customHeight="1" s="435">
      <c r="B42" s="329" t="n"/>
      <c r="C42" s="324" t="inlineStr">
        <is>
          <t>Grey badge</t>
        </is>
      </c>
      <c r="D42" s="325" t="inlineStr">
        <is>
          <t>Tier 3 franchisor (Authority, Neighborly) — relationship build</t>
        </is>
      </c>
    </row>
    <row r="43" ht="27.75" customHeight="1" s="435">
      <c r="B43" s="330" t="n"/>
      <c r="C43" s="322" t="inlineStr">
        <is>
          <t>Green outcome background</t>
        </is>
      </c>
      <c r="D43" s="323" t="inlineStr">
        <is>
          <t>Positive outcome — reply, call scheduled, call complete, pilot agreed</t>
        </is>
      </c>
    </row>
    <row r="44" ht="27.75" customHeight="1" s="435">
      <c r="B44" s="331" t="n"/>
      <c r="C44" s="324" t="inlineStr">
        <is>
          <t>Yellow outcome background</t>
        </is>
      </c>
      <c r="D44" s="325" t="inlineStr">
        <is>
          <t>Neutral outcome — no response, opened, replied neutral</t>
        </is>
      </c>
    </row>
    <row r="45" ht="27.75" customHeight="1" s="435">
      <c r="B45" s="332" t="n"/>
      <c r="C45" s="322" t="inlineStr">
        <is>
          <t>Red outcome background</t>
        </is>
      </c>
      <c r="D45" s="323" t="inlineStr">
        <is>
          <t>Negative outcome — not a fit, replied negative, stalled</t>
        </is>
      </c>
    </row>
    <row r="46" ht="27.75" customHeight="1" s="435">
      <c r="B46" s="333" t="n"/>
      <c r="C46" s="324" t="inlineStr">
        <is>
          <t>Yellow status background</t>
        </is>
      </c>
      <c r="D46" s="325" t="inlineStr">
        <is>
          <t>Outreach status dropdowns — needs updating</t>
        </is>
      </c>
    </row>
    <row r="47" ht="12" customHeight="1" s="435">
      <c r="A47" s="321" t="n"/>
      <c r="B47" s="321" t="n"/>
      <c r="C47" s="321" t="n"/>
      <c r="D47" s="321" t="n"/>
      <c r="E47" s="321" t="n"/>
    </row>
    <row r="48" ht="30" customHeight="1" s="435">
      <c r="B48" s="458" t="inlineStr">
        <is>
          <t xml:space="preserve">  DROPDOWN REFERENCE  ·  What Each Option Means</t>
        </is>
      </c>
    </row>
    <row r="49" ht="3.75" customHeight="1" s="435">
      <c r="A49" s="321" t="n"/>
      <c r="B49" s="321" t="n"/>
      <c r="C49" s="321" t="n"/>
      <c r="D49" s="321" t="n"/>
      <c r="E49" s="321" t="n"/>
    </row>
    <row r="50" ht="24" customHeight="1" s="435">
      <c r="B50" s="496" t="inlineStr">
        <is>
          <t xml:space="preserve">  OUTREACH STATUS  —  Use this to track where each account is in your pipeline. Update every time something changes.</t>
        </is>
      </c>
    </row>
    <row r="51" ht="21.75" customHeight="1" s="435">
      <c r="C51" s="40" t="inlineStr">
        <is>
          <t>Not Started</t>
        </is>
      </c>
      <c r="D51" s="334" t="inlineStr">
        <is>
          <t>You haven't reached out yet</t>
        </is>
      </c>
    </row>
    <row r="52" ht="21.75" customHeight="1" s="435">
      <c r="C52" s="335" t="inlineStr">
        <is>
          <t>Researching</t>
        </is>
      </c>
      <c r="D52" s="336" t="inlineStr">
        <is>
          <t>You're gathering contact info / doing pre-outreach research</t>
        </is>
      </c>
    </row>
    <row r="53" ht="21.75" customHeight="1" s="435">
      <c r="C53" s="40" t="inlineStr">
        <is>
          <t>Contacted</t>
        </is>
      </c>
      <c r="D53" s="334" t="inlineStr">
        <is>
          <t>You've sent at least one message — no reply yet</t>
        </is>
      </c>
    </row>
    <row r="54" ht="21.75" customHeight="1" s="435">
      <c r="C54" s="335" t="inlineStr">
        <is>
          <t>Replied</t>
        </is>
      </c>
      <c r="D54" s="336" t="inlineStr">
        <is>
          <t>They responded — positive, neutral, or negative</t>
        </is>
      </c>
    </row>
    <row r="55" ht="21.75" customHeight="1" s="435">
      <c r="C55" s="40" t="inlineStr">
        <is>
          <t>Call Scheduled</t>
        </is>
      </c>
      <c r="D55" s="334" t="inlineStr">
        <is>
          <t>A call is booked on the calendar</t>
        </is>
      </c>
    </row>
    <row r="56" ht="21.75" customHeight="1" s="435">
      <c r="C56" s="335" t="inlineStr">
        <is>
          <t>Discovery Done</t>
        </is>
      </c>
      <c r="D56" s="336" t="inlineStr">
        <is>
          <t>You've had a discovery call — mandate confirmed or denied</t>
        </is>
      </c>
    </row>
    <row r="57" ht="21.75" customHeight="1" s="435">
      <c r="C57" s="40" t="inlineStr">
        <is>
          <t>Proposal Sent</t>
        </is>
      </c>
      <c r="D57" s="334" t="inlineStr">
        <is>
          <t>You've sent a formal proposal or ROI model</t>
        </is>
      </c>
    </row>
    <row r="58" ht="21.75" customHeight="1" s="435">
      <c r="C58" s="335" t="inlineStr">
        <is>
          <t>Negotiating</t>
        </is>
      </c>
      <c r="D58" s="336" t="inlineStr">
        <is>
          <t>Active back-and-forth on terms or next steps</t>
        </is>
      </c>
    </row>
    <row r="59" ht="21.75" customHeight="1" s="435">
      <c r="C59" s="40" t="inlineStr">
        <is>
          <t>Pilot Closed</t>
        </is>
      </c>
      <c r="D59" s="334" t="inlineStr">
        <is>
          <t>Pilot agreement signed</t>
        </is>
      </c>
    </row>
    <row r="60" ht="21.75" customHeight="1" s="435">
      <c r="C60" s="335" t="inlineStr">
        <is>
          <t>Stalled</t>
        </is>
      </c>
      <c r="D60" s="336" t="inlineStr">
        <is>
          <t>Was moving, now not responding — needs a new angle</t>
        </is>
      </c>
    </row>
    <row r="61" ht="21.75" customHeight="1" s="435">
      <c r="C61" s="40" t="inlineStr">
        <is>
          <t>Not a Fit</t>
        </is>
      </c>
      <c r="D61" s="334" t="inlineStr">
        <is>
          <t>Wrong timing, wrong account, or confirmed no path forward</t>
        </is>
      </c>
    </row>
    <row r="62" ht="7.5" customHeight="1" s="435">
      <c r="A62" s="321" t="n"/>
      <c r="B62" s="321" t="n"/>
      <c r="C62" s="321" t="n"/>
      <c r="D62" s="321" t="n"/>
      <c r="E62" s="321" t="n"/>
    </row>
    <row r="63" ht="24" customHeight="1" s="435">
      <c r="B63" s="496" t="inlineStr">
        <is>
          <t xml:space="preserve">  OUTCOME (CRM Log)  —  Use this in the Engagement Log every time you record an interaction.</t>
        </is>
      </c>
    </row>
    <row r="64" ht="21.75" customHeight="1" s="435">
      <c r="C64" s="40" t="inlineStr">
        <is>
          <t>No Response</t>
        </is>
      </c>
      <c r="D64" s="334" t="inlineStr">
        <is>
          <t>Sent — no reply after 48+ hours</t>
        </is>
      </c>
    </row>
    <row r="65" ht="21.75" customHeight="1" s="435">
      <c r="C65" s="335" t="inlineStr">
        <is>
          <t>Opened</t>
        </is>
      </c>
      <c r="D65" s="336" t="inlineStr">
        <is>
          <t>Email opened but no reply (if tracking)</t>
        </is>
      </c>
    </row>
    <row r="66" ht="21.75" customHeight="1" s="435">
      <c r="C66" s="40" t="inlineStr">
        <is>
          <t>Replied – Positive</t>
        </is>
      </c>
      <c r="D66" s="334" t="inlineStr">
        <is>
          <t>They responded with interest or agreed to a next step</t>
        </is>
      </c>
    </row>
    <row r="67" ht="21.75" customHeight="1" s="435">
      <c r="C67" s="335" t="inlineStr">
        <is>
          <t>Replied – Neutral</t>
        </is>
      </c>
      <c r="D67" s="336" t="inlineStr">
        <is>
          <t>They responded but non-committal</t>
        </is>
      </c>
    </row>
    <row r="68" ht="21.75" customHeight="1" s="435">
      <c r="C68" s="40" t="inlineStr">
        <is>
          <t>Replied – Negative</t>
        </is>
      </c>
      <c r="D68" s="334" t="inlineStr">
        <is>
          <t>They said no or not interested</t>
        </is>
      </c>
    </row>
    <row r="69" ht="21.75" customHeight="1" s="435">
      <c r="C69" s="335" t="inlineStr">
        <is>
          <t>Call Scheduled</t>
        </is>
      </c>
      <c r="D69" s="336" t="inlineStr">
        <is>
          <t>They agreed to a call — date set</t>
        </is>
      </c>
    </row>
    <row r="70" ht="21.75" customHeight="1" s="435">
      <c r="C70" s="40" t="inlineStr">
        <is>
          <t>Call Complete</t>
        </is>
      </c>
      <c r="D70" s="334" t="inlineStr">
        <is>
          <t>Call happened — log what was said in Feedback column</t>
        </is>
      </c>
    </row>
    <row r="71" ht="21.75" customHeight="1" s="435">
      <c r="C71" s="335" t="inlineStr">
        <is>
          <t>Meeting Complete</t>
        </is>
      </c>
      <c r="D71" s="336" t="inlineStr">
        <is>
          <t>In-person or video meeting completed</t>
        </is>
      </c>
    </row>
    <row r="72" ht="21.75" customHeight="1" s="435">
      <c r="C72" s="40" t="inlineStr">
        <is>
          <t>Proposal Requested</t>
        </is>
      </c>
      <c r="D72" s="334" t="inlineStr">
        <is>
          <t>They asked you to send a proposal or ROI model</t>
        </is>
      </c>
    </row>
    <row r="73" ht="21.75" customHeight="1" s="435">
      <c r="C73" s="335" t="inlineStr">
        <is>
          <t>Pilot Agreed</t>
        </is>
      </c>
      <c r="D73" s="336" t="inlineStr">
        <is>
          <t>They agreed to a pilot — get it in writing</t>
        </is>
      </c>
    </row>
    <row r="74" ht="21.75" customHeight="1" s="435">
      <c r="C74" s="40" t="inlineStr">
        <is>
          <t>Stalled</t>
        </is>
      </c>
      <c r="D74" s="334" t="inlineStr">
        <is>
          <t>Was moving, went quiet</t>
        </is>
      </c>
    </row>
    <row r="75" ht="21.75" customHeight="1" s="435">
      <c r="C75" s="335" t="inlineStr">
        <is>
          <t>Not a Fit</t>
        </is>
      </c>
      <c r="D75" s="336" t="inlineStr">
        <is>
          <t>Confirmed not the right fit or timing</t>
        </is>
      </c>
    </row>
    <row r="76" ht="7.5" customHeight="1" s="435">
      <c r="A76" s="321" t="n"/>
      <c r="B76" s="321" t="n"/>
      <c r="C76" s="321" t="n"/>
      <c r="D76" s="321" t="n"/>
      <c r="E76" s="321" t="n"/>
    </row>
    <row r="77" ht="24" customHeight="1" s="435">
      <c r="B77" s="496" t="inlineStr">
        <is>
          <t xml:space="preserve">  TEMPERATURE (Feedback Cards)  —  Score how hot each account is running. Update weekly.</t>
        </is>
      </c>
    </row>
    <row r="78" ht="21.75" customHeight="1" s="435">
      <c r="C78" s="40" t="inlineStr">
        <is>
          <t>🔥 Hot</t>
        </is>
      </c>
      <c r="D78" s="334" t="inlineStr">
        <is>
          <t>Active conversation, positive signals, moving toward a decision</t>
        </is>
      </c>
    </row>
    <row r="79" ht="21.75" customHeight="1" s="435">
      <c r="C79" s="335" t="inlineStr">
        <is>
          <t>🌡 Warm</t>
        </is>
      </c>
      <c r="D79" s="336" t="inlineStr">
        <is>
          <t>Engaged, interested, but no concrete next step yet</t>
        </is>
      </c>
    </row>
    <row r="80" ht="21.75" customHeight="1" s="435">
      <c r="C80" s="40" t="inlineStr">
        <is>
          <t>❄ Cold</t>
        </is>
      </c>
      <c r="D80" s="334" t="inlineStr">
        <is>
          <t>No response or very early stage — not yet warm</t>
        </is>
      </c>
    </row>
    <row r="81" ht="21.75" customHeight="1" s="435">
      <c r="C81" s="335" t="inlineStr">
        <is>
          <t>⛔ Dead</t>
        </is>
      </c>
      <c r="D81" s="336" t="inlineStr">
        <is>
          <t>Confirmed not a fit or permanently unresponsive — archive</t>
        </is>
      </c>
    </row>
    <row r="82" ht="7.5" customHeight="1" s="435">
      <c r="A82" s="321" t="n"/>
      <c r="B82" s="321" t="n"/>
      <c r="C82" s="321" t="n"/>
      <c r="D82" s="321" t="n"/>
      <c r="E82" s="321" t="n"/>
    </row>
    <row r="83" ht="24" customHeight="1" s="435">
      <c r="B83" s="496" t="inlineStr">
        <is>
          <t xml:space="preserve">  PILOT POTENTIAL  —  Score each franchisee account by how likely they are to close a pilot.</t>
        </is>
      </c>
    </row>
    <row r="84" ht="21.75" customHeight="1" s="435">
      <c r="C84" s="40" t="inlineStr">
        <is>
          <t>HIGH</t>
        </is>
      </c>
      <c r="D84" s="334" t="inlineStr">
        <is>
          <t>Greenfield FSM, GPS warm account, or brand wedge already identified</t>
        </is>
      </c>
    </row>
    <row r="85" ht="21.75" customHeight="1" s="435">
      <c r="C85" s="335" t="inlineStr">
        <is>
          <t>MED</t>
        </is>
      </c>
      <c r="D85" s="336" t="inlineStr">
        <is>
          <t>Greenfield but no warm path yet, or partial FSM situation</t>
        </is>
      </c>
    </row>
    <row r="86" ht="21.75" customHeight="1" s="435">
      <c r="C86" s="40" t="inlineStr">
        <is>
          <t>LOW</t>
        </is>
      </c>
      <c r="D86" s="334" t="inlineStr">
        <is>
          <t>ServiceTitan incumbent, or low FSM fit trade type</t>
        </is>
      </c>
    </row>
    <row r="87" ht="7.5" customHeight="1" s="435">
      <c r="A87" s="321" t="n"/>
      <c r="B87" s="321" t="n"/>
      <c r="C87" s="321" t="n"/>
      <c r="D87" s="321" t="n"/>
      <c r="E87" s="321" t="n"/>
    </row>
    <row r="88" ht="12" customHeight="1" s="435">
      <c r="A88" s="321" t="n"/>
      <c r="B88" s="321" t="n"/>
      <c r="C88" s="321" t="n"/>
      <c r="D88" s="321" t="n"/>
      <c r="E88" s="321" t="n"/>
    </row>
    <row r="89" ht="30" customHeight="1" s="435">
      <c r="B89" s="453" t="inlineStr">
        <is>
          <t xml:space="preserve">  RULES OF THE ROAD  ·  Keep This Accurate and It Pays You Back</t>
        </is>
      </c>
    </row>
    <row r="90" ht="3.75" customHeight="1" s="435">
      <c r="A90" s="321" t="n"/>
      <c r="B90" s="321" t="n"/>
      <c r="C90" s="321" t="n"/>
      <c r="D90" s="321" t="n"/>
      <c r="E90" s="321" t="n"/>
    </row>
    <row r="91" ht="21.75" customHeight="1" s="435">
      <c r="B91" s="491" t="inlineStr">
        <is>
          <t xml:space="preserve">  1.  Log every touch</t>
        </is>
      </c>
      <c r="C91" s="451" t="n"/>
      <c r="D91" s="452" t="n"/>
    </row>
    <row r="92" ht="51.75" customHeight="1" s="435">
      <c r="B92" s="487" t="inlineStr">
        <is>
          <t>Every LinkedIn message, email, call, and meeting gets a row in Tab 3. If it isn't logged, it didn't happen. This protects you in your weekly report to Andrea and builds a record you can reference when accounts re-engage months later.</t>
        </is>
      </c>
      <c r="C92" s="451" t="n"/>
      <c r="D92" s="452" t="n"/>
    </row>
    <row r="93" ht="3.75" customHeight="1" s="435">
      <c r="A93" s="321" t="n"/>
      <c r="B93" s="321" t="n"/>
      <c r="C93" s="321" t="n"/>
      <c r="D93" s="321" t="n"/>
      <c r="E93" s="321" t="n"/>
    </row>
    <row r="94" ht="21.75" customHeight="1" s="435">
      <c r="B94" s="493" t="inlineStr">
        <is>
          <t xml:space="preserve">  2.  Log their words verbatim</t>
        </is>
      </c>
      <c r="C94" s="451" t="n"/>
      <c r="D94" s="452" t="n"/>
    </row>
    <row r="95" ht="51.75" customHeight="1" s="435">
      <c r="B95" s="489" t="inlineStr">
        <is>
          <t>In the Feedback column, paste exactly what they said — not your interpretation. 'We're looking at FSM in Q3' is more useful than 'They're interested.' Exact words protect you and make your next outreach sharper.</t>
        </is>
      </c>
      <c r="C95" s="451" t="n"/>
      <c r="D95" s="452" t="n"/>
    </row>
    <row r="96" ht="3.75" customHeight="1" s="435">
      <c r="A96" s="321" t="n"/>
      <c r="B96" s="321" t="n"/>
      <c r="C96" s="321" t="n"/>
      <c r="D96" s="321" t="n"/>
      <c r="E96" s="321" t="n"/>
    </row>
    <row r="97" ht="21.75" customHeight="1" s="435">
      <c r="B97" s="491" t="inlineStr">
        <is>
          <t xml:space="preserve">  3.  Update Feedback Cards every Friday</t>
        </is>
      </c>
      <c r="C97" s="451" t="n"/>
      <c r="D97" s="452" t="n"/>
    </row>
    <row r="98" ht="51.75" customHeight="1" s="435">
      <c r="B98" s="487" t="inlineStr">
        <is>
          <t>Tab 4 is what Andrea sees. If the status in Tab 4 doesn't reflect this week's activity, your report is wrong. Friday morning: open Tab 4, update every account you touched, screenshot, send.</t>
        </is>
      </c>
      <c r="C98" s="451" t="n"/>
      <c r="D98" s="452" t="n"/>
    </row>
    <row r="99" ht="3.75" customHeight="1" s="435">
      <c r="A99" s="321" t="n"/>
      <c r="B99" s="321" t="n"/>
      <c r="C99" s="321" t="n"/>
      <c r="D99" s="321" t="n"/>
      <c r="E99" s="321" t="n"/>
    </row>
    <row r="100" ht="21.75" customHeight="1" s="435">
      <c r="B100" s="493" t="inlineStr">
        <is>
          <t xml:space="preserve">  4.  GPS Insight items move first</t>
        </is>
      </c>
      <c r="C100" s="451" t="n"/>
      <c r="D100" s="452" t="n"/>
    </row>
    <row r="101" ht="51.75" customHeight="1" s="435">
      <c r="B101" s="489" t="inlineStr">
        <is>
          <t>Any row highlighted in blue (GPS Insight action needed) must be flagged to Charles, Garrett, or Andrea before you move forward. These are not optional — warm intros from GPS Insight compress your sales cycle from 6 months to 6 weeks.</t>
        </is>
      </c>
      <c r="C101" s="451" t="n"/>
      <c r="D101" s="452" t="n"/>
    </row>
    <row r="102" ht="3.75" customHeight="1" s="435">
      <c r="A102" s="321" t="n"/>
      <c r="B102" s="321" t="n"/>
      <c r="C102" s="321" t="n"/>
      <c r="D102" s="321" t="n"/>
      <c r="E102" s="321" t="n"/>
    </row>
    <row r="103" ht="21.75" customHeight="1" s="435">
      <c r="B103" s="491" t="inlineStr">
        <is>
          <t xml:space="preserve">  5.  Warm before cold — every week</t>
        </is>
      </c>
      <c r="C103" s="451" t="n"/>
      <c r="D103" s="452" t="n"/>
    </row>
    <row r="104" ht="51.75" customHeight="1" s="435">
      <c r="B104" s="487" t="inlineStr">
        <is>
          <t>GPS Insight telematics clients, PE warm intros, and any account that replied last week always move before cold accounts. Prioritize Tab 2 accounts with YES in the GPS Warm column first.</t>
        </is>
      </c>
      <c r="C104" s="451" t="n"/>
      <c r="D104" s="452" t="n"/>
    </row>
    <row r="105" ht="3.75" customHeight="1" s="435">
      <c r="A105" s="321" t="n"/>
      <c r="B105" s="321" t="n"/>
      <c r="C105" s="321" t="n"/>
      <c r="D105" s="321" t="n"/>
      <c r="E105" s="321" t="n"/>
    </row>
    <row r="106" ht="21.75" customHeight="1" s="435">
      <c r="B106" s="493" t="inlineStr">
        <is>
          <t xml:space="preserve">  6.  One status per account</t>
        </is>
      </c>
      <c r="C106" s="451" t="n"/>
      <c r="D106" s="452" t="n"/>
    </row>
    <row r="107" ht="51.75" customHeight="1" s="435">
      <c r="B107" s="489" t="inlineStr">
        <is>
          <t>Only update Tab 1 or Tab 2 status when something actually changes. If you contacted someone and got no response, it's 'Contacted' — not 'Replied.' Accurate status is more valuable than optimistic status.</t>
        </is>
      </c>
      <c r="C107" s="451" t="n"/>
      <c r="D107" s="452" t="n"/>
    </row>
    <row r="108" ht="3.75" customHeight="1" s="435">
      <c r="A108" s="321" t="n"/>
      <c r="B108" s="321" t="n"/>
      <c r="C108" s="321" t="n"/>
      <c r="D108" s="321" t="n"/>
      <c r="E108" s="321" t="n"/>
    </row>
    <row r="109" ht="21.75" customHeight="1" s="435">
      <c r="B109" s="491" t="inlineStr">
        <is>
          <t xml:space="preserve">  7.  Neighborly is GPS-only</t>
        </is>
      </c>
      <c r="C109" s="451" t="n"/>
      <c r="D109" s="452" t="n"/>
    </row>
    <row r="110" ht="51.75" customHeight="1" s="435">
      <c r="B110" s="487" t="inlineStr">
        <is>
          <t>Do not log any Neighborly outreach in Tab 3 until Charles Layne confirms the KKR intro is in motion. Approaching Neighborly cold is the wrong move. This one lives in the GPS Insight column only until the PE path is confirmed.</t>
        </is>
      </c>
      <c r="C110" s="451" t="n"/>
      <c r="D110" s="452" t="n"/>
    </row>
    <row r="111" ht="3.75" customHeight="1" s="435">
      <c r="A111" s="321" t="n"/>
      <c r="B111" s="321" t="n"/>
      <c r="C111" s="321" t="n"/>
      <c r="D111" s="321" t="n"/>
      <c r="E111" s="321" t="n"/>
    </row>
    <row r="112" ht="21.75" customHeight="1" s="435">
      <c r="B112" s="493" t="inlineStr">
        <is>
          <t xml:space="preserve">  8.  Two pilots closed by Day 90</t>
        </is>
      </c>
      <c r="C112" s="451" t="n"/>
      <c r="D112" s="452" t="n"/>
    </row>
    <row r="113" ht="51.75" customHeight="1" s="435">
      <c r="B113" s="489" t="inlineStr">
        <is>
          <t>That is your goal. Work backward from it every week: which accounts are closest to a pilot decision? Those get your time first. Everything else is pipeline building for Month 4+.</t>
        </is>
      </c>
      <c r="C113" s="451" t="n"/>
      <c r="D113" s="452" t="n"/>
    </row>
    <row r="114" ht="3.75" customHeight="1" s="435">
      <c r="A114" s="321" t="n"/>
      <c r="B114" s="321" t="n"/>
      <c r="C114" s="321" t="n"/>
      <c r="D114" s="321" t="n"/>
      <c r="E114" s="321" t="n"/>
    </row>
    <row r="115" ht="12" customHeight="1" s="435">
      <c r="A115" s="321" t="n"/>
      <c r="B115" s="321" t="n"/>
      <c r="C115" s="321" t="n"/>
      <c r="D115" s="321" t="n"/>
      <c r="E115" s="321" t="n"/>
    </row>
    <row r="116" ht="25.5" customHeight="1" s="435">
      <c r="A116" s="480" t="inlineStr">
        <is>
          <t xml:space="preserve">  Prepared by Velocity GTM Co LLC on behalf of GPS Insight / ServiceBridge  ·  Michael Montgomery Flynt Jr  ·  919.434.6720  ·  mflyntjr@gmail.com  ·  Confidential  ·  April 2026</t>
        </is>
      </c>
    </row>
    <row r="118" ht="19.5" customHeight="1" s="435">
      <c r="A118" s="494" t="inlineStr">
        <is>
          <t xml:space="preserve">  FDD RESEARCH REFERENCE  ·  Free Sources for Franchise Disclosure Documents</t>
        </is>
      </c>
    </row>
    <row r="119" ht="30" customHeight="1" s="435">
      <c r="A119" s="337" t="inlineStr">
        <is>
          <t>Wisconsin DFI (BEST — easiest to use)</t>
        </is>
      </c>
      <c r="B119" s="338" t="inlineStr">
        <is>
          <t>https://apps.dfi.wi.gov/apps/FranchiseSearch/MainSearch.aspx</t>
        </is>
      </c>
      <c r="C119" s="490" t="inlineStr">
        <is>
          <t>Search by legal name. Free PDF download. All BELFOR, Empower, Authority, Neighborly brands registered here.</t>
        </is>
      </c>
    </row>
    <row r="120" ht="30" customHeight="1" s="435">
      <c r="A120" s="337" t="inlineStr">
        <is>
          <t>California DFPI DocQNet</t>
        </is>
      </c>
      <c r="B120" s="338" t="inlineStr">
        <is>
          <t>https://docqnet.dfpi.ca.gov</t>
        </is>
      </c>
      <c r="C120" s="490" t="inlineStr">
        <is>
          <t>Select 'Uniform Franchise Registration' in Application Type. Full FDD + exhibits downloadable.</t>
        </is>
      </c>
    </row>
    <row r="121" ht="30" customHeight="1" s="435">
      <c r="A121" s="337" t="inlineStr">
        <is>
          <t>Indiana Secretary of State</t>
        </is>
      </c>
      <c r="B121" s="338" t="inlineStr">
        <is>
          <t>https://securities.sos.in.gov/public-portfolio-search/</t>
        </is>
      </c>
      <c r="C121" s="490" t="inlineStr">
        <is>
          <t>Select 'Franchise' under Registration Type. Clean interface.</t>
        </is>
      </c>
    </row>
    <row r="122" ht="30" customHeight="1" s="435">
      <c r="A122" s="337" t="inlineStr">
        <is>
          <t>Minnesota Commerce</t>
        </is>
      </c>
      <c r="B122" s="338" t="inlineStr">
        <is>
          <t>https://cards.web.commerce.state.mn.us/franchise-registrations</t>
        </is>
      </c>
      <c r="C122" s="490" t="inlineStr">
        <is>
          <t>Select 'Franchise Registrations' under Area of Interest. Must include year.</t>
        </is>
      </c>
    </row>
    <row r="123" ht="30" customHeight="1" s="435">
      <c r="A123" s="337" t="inlineStr">
        <is>
          <t>Franchise Chatter (FDD Analysis)</t>
        </is>
      </c>
      <c r="B123" s="338" t="inlineStr">
        <is>
          <t>https://www.franchisechatter.com</t>
        </is>
      </c>
      <c r="C123" s="490" t="inlineStr">
        <is>
          <t>Best free Item 19 analysis. Search '[brand name] FDD'. Paid tier for full breakdown.</t>
        </is>
      </c>
    </row>
    <row r="124" ht="30" customHeight="1" s="435">
      <c r="A124" s="337" t="inlineStr">
        <is>
          <t>FDD Exchange</t>
        </is>
      </c>
      <c r="B124" s="338" t="inlineStr">
        <is>
          <t>https://fddexchange.com</t>
        </is>
      </c>
      <c r="C124" s="490" t="inlineStr">
        <is>
          <t>Summaries of Items 1-23. Some free, some paid. Good for Item 8/11 vendor requirements.</t>
        </is>
      </c>
    </row>
    <row r="125" ht="30" customHeight="1" s="435">
      <c r="A125" s="337" t="inlineStr">
        <is>
          <t>SharpSheets</t>
        </is>
      </c>
      <c r="B125" s="338" t="inlineStr">
        <is>
          <t>https://sharpsheets.io</t>
        </is>
      </c>
      <c r="C125" s="490" t="inlineStr">
        <is>
          <t>Good free Item 19 summaries and unit economics estimates.</t>
        </is>
      </c>
    </row>
    <row r="127" ht="19.5" customHeight="1" s="435">
      <c r="A127" s="499" t="inlineStr">
        <is>
          <t xml:space="preserve">  📊 INSIGHT ENGINE  ·  How to Use the ROI Calculator in Outreach</t>
        </is>
      </c>
    </row>
    <row r="128" ht="34.5" customHeight="1" s="435">
      <c r="A128" s="339" t="inlineStr">
        <is>
          <t>FILE</t>
        </is>
      </c>
      <c r="B128" s="337" t="inlineStr">
        <is>
          <t>Insight_Engine_Excel_v3.xlsx</t>
        </is>
      </c>
      <c r="C128" s="488" t="inlineStr">
        <is>
          <t>Always use the current version. Do not modify source formulas.</t>
        </is>
      </c>
    </row>
    <row r="129" ht="34.5" customHeight="1" s="435">
      <c r="A129" s="339" t="inlineStr">
        <is>
          <t>TAB 1 — ROI Calculator</t>
        </is>
      </c>
      <c r="B129" s="337" t="inlineStr">
        <is>
          <t>Pre-populate Sections A, B, C with account-specific data before every meeting</t>
        </is>
      </c>
      <c r="C129" s="488" t="inlineStr">
        <is>
          <t>Section A: Business profile (techs, jobs/day, revenue/job). Section B: FSM uplift. Section C: Telematics uplift. Section D + E auto-calculate.</t>
        </is>
      </c>
    </row>
    <row r="130" ht="34.5" customHeight="1" s="435">
      <c r="A130" s="339" t="inlineStr">
        <is>
          <t>TAB 2 — Fuel Intelligence</t>
        </is>
      </c>
      <c r="B130" s="337" t="inlineStr">
        <is>
          <t>Use for urgent opener — diesel at $5.375/gal (EIA Mar 2026)</t>
        </is>
      </c>
      <c r="C130" s="488" t="inlineStr">
        <is>
          <t>Lead with fuel cost slide when contact is ops-focused. PE contacts skip to Tab 6.</t>
        </is>
      </c>
    </row>
    <row r="131" ht="34.5" customHeight="1" s="435">
      <c r="A131" s="339" t="inlineStr">
        <is>
          <t>TAB 3 — Sources &amp; Methodology</t>
        </is>
      </c>
      <c r="B131" s="337" t="inlineStr">
        <is>
          <t>Leave visible — builds credibility that numbers are sourced</t>
        </is>
      </c>
      <c r="C131" s="488" t="inlineStr">
        <is>
          <t>Every benchmark cited: Aberdeen Group, BLS, GPS Insight internal, ServiceBridge data.</t>
        </is>
      </c>
    </row>
    <row r="132" ht="34.5" customHeight="1" s="435">
      <c r="A132" s="339" t="inlineStr">
        <is>
          <t>TAB 4 — Competitive Matrix</t>
        </is>
      </c>
      <c r="B132" s="337" t="inlineStr">
        <is>
          <t>Use with Tij Bedi (Authority CTO) and any tech-savvy contact</t>
        </is>
      </c>
      <c r="C132" s="488" t="inlineStr">
        <is>
          <t>Only tool speaking to PE / CFO audience. Shows ServiceTitan and Jobber gap explicitly.</t>
        </is>
      </c>
    </row>
    <row r="133" ht="34.5" customHeight="1" s="435">
      <c r="A133" s="339" t="inlineStr">
        <is>
          <t>TAB 5 — Trade Reference</t>
        </is>
      </c>
      <c r="B133" s="337" t="inlineStr">
        <is>
          <t>Populate with real ServiceBridge client data before Tier 1 meetings</t>
        </is>
      </c>
      <c r="C133" s="488" t="inlineStr">
        <is>
          <t>2-3 validated references make the model credible. Validate with Andrea before BELFOR outreach.</t>
        </is>
      </c>
    </row>
    <row r="134" ht="34.5" customHeight="1" s="435">
      <c r="A134" s="339" t="inlineStr">
        <is>
          <t>TAB 6 — 3-Way Scenario</t>
        </is>
      </c>
      <c r="B134" s="337" t="inlineStr">
        <is>
          <t>PE / CFO / COO conversations ONLY</t>
        </is>
      </c>
      <c r="C134" s="488" t="inlineStr">
        <is>
          <t>Conservative / Base / Stretch + EBITDA × exit multiple. This is the boardroom document. Print and bring to Rusty Amarante.</t>
        </is>
      </c>
    </row>
    <row r="135" ht="34.5" customHeight="1" s="435">
      <c r="A135" s="339" t="inlineStr">
        <is>
          <t>HOW TO USE IN OUTREACH</t>
        </is>
      </c>
      <c r="B135" s="337" t="inlineStr">
        <is>
          <t>Step 1: Pre-populate with FDD data + account intel from Track 1 col V</t>
        </is>
      </c>
      <c r="C135" s="488" t="inlineStr">
        <is>
          <t>Step 2: Run 3-Way Scenario for PE-backed accounts. Step 3: Send as leave-behind after first meeting. Step 4: Validate against real client data before second meeting.</t>
        </is>
      </c>
    </row>
    <row r="136" ht="34.5" customHeight="1" s="435">
      <c r="A136" s="339" t="inlineStr">
        <is>
          <t>BELFOR SPECIFIC</t>
        </is>
      </c>
      <c r="B136" s="337" t="inlineStr">
        <is>
          <t>Use FDD Item 19 data: $480K avg revenue, $4,500/job, 40% carrier-referred</t>
        </is>
      </c>
      <c r="C136" s="488" t="inlineStr">
        <is>
          <t>Top 25% = $1.65M. Use stretch scenario = $1.65M × 5-pt margin = $82.5K EBITDA/location × 178 locations = $14.7M system EBITDA. At 8x = $117M enterprise value uplift.</t>
        </is>
      </c>
    </row>
  </sheetData>
  <mergeCells count="66">
    <mergeCell ref="B98:D98"/>
    <mergeCell ref="C134:E134"/>
    <mergeCell ref="B107:D107"/>
    <mergeCell ref="C124:E124"/>
    <mergeCell ref="B101:D101"/>
    <mergeCell ref="C133:E133"/>
    <mergeCell ref="B48:D48"/>
    <mergeCell ref="C129:E129"/>
    <mergeCell ref="B13:D13"/>
    <mergeCell ref="A1:E1"/>
    <mergeCell ref="B29:D29"/>
    <mergeCell ref="C130:E130"/>
    <mergeCell ref="B103:D103"/>
    <mergeCell ref="B10:D10"/>
    <mergeCell ref="B28:D28"/>
    <mergeCell ref="B112:D112"/>
    <mergeCell ref="B19:D19"/>
    <mergeCell ref="C120:E120"/>
    <mergeCell ref="C132:E132"/>
    <mergeCell ref="C123:E123"/>
    <mergeCell ref="C119:E119"/>
    <mergeCell ref="B9:D9"/>
    <mergeCell ref="C135:E135"/>
    <mergeCell ref="B92:D92"/>
    <mergeCell ref="A118:E118"/>
    <mergeCell ref="B30:D30"/>
    <mergeCell ref="B83:D83"/>
    <mergeCell ref="C122:E122"/>
    <mergeCell ref="B15:D15"/>
    <mergeCell ref="B24:D24"/>
    <mergeCell ref="B95:D95"/>
    <mergeCell ref="C125:E125"/>
    <mergeCell ref="B33:D33"/>
    <mergeCell ref="B89:D89"/>
    <mergeCell ref="B104:D104"/>
    <mergeCell ref="B5:D5"/>
    <mergeCell ref="B94:D94"/>
    <mergeCell ref="A2:E2"/>
    <mergeCell ref="B63:D63"/>
    <mergeCell ref="B110:D110"/>
    <mergeCell ref="C131:E131"/>
    <mergeCell ref="B32:D32"/>
    <mergeCell ref="B4:D4"/>
    <mergeCell ref="B35:D35"/>
    <mergeCell ref="B26:D26"/>
    <mergeCell ref="A116:E116"/>
    <mergeCell ref="C136:E136"/>
    <mergeCell ref="B50:D50"/>
    <mergeCell ref="B97:D97"/>
    <mergeCell ref="B106:D106"/>
    <mergeCell ref="B100:D100"/>
    <mergeCell ref="B113:D113"/>
    <mergeCell ref="B91:D91"/>
    <mergeCell ref="B109:D109"/>
    <mergeCell ref="B7:D7"/>
    <mergeCell ref="B25:D25"/>
    <mergeCell ref="B16:D16"/>
    <mergeCell ref="B31:D31"/>
    <mergeCell ref="B22:D22"/>
    <mergeCell ref="B18:D18"/>
    <mergeCell ref="B27:D27"/>
    <mergeCell ref="C128:E128"/>
    <mergeCell ref="B12:D12"/>
    <mergeCell ref="B77:D77"/>
    <mergeCell ref="A127:E127"/>
    <mergeCell ref="C121:E12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K25"/>
  <sheetViews>
    <sheetView zoomScaleNormal="100" workbookViewId="0">
      <selection activeCell="A1" sqref="A1"/>
    </sheetView>
  </sheetViews>
  <sheetFormatPr baseColWidth="10" defaultColWidth="8.6640625" defaultRowHeight="15"/>
  <cols>
    <col width="22" customWidth="1" style="435" min="1" max="1"/>
    <col width="28" customWidth="1" style="435" min="2" max="2"/>
    <col width="14" customWidth="1" style="435" min="3" max="3"/>
    <col width="28" customWidth="1" style="435" min="4" max="4"/>
    <col width="24" customWidth="1" style="435" min="5" max="5"/>
    <col width="28" customWidth="1" style="435" min="6" max="6"/>
    <col width="20" customWidth="1" style="435" min="7" max="7"/>
    <col width="36" customWidth="1" style="435" min="8" max="8"/>
    <col width="44" customWidth="1" style="435" min="9" max="9"/>
    <col width="26" customWidth="1" style="435" min="10" max="10"/>
    <col width="52" customWidth="1" style="435" min="11" max="11"/>
  </cols>
  <sheetData>
    <row r="1" ht="24" customHeight="1" s="435">
      <c r="A1" s="502" t="inlineStr">
        <is>
          <t xml:space="preserve">  📅 EVENT INTELLIGENCE  ·  Industry Events + Franchisor Annual Conventions  ·  ServiceBridge GTM Engagement</t>
        </is>
      </c>
    </row>
    <row r="2" ht="15" customHeight="1" s="435">
      <c r="A2" s="500" t="inlineStr">
        <is>
          <t xml:space="preserve">  Velocity GTM Co LLC  ·  Michael Montgomery Flynt Jr  ·  V2 ranking aligned · Updated April 29, 2026</t>
        </is>
      </c>
    </row>
    <row r="4" ht="19.5" customHeight="1" s="435">
      <c r="A4" s="501" t="inlineStr">
        <is>
          <t xml:space="preserve">  TABLE 1  ·  INDUSTRY EVENTS</t>
        </is>
      </c>
    </row>
    <row r="5" ht="15" customHeight="1" s="435">
      <c r="A5" s="97" t="inlineStr">
        <is>
          <t>EVENT NAME</t>
        </is>
      </c>
      <c r="B5" s="97" t="inlineStr">
        <is>
          <t>TYPE</t>
        </is>
      </c>
      <c r="C5" s="97" t="inlineStr">
        <is>
          <t>DATE</t>
        </is>
      </c>
      <c r="D5" s="97" t="inlineStr">
        <is>
          <t>LOCATION</t>
        </is>
      </c>
      <c r="E5" s="97" t="inlineStr">
        <is>
          <t>STATUS</t>
        </is>
      </c>
      <c r="F5" s="97" t="inlineStr">
        <is>
          <t>KEY CONTACT ATTENDING</t>
        </is>
      </c>
      <c r="G5" s="97" t="inlineStr">
        <is>
          <t>THEIR ROLE</t>
        </is>
      </c>
      <c r="H5" s="97" t="inlineStr">
        <is>
          <t>TOPIC / NOTES</t>
        </is>
      </c>
      <c r="I5" s="97" t="inlineStr">
        <is>
          <t>YOUR OPPORTUNITY</t>
        </is>
      </c>
      <c r="J5" s="97" t="inlineStr">
        <is>
          <t>PRIORITY</t>
        </is>
      </c>
      <c r="K5" s="97" t="inlineStr">
        <is>
          <t>NOTES / INTEL</t>
        </is>
      </c>
    </row>
    <row r="6" ht="45" customHeight="1" s="435">
      <c r="A6" s="108" t="inlineStr">
        <is>
          <t>IFA Annual Convention 2026</t>
        </is>
      </c>
      <c r="B6" s="340" t="inlineStr">
        <is>
          <t>IFA Convention</t>
        </is>
      </c>
      <c r="C6" s="108" t="inlineStr">
        <is>
          <t>Feb 22–25, 2026</t>
        </is>
      </c>
      <c r="D6" s="108" t="inlineStr">
        <is>
          <t>Las Vegas, NV</t>
        </is>
      </c>
      <c r="E6" s="108" t="inlineStr">
        <is>
          <t>✅ Occurred</t>
        </is>
      </c>
      <c r="F6" s="340" t="inlineStr">
        <is>
          <t>Codie Sanchez (ResiBrands)</t>
        </is>
      </c>
      <c r="G6" s="340" t="inlineStr">
        <is>
          <t>Main Stage Speaker</t>
        </is>
      </c>
      <c r="H6" s="340" t="inlineStr">
        <is>
          <t>Theme: 'Evolve'. 500+ brands, 300 exhibitors. Daymond John keynote.</t>
        </is>
      </c>
      <c r="I6" s="340" t="inlineStr">
        <is>
          <t>Use IFA appearance as icebreaker in Steven Montgomery outreach</t>
        </is>
      </c>
      <c r="J6" s="117" t="inlineStr">
        <is>
          <t>🟡 Medium</t>
        </is>
      </c>
      <c r="K6" s="340" t="inlineStr">
        <is>
          <t>Codie Sanchez on main stage — warm reference point for ResiBrands outreach</t>
        </is>
      </c>
    </row>
    <row r="7" ht="45" customHeight="1" s="435">
      <c r="A7" s="108" t="inlineStr">
        <is>
          <t>Multi-Unit Franchising Conference (MUFC) 2026</t>
        </is>
      </c>
      <c r="B7" s="340" t="inlineStr">
        <is>
          <t>Multi-Unit Franchisee</t>
        </is>
      </c>
      <c r="C7" s="108" t="inlineStr">
        <is>
          <t>Mar 24–27, 2026</t>
        </is>
      </c>
      <c r="D7" s="108" t="inlineStr">
        <is>
          <t>Caesars Forum, Las Vegas</t>
        </is>
      </c>
      <c r="E7" s="108" t="inlineStr">
        <is>
          <t>✅ Occurred</t>
        </is>
      </c>
      <c r="F7" s="340" t="inlineStr">
        <is>
          <t>Multi-unit franchisee operators</t>
        </is>
      </c>
      <c r="G7" s="340" t="inlineStr">
        <is>
          <t>Attendees</t>
        </is>
      </c>
      <c r="H7" s="340" t="inlineStr">
        <is>
          <t>Largest multi-unit franchisee event. Track 2 audience.</t>
        </is>
      </c>
      <c r="I7" s="340" t="inlineStr">
        <is>
          <t>Attend 2027 — meet franchisee operators directly</t>
        </is>
      </c>
      <c r="J7" s="117" t="inlineStr">
        <is>
          <t>🟡 Medium</t>
        </is>
      </c>
      <c r="K7" s="340" t="inlineStr">
        <is>
          <t>Built by/for multi-unit franchisees. Good Track 2 warm-up</t>
        </is>
      </c>
    </row>
    <row r="8" ht="45" customHeight="1" s="435">
      <c r="A8" s="108" t="inlineStr">
        <is>
          <t>IFA Advocacy Summit 2026</t>
        </is>
      </c>
      <c r="B8" s="340" t="inlineStr">
        <is>
          <t>IFA Summit</t>
        </is>
      </c>
      <c r="C8" s="108" t="inlineStr">
        <is>
          <t>Sep 14–16, 2026</t>
        </is>
      </c>
      <c r="D8" s="108" t="inlineStr">
        <is>
          <t>Washington, DC</t>
        </is>
      </c>
      <c r="E8" s="117" t="inlineStr">
        <is>
          <t>🟢 Upcoming</t>
        </is>
      </c>
      <c r="F8" s="340" t="inlineStr">
        <is>
          <t>Franchisor leadership (various)</t>
        </is>
      </c>
      <c r="G8" s="340" t="inlineStr">
        <is>
          <t>Attendees/Speakers</t>
        </is>
      </c>
      <c r="H8" s="340" t="inlineStr">
        <is>
          <t>Policy-focused. Lighter on operators, heavier on franchisor C-suite.</t>
        </is>
      </c>
      <c r="I8" s="340" t="inlineStr">
        <is>
          <t>Relationship building — consider attending</t>
        </is>
      </c>
      <c r="J8" s="117" t="inlineStr">
        <is>
          <t>🟡 Medium</t>
        </is>
      </c>
      <c r="K8" s="340" t="inlineStr">
        <is>
          <t>Brad Stevenson (Neighborly CDO) on IFA board — warm reference</t>
        </is>
      </c>
    </row>
    <row r="9" ht="45" customHeight="1" s="435">
      <c r="A9" s="108" t="inlineStr">
        <is>
          <t>Franchise Leadership &amp; Development Conference (FLDC) 2026</t>
        </is>
      </c>
      <c r="B9" s="340" t="inlineStr">
        <is>
          <t>Franchisor Leadership</t>
        </is>
      </c>
      <c r="C9" s="108" t="inlineStr">
        <is>
          <t>Oct 6–8, 2026</t>
        </is>
      </c>
      <c r="D9" s="108" t="inlineStr">
        <is>
          <t>Atlanta, GA</t>
        </is>
      </c>
      <c r="E9" s="110" t="inlineStr">
        <is>
          <t>🟢 UPCOMING — REGISTER</t>
        </is>
      </c>
      <c r="F9" s="340" t="inlineStr">
        <is>
          <t>Franchisor CEOs, Presidents, COOs, CDOs</t>
        </is>
      </c>
      <c r="G9" s="340" t="inlineStr">
        <is>
          <t>Attendees</t>
        </is>
      </c>
      <c r="H9" s="340" t="inlineStr">
        <is>
          <t>BEST industry event for your exact target audience — franchisor C-suite only. STAR Awards program.</t>
        </is>
      </c>
      <c r="I9" s="340" t="inlineStr">
        <is>
          <t>🔴 ATTEND — highest-leverage industry event of 2026</t>
        </is>
      </c>
      <c r="J9" s="110" t="inlineStr">
        <is>
          <t>🔴 High</t>
        </is>
      </c>
      <c r="K9" s="340" t="inlineStr">
        <is>
          <t>This is the room you want to be in. All Top 9 contacts are likely attendees. Register now.</t>
        </is>
      </c>
    </row>
    <row r="10" ht="45" customHeight="1" s="435">
      <c r="A10" s="108" t="inlineStr">
        <is>
          <t>IFA Franchise Show 2026</t>
        </is>
      </c>
      <c r="B10" s="340" t="inlineStr">
        <is>
          <t>Trade Show</t>
        </is>
      </c>
      <c r="C10" s="108" t="inlineStr">
        <is>
          <t>Sep 25–26, 2026</t>
        </is>
      </c>
      <c r="D10" s="108" t="inlineStr">
        <is>
          <t>Fort Lauderdale, FL</t>
        </is>
      </c>
      <c r="E10" s="117" t="inlineStr">
        <is>
          <t>🟢 Upcoming</t>
        </is>
      </c>
      <c r="F10" s="340" t="inlineStr">
        <is>
          <t>(Broad franchise audience)</t>
        </is>
      </c>
      <c r="G10" s="340" t="inlineStr">
        <is>
          <t>Various</t>
        </is>
      </c>
      <c r="H10" s="340" t="inlineStr">
        <is>
          <t>Large franchise expo — more prospect-facing than C-suite.</t>
        </is>
      </c>
      <c r="I10" s="340" t="inlineStr">
        <is>
          <t>Lower priority — skip or exhibit if budget allows</t>
        </is>
      </c>
      <c r="J10" s="108" t="inlineStr">
        <is>
          <t>⚪ Low</t>
        </is>
      </c>
      <c r="K10" s="340" t="inlineStr">
        <is>
          <t>Broad audience. Less useful for your specific targets.</t>
        </is>
      </c>
    </row>
    <row r="11" ht="45" customHeight="1" s="435">
      <c r="A11" s="108" t="inlineStr">
        <is>
          <t>Emerging Franchisor Conference 2026</t>
        </is>
      </c>
      <c r="B11" s="340" t="inlineStr">
        <is>
          <t>Emerging Brands</t>
        </is>
      </c>
      <c r="C11" s="108" t="inlineStr">
        <is>
          <t>Sep 23–25, 2026</t>
        </is>
      </c>
      <c r="D11" s="108" t="inlineStr">
        <is>
          <t>Fort Worth, TX</t>
        </is>
      </c>
      <c r="E11" s="117" t="inlineStr">
        <is>
          <t>🟢 Upcoming</t>
        </is>
      </c>
      <c r="F11" s="340" t="inlineStr">
        <is>
          <t>Emerging platform CEOs (ResiBrands, HomeFront, Five Star tier)</t>
        </is>
      </c>
      <c r="G11" s="340" t="inlineStr">
        <is>
          <t>Attendees/Speakers</t>
        </is>
      </c>
      <c r="H11" s="340" t="inlineStr">
        <is>
          <t>Good for Tier 2 accounts — emerging platform CEOs attend.</t>
        </is>
      </c>
      <c r="I11" s="340" t="inlineStr">
        <is>
          <t>Consider attending for ResiBrands/HomeFront/Five Star</t>
        </is>
      </c>
      <c r="J11" s="117" t="inlineStr">
        <is>
          <t>🟡 Medium</t>
        </is>
      </c>
      <c r="K11" s="340" t="inlineStr">
        <is>
          <t>Steven Montgomery (ResiBrands) likely attends emerging brand events</t>
        </is>
      </c>
    </row>
    <row r="15" ht="19.5" customHeight="1" s="435">
      <c r="A15" s="501" t="inlineStr">
        <is>
          <t xml:space="preserve">  TABLE 2  ·  FRANCHISOR ANNUAL CONVENTIONS</t>
        </is>
      </c>
    </row>
    <row r="16" ht="21.75" customHeight="1" s="435">
      <c r="A16" s="97" t="inlineStr">
        <is>
          <t>FRANCHISOR</t>
        </is>
      </c>
      <c r="B16" s="97" t="inlineStr">
        <is>
          <t>EVENT NAME</t>
        </is>
      </c>
      <c r="C16" s="97" t="inlineStr">
        <is>
          <t>TYPICAL MONTH</t>
        </is>
      </c>
      <c r="D16" s="97" t="inlineStr">
        <is>
          <t>MOST RECENT DATE</t>
        </is>
      </c>
      <c r="E16" s="97" t="inlineStr">
        <is>
          <t>LOCATION</t>
        </is>
      </c>
      <c r="F16" s="97" t="inlineStr">
        <is>
          <t>ATTENDANCE</t>
        </is>
      </c>
      <c r="G16" s="97" t="inlineStr">
        <is>
          <t>VENDORS INVITED?</t>
        </is>
      </c>
      <c r="H16" s="97" t="inlineStr">
        <is>
          <t>KEY CONTACT ATTENDING</t>
        </is>
      </c>
      <c r="I16" s="97" t="inlineStr">
        <is>
          <t>YOUR PLAY</t>
        </is>
      </c>
      <c r="J16" s="97" t="inlineStr">
        <is>
          <t>NEXT EXPECTED</t>
        </is>
      </c>
      <c r="K16" s="97" t="inlineStr">
        <is>
          <t>NOTES / STATUS</t>
        </is>
      </c>
    </row>
    <row r="17" ht="54.75" customHeight="1" s="435">
      <c r="A17" s="341" t="inlineStr">
        <is>
          <t>BELFOR · P2 DE-FACTO ANCHOR</t>
        </is>
      </c>
      <c r="B17" s="340" t="inlineStr">
        <is>
          <t>Annual Conference (unnamed)</t>
        </is>
      </c>
      <c r="C17" s="340" t="inlineStr">
        <is>
          <t>March</t>
        </is>
      </c>
      <c r="D17" s="340" t="inlineStr">
        <is>
          <t>March 2026 (just held)</t>
        </is>
      </c>
      <c r="E17" s="340" t="inlineStr">
        <is>
          <t>TBD</t>
        </is>
      </c>
      <c r="F17" s="340" t="inlineStr">
        <is>
          <t>Multi-brand, per-brand awards</t>
        </is>
      </c>
      <c r="G17" s="117" t="inlineStr">
        <is>
          <t>Unknown</t>
        </is>
      </c>
      <c r="H17" s="340" t="inlineStr">
        <is>
          <t>Rusty Amarante, Doug Smith</t>
        </is>
      </c>
      <c r="I17" s="108" t="inlineStr">
        <is>
          <t>⚠️ Just missed — use HOODZ Triangle + Z Plumberz award winners as warm icebreakers NOW</t>
        </is>
      </c>
      <c r="J17" s="340" t="inlineStr">
        <is>
          <t>~March 2027</t>
        </is>
      </c>
      <c r="K17" s="340" t="inlineStr">
        <is>
          <t>Franchise of the Year awards announced March 2026. HOODZ of the Triangle (NC) + Z Plumberz Livingston won. Local connection.</t>
        </is>
      </c>
    </row>
    <row r="18" ht="54.75" customHeight="1" s="435">
      <c r="A18" s="341" t="inlineStr">
        <is>
          <t>THRESHOLD BRANDS · P2 AT-RISK ANCHOR</t>
        </is>
      </c>
      <c r="B18" s="340" t="inlineStr">
        <is>
          <t>Annual Convention (unnamed)</t>
        </is>
      </c>
      <c r="C18" s="340" t="inlineStr">
        <is>
          <t>Unknown</t>
        </is>
      </c>
      <c r="D18" s="340" t="inlineStr">
        <is>
          <t>Unknown</t>
        </is>
      </c>
      <c r="E18" s="340" t="inlineStr">
        <is>
          <t>Unknown</t>
        </is>
      </c>
      <c r="F18" s="340" t="inlineStr">
        <is>
          <t>Unknown</t>
        </is>
      </c>
      <c r="G18" s="117" t="inlineStr">
        <is>
          <t>Unknown</t>
        </is>
      </c>
      <c r="H18" s="340" t="inlineStr">
        <is>
          <t>Hagan Kappler (verify), Andrea Hohermuth</t>
        </is>
      </c>
      <c r="I18" s="117" t="inlineStr">
        <is>
          <t>🔍 Research needed — confirmed exists per LinkedIn</t>
        </is>
      </c>
      <c r="J18" s="340" t="inlineStr">
        <is>
          <t>TBD</t>
        </is>
      </c>
      <c r="K18" s="340" t="inlineStr">
        <is>
          <t>LinkedIn reference confirms annual convention exists. Date/location not public. Research needed.</t>
        </is>
      </c>
    </row>
    <row r="19" ht="54.75" customHeight="1" s="435">
      <c r="A19" s="341" t="inlineStr">
        <is>
          <t>EMPOWER BRANDS · P1 #3 GREENFIELD-LED</t>
        </is>
      </c>
      <c r="B19" s="340" t="inlineStr">
        <is>
          <t>Ignite (rebranded 2026)</t>
        </is>
      </c>
      <c r="C19" s="340" t="inlineStr">
        <is>
          <t>February</t>
        </is>
      </c>
      <c r="D19" s="340" t="inlineStr">
        <is>
          <t>Feb 10–12, 2026 (just held)</t>
        </is>
      </c>
      <c r="E19" s="340" t="inlineStr">
        <is>
          <t>Orlando, FL</t>
        </is>
      </c>
      <c r="F19" s="340" t="inlineStr">
        <is>
          <t>1,100+ attendees · 85 vendor partners</t>
        </is>
      </c>
      <c r="G19" s="110" t="inlineStr">
        <is>
          <t>✅ YES — 85 vendors confirmed</t>
        </is>
      </c>
      <c r="H19" s="340" t="inlineStr">
        <is>
          <t>Scott Zide (CEO), Michael Borreca (CFO)</t>
        </is>
      </c>
      <c r="I19" s="108" t="inlineStr">
        <is>
          <t>⚠️ Just missed — build vendor relationship for Ignite 2027</t>
        </is>
      </c>
      <c r="J19" s="340" t="inlineStr">
        <is>
          <t>~Feb 2027 (Orlando likely)</t>
        </is>
      </c>
      <c r="K19" s="340" t="inlineStr">
        <is>
          <t>2026 theme: 'Accelerate Growth'. Chris McChesney keynoted. Vendor path fully confirmed — 85 partners attended.</t>
        </is>
      </c>
    </row>
    <row r="20" ht="54.75" customHeight="1" s="435">
      <c r="A20" s="341" t="inlineStr">
        <is>
          <t>PREMIUM SERVICE BRANDS · P1 #6 GREENFIELD-OPEN</t>
        </is>
      </c>
      <c r="B20" s="340" t="inlineStr">
        <is>
          <t>Annual Convention (TBD name)</t>
        </is>
      </c>
      <c r="C20" s="340" t="inlineStr">
        <is>
          <t>TBD</t>
        </is>
      </c>
      <c r="D20" s="340" t="inlineStr">
        <is>
          <t>TBD</t>
        </is>
      </c>
      <c r="E20" s="340" t="inlineStr">
        <is>
          <t>TBD</t>
        </is>
      </c>
      <c r="F20" s="340" t="inlineStr">
        <is>
          <t>TBD</t>
        </is>
      </c>
      <c r="G20" s="117" t="inlineStr">
        <is>
          <t>Unknown</t>
        </is>
      </c>
      <c r="H20" s="340" t="inlineStr">
        <is>
          <t>Paul Flick, Roxanne Conrad</t>
        </is>
      </c>
      <c r="I20" s="117" t="inlineStr">
        <is>
          <t>🔍 Research needed</t>
        </is>
      </c>
      <c r="J20" s="340" t="inlineStr">
        <is>
          <t>TBD</t>
        </is>
      </c>
      <c r="K20" s="340" t="inlineStr">
        <is>
          <t>PSB holds annual events but name/date not publicly confirmed. Research via FDD.</t>
        </is>
      </c>
    </row>
    <row r="21" ht="54.75" customHeight="1" s="435">
      <c r="A21" s="341" t="inlineStr">
        <is>
          <t>RESIBRANDS · P1 #4 FAST-CYCLE</t>
        </is>
      </c>
      <c r="B21" s="340" t="inlineStr">
        <is>
          <t>No confirmed annual event</t>
        </is>
      </c>
      <c r="C21" s="340" t="inlineStr">
        <is>
          <t>N/A</t>
        </is>
      </c>
      <c r="D21" s="340" t="inlineStr">
        <is>
          <t>N/A</t>
        </is>
      </c>
      <c r="E21" s="340" t="inlineStr">
        <is>
          <t>N/A</t>
        </is>
      </c>
      <c r="F21" s="340" t="inlineStr">
        <is>
          <t>N/A</t>
        </is>
      </c>
      <c r="G21" s="108" t="inlineStr">
        <is>
          <t>N/A</t>
        </is>
      </c>
      <c r="H21" s="340" t="inlineStr">
        <is>
          <t>Steven Montgomery (directly accessible)</t>
        </is>
      </c>
      <c r="I21" s="117" t="inlineStr">
        <is>
          <t>Reach Steven directly — no convention needed</t>
        </is>
      </c>
      <c r="J21" s="340" t="inlineStr">
        <is>
          <t>N/A</t>
        </is>
      </c>
      <c r="K21" s="340" t="inlineStr">
        <is>
          <t>Lean founder operation. IFA 2026 was Codie Sanchez's main appearance. Steven Montgomery is directly accessible.</t>
        </is>
      </c>
    </row>
    <row r="22" ht="54.75" customHeight="1" s="435">
      <c r="A22" s="341" t="inlineStr">
        <is>
          <t>FIVE STAR FRANCHISING · P1 #5 WEDGE-BRAND</t>
        </is>
      </c>
      <c r="B22" s="340" t="inlineStr">
        <is>
          <t>Home Services Summit (HSS)</t>
        </is>
      </c>
      <c r="C22" s="340" t="inlineStr">
        <is>
          <t>January</t>
        </is>
      </c>
      <c r="D22" s="340" t="inlineStr">
        <is>
          <t>Jan 14–17, 2026 (just held)</t>
        </is>
      </c>
      <c r="E22" s="340" t="inlineStr">
        <is>
          <t>Caesars Palace, Las Vegas</t>
        </is>
      </c>
      <c r="F22" s="340" t="inlineStr">
        <is>
          <t>~1,000 attendees · vendor partners</t>
        </is>
      </c>
      <c r="G22" s="110" t="inlineStr">
        <is>
          <t>✅ YES — vendor partners attend</t>
        </is>
      </c>
      <c r="H22" s="340" t="inlineStr">
        <is>
          <t>Scott Abbott (CEO), Chad Jones (COO), Michael Moorhouse (Mosquito Shield)</t>
        </is>
      </c>
      <c r="I22" s="108" t="inlineStr">
        <is>
          <t>⚠️ Just missed — target HSS 2027 as vendor/exhibitor</t>
        </is>
      </c>
      <c r="J22" s="340" t="inlineStr">
        <is>
          <t>~Jan 2027 (Las Vegas likely)</t>
        </is>
      </c>
      <c r="K22" s="340" t="inlineStr">
        <is>
          <t>76 locations got Million Dollar Club recognition. Ian Stein Jr. keynoted. Fastest growing brand: Five Star Bath Solutions.</t>
        </is>
      </c>
    </row>
    <row r="23" ht="54.75" customHeight="1" s="435">
      <c r="A23" s="341" t="inlineStr">
        <is>
          <t>HOMEFRONT BRANDS · P1 #7 MONITOR-MODE</t>
        </is>
      </c>
      <c r="B23" s="340" t="inlineStr">
        <is>
          <t>Homecoming (Homecoming 4 next)</t>
        </is>
      </c>
      <c r="C23" s="340" t="inlineStr">
        <is>
          <t>November</t>
        </is>
      </c>
      <c r="D23" s="340" t="inlineStr">
        <is>
          <t>Nov 1–4, 2025 (Homecoming 3)</t>
        </is>
      </c>
      <c r="E23" s="340" t="inlineStr">
        <is>
          <t>Orlando, FL</t>
        </is>
      </c>
      <c r="F23" s="340" t="inlineStr">
        <is>
          <t>Hundreds of owners + vendor partners</t>
        </is>
      </c>
      <c r="G23" s="110" t="inlineStr">
        <is>
          <t>✅ YES — vendor partners attend</t>
        </is>
      </c>
      <c r="H23" s="340" t="inlineStr">
        <is>
          <t>Jeff Dudan (hosts personally), Michael O'Driscoll</t>
        </is>
      </c>
      <c r="I23" s="110" t="inlineStr">
        <is>
          <t>🟢 STILL TIME — Homecoming 4 ~Nov 2026. Jeff Dudan hosts personally. Contact now to get in.</t>
        </is>
      </c>
      <c r="J23" s="340" t="inlineStr">
        <is>
          <t>~Nov 2026 (Orlando likely)</t>
        </is>
      </c>
      <c r="K23" s="340" t="inlineStr">
        <is>
          <t>⚠️ Note: Franchisee satisfaction issues flagged behind scenes per Unhappy Franchisee Dec 2025 post. Verify health of system before committing vendor $$.</t>
        </is>
      </c>
    </row>
    <row r="24" ht="54.75" customHeight="1" s="435">
      <c r="A24" s="341" t="inlineStr">
        <is>
          <t>AUTHORITY BRANDS · P1 #2 DISPLACEMENT-READY</t>
        </is>
      </c>
      <c r="B24" s="340" t="inlineStr">
        <is>
          <t>Annual Convention (unnamed)</t>
        </is>
      </c>
      <c r="C24" s="340" t="inlineStr">
        <is>
          <t>TBD</t>
        </is>
      </c>
      <c r="D24" s="340" t="inlineStr">
        <is>
          <t>TBD</t>
        </is>
      </c>
      <c r="E24" s="340" t="inlineStr">
        <is>
          <t>TBD</t>
        </is>
      </c>
      <c r="F24" s="340" t="inlineStr">
        <is>
          <t>TBD</t>
        </is>
      </c>
      <c r="G24" s="117" t="inlineStr">
        <is>
          <t>Unknown</t>
        </is>
      </c>
      <c r="H24" s="340" t="inlineStr">
        <is>
          <t>Jay Bhatt (CEO), Tij Bedi (CTO — primary)</t>
        </is>
      </c>
      <c r="I24" s="117" t="inlineStr">
        <is>
          <t>🔍 Research needed — at $2B+ revenue almost certain to hold annual event</t>
        </is>
      </c>
      <c r="J24" s="340" t="inlineStr">
        <is>
          <t>TBD</t>
        </is>
      </c>
      <c r="K24" s="340" t="inlineStr">
        <is>
          <t>Tij Bedi (CTO joined Aug 2024) is building tech infrastructure for 9 non-ST brands. He is your primary contact, not the convention.</t>
        </is>
      </c>
    </row>
    <row r="25" ht="54.75" customHeight="1" s="435">
      <c r="A25" s="341" t="inlineStr">
        <is>
          <t>NEIGHBORLY · P1 #1 PE-GATED</t>
        </is>
      </c>
      <c r="B25" s="340" t="inlineStr">
        <is>
          <t>Neighborly Reunion</t>
        </is>
      </c>
      <c r="C25" s="340" t="inlineStr">
        <is>
          <t>October</t>
        </is>
      </c>
      <c r="D25" s="340" t="inlineStr">
        <is>
          <t>Oct 2025 — Gaylord Opryland Nashville</t>
        </is>
      </c>
      <c r="E25" s="340" t="inlineStr">
        <is>
          <t>Nashville, TN (Gaylord Opryland)</t>
        </is>
      </c>
      <c r="F25" s="340" t="inlineStr">
        <is>
          <t>Large — all 16 brands + vendor partners</t>
        </is>
      </c>
      <c r="G25" s="110" t="inlineStr">
        <is>
          <t>✅ YES — vendor partners attend</t>
        </is>
      </c>
      <c r="H25" s="340" t="inlineStr">
        <is>
          <t>Mike Davis (CEO), Brad Stevenson (CDO — now on IFA board)</t>
        </is>
      </c>
      <c r="I25" s="166" t="inlineStr">
        <is>
          <t>⚠️ DO NOT attend without PE intro confirmed first. KKR → Charles → Felix Gernburd path only.</t>
        </is>
      </c>
      <c r="J25" s="340" t="inlineStr">
        <is>
          <t>~Oct 2026 (Nashville likely)</t>
        </is>
      </c>
      <c r="K25" s="340" t="inlineStr">
        <is>
          <t>Brad Stevenson elected to IFA board at IFA 2026 — use as warm reference. PE intro via Charles is pre-condition for any Neighborly engagement.</t>
        </is>
      </c>
    </row>
  </sheetData>
  <mergeCells count="4">
    <mergeCell ref="A2:K2"/>
    <mergeCell ref="A4:K4"/>
    <mergeCell ref="A15:K15"/>
    <mergeCell ref="A1:K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J53"/>
  <sheetViews>
    <sheetView zoomScaleNormal="100" workbookViewId="0">
      <selection activeCell="A1" sqref="A1"/>
    </sheetView>
  </sheetViews>
  <sheetFormatPr baseColWidth="10" defaultColWidth="8.6640625" defaultRowHeight="15"/>
  <cols>
    <col width="24" customWidth="1" style="435" min="1" max="1"/>
    <col width="18" customWidth="1" style="435" min="2" max="2"/>
    <col width="16" customWidth="1" style="435" min="3" max="3"/>
    <col width="32" customWidth="1" style="435" min="4" max="4"/>
    <col width="42" customWidth="1" style="435" min="5" max="5"/>
    <col width="36" customWidth="1" style="435" min="6" max="6"/>
    <col width="30" customWidth="1" style="435" min="7" max="7"/>
    <col width="18" customWidth="1" style="435" min="8" max="8"/>
    <col width="16" customWidth="1" style="435" min="9" max="9"/>
    <col width="40" customWidth="1" style="435" min="10" max="10"/>
  </cols>
  <sheetData>
    <row r="1" ht="24" customHeight="1" s="435">
      <c r="A1" s="502" t="inlineStr">
        <is>
          <t xml:space="preserve">  💡 ENGAGEMENT IDEAS  ·  Franchisor + Franchisee Outreach Strategies  ·  ServiceBridge GTM Engagement</t>
        </is>
      </c>
    </row>
    <row r="2" ht="15" customHeight="1" s="435">
      <c r="A2" s="500" t="inlineStr">
        <is>
          <t xml:space="preserve">  Velocity GTM Co LLC  ·  Use these ideas when scripting outreach, prepping meetings, or planning next touches</t>
        </is>
      </c>
    </row>
    <row r="4" ht="19.5" customHeight="1" s="435">
      <c r="A4" s="501" t="inlineStr">
        <is>
          <t xml:space="preserve">  TABLE 1  ·  FRANCHISOR ENGAGEMENT IDEAS  (Track 1)</t>
        </is>
      </c>
    </row>
    <row r="5" ht="21.75" customHeight="1" s="435">
      <c r="A5" s="97" t="inlineStr">
        <is>
          <t>FRANCHISOR</t>
        </is>
      </c>
      <c r="B5" s="97" t="inlineStr">
        <is>
          <t>PRIORITY</t>
        </is>
      </c>
      <c r="C5" s="97" t="inlineStr">
        <is>
          <t>ENTRY ANGLE</t>
        </is>
      </c>
      <c r="D5" s="97" t="inlineStr">
        <is>
          <t>OPENING LINE / HOOK</t>
        </is>
      </c>
      <c r="E5" s="97" t="inlineStr">
        <is>
          <t>CHANNEL SEQUENCE</t>
        </is>
      </c>
      <c r="F5" s="97" t="inlineStr">
        <is>
          <t>INSIGHT ENGINE USE</t>
        </is>
      </c>
      <c r="G5" s="97" t="inlineStr">
        <is>
          <t>GPS INSIGHT ACTION</t>
        </is>
      </c>
      <c r="H5" s="97" t="inlineStr">
        <is>
          <t>OBJECTION TO PREP</t>
        </is>
      </c>
      <c r="I5" s="97" t="inlineStr">
        <is>
          <t>TIMING</t>
        </is>
      </c>
      <c r="J5" s="97" t="inlineStr">
        <is>
          <t>NOTES / STATUS</t>
        </is>
      </c>
    </row>
    <row r="6" ht="69.75" customHeight="1" s="435">
      <c r="A6" s="306" t="inlineStr">
        <is>
          <t>BELFOR</t>
        </is>
      </c>
      <c r="B6" s="342" t="inlineStr">
        <is>
          <t>🟡 P2
DE-FACTO ANCHOR — HOODZ + DUCTZ at 94% SB; convert to mandate</t>
        </is>
      </c>
      <c r="C6" s="343" t="inlineStr">
        <is>
          <t>Insurance carrier relationship reframe — not FSM pitch</t>
        </is>
      </c>
      <c r="D6" s="344" t="inlineStr">
        <is>
          <t>"Every 1-800 WD job that isn't documented costs you a carrier referral. We fix that at the point of service."</t>
        </is>
      </c>
      <c r="E6" s="343" t="inlineStr">
        <is>
          <t>1. Charles → American Securities PE intro
2. LinkedIn to Rusty (parallel)
3. HOODZ Triangle local angle
4. Email with Insight Engine 3-Way Scenario</t>
        </is>
      </c>
      <c r="F6" s="343" t="inlineStr">
        <is>
          <t>3-Way Scenario: $4,500/job × 178 locations. BELFOR-specific: carrier doc quality = more referrals. Top-25% = $1.65M stretch.</t>
        </is>
      </c>
      <c r="G6" s="345" t="inlineStr">
        <is>
          <t>📞 On me — Charles to surface American Securities / Accel-KKR path to Sheldon Yellen</t>
        </is>
      </c>
      <c r="H6" s="346" t="inlineStr">
        <is>
          <t>"We already have BELFOR Property Restoration systems" → Counter: franchise network has no mandate, 30 new territories need onboarding</t>
        </is>
      </c>
      <c r="I6" s="343" t="inlineStr">
        <is>
          <t>Week 1–2</t>
        </is>
      </c>
      <c r="J6" s="343" t="inlineStr">
        <is>
          <t>🔥 Warmest Tier 1. GPS warm flag. HOODZ Triangle local NC connection for Rusty.</t>
        </is>
      </c>
    </row>
    <row r="7" ht="69.75" customHeight="1" s="435">
      <c r="A7" s="306" t="inlineStr">
        <is>
          <t>THRESHOLD BRANDS</t>
        </is>
      </c>
      <c r="B7" s="308" t="inlineStr">
        <is>
          <t>🔴 P2
AT-RISK ANCHOR — USA Insulation transitioning off SB; defensive</t>
        </is>
      </c>
      <c r="C7" s="343" t="inlineStr">
        <is>
          <t>Unfulfilled tech promise to franchisees</t>
        </is>
      </c>
      <c r="D7" s="344" t="inlineStr">
        <is>
          <t>"Your franchisees were promised a tech platform. We're the ones who can actually deliver it."</t>
        </is>
      </c>
      <c r="E7" s="343" t="inlineStr">
        <is>
          <t>1. Verify Hagan Kappler CEO status
2. LinkedIn to CEO (if confirmed) or COO Andrea Hohermuth
3. Riverside PE intro via Charles</t>
        </is>
      </c>
      <c r="F7" s="343" t="inlineStr">
        <is>
          <t>Conservative scenario: 6,250 techs. Frame as fixing a credibility problem with franchisees.</t>
        </is>
      </c>
      <c r="G7" s="345" t="inlineStr">
        <is>
          <t>GPS: Riverside PE → Charles Layne intro</t>
        </is>
      </c>
      <c r="H7" s="346" t="inlineStr">
        <is>
          <t>"We're evaluating options" → Counter: franchisees have been waiting — timing is now</t>
        </is>
      </c>
      <c r="I7" s="343" t="inlineStr">
        <is>
          <t>Week 2</t>
        </is>
      </c>
      <c r="J7" s="343" t="inlineStr">
        <is>
          <t>⚠️ Verify Kappler status before ANY outreach. Conflicting intel.</t>
        </is>
      </c>
    </row>
    <row r="8" ht="69.75" customHeight="1" s="435">
      <c r="A8" s="306" t="inlineStr">
        <is>
          <t>EMPOWER BRANDS</t>
        </is>
      </c>
      <c r="B8" s="308" t="inlineStr">
        <is>
          <t>🟡 P1 #3
GREENFIELD-LED — strongest greenfield, Commercial mix</t>
        </is>
      </c>
      <c r="C8" s="343" t="inlineStr">
        <is>
          <t>9 greenfield brands + MidOcean exit window</t>
        </is>
      </c>
      <c r="D8" s="344" t="inlineStr">
        <is>
          <t>"You have 9 brands with no FSM mandate and a PE exit window opening. That math works in both our favors."</t>
        </is>
      </c>
      <c r="E8" s="343" t="inlineStr">
        <is>
          <t>1. LinkedIn to Scott Zide (sent Apr 8 — follow up)
2. Email with 3-Way Scenario (9 non-JAN-PRO brands)
3. Gary Bauer brand wedge on JAN-PRO separately
4. MidOcean PE intro via Charles</t>
        </is>
      </c>
      <c r="F8" s="343" t="inlineStr">
        <is>
          <t>3-Way Scenario for 9 greenfield brands only. Exclude JAN-PRO from model. EBITDA × exit multiple for Scott Zide.</t>
        </is>
      </c>
      <c r="G8" s="345" t="inlineStr">
        <is>
          <t>GPS: MidOcean Partners → Charles Layne for PE intro</t>
        </is>
      </c>
      <c r="H8" s="346" t="inlineStr">
        <is>
          <t>"JAN-PRO already has software" → Counter: we're not pitching JAN-PRO, we're pitching the other 9</t>
        </is>
      </c>
      <c r="I8" s="343" t="inlineStr">
        <is>
          <t>Week 2</t>
        </is>
      </c>
      <c r="J8" s="343" t="inlineStr">
        <is>
          <t>Gary Bauer (JAN-PRO) is a separate, careful conversation. 30yr ServiceMaster background.</t>
        </is>
      </c>
    </row>
    <row r="9" ht="69.75" customHeight="1" s="435">
      <c r="A9" s="306" t="inlineStr">
        <is>
          <t>RESIBRANDS</t>
        </is>
      </c>
      <c r="B9" s="342" t="inlineStr">
        <is>
          <t>🟢 P1 #4
FAST-CYCLE — founder-direct, fastest decision</t>
        </is>
      </c>
      <c r="C9" s="343" t="inlineStr">
        <is>
          <t>Founder-accessible, fastest path to close</t>
        </is>
      </c>
      <c r="D9" s="344" t="inlineStr">
        <is>
          <t>"$1.67 per tech per day to go fully paperless. For 2,550 techs, that's your whole operation digitized."</t>
        </is>
      </c>
      <c r="E9" s="343" t="inlineStr">
        <is>
          <t>1. Call scheduled Apr 15 (Steven replied positive)
2. Send Insight Engine conservative scenario before call
3. Pilot proposal on first or second call</t>
        </is>
      </c>
      <c r="F9" s="343" t="inlineStr">
        <is>
          <t>Conservative scenario ONLY. 2,550 techs × $1.67/day. Simple math. No PE exit framing needed — Steven is founder, not PE.</t>
        </is>
      </c>
      <c r="G9" s="345" t="inlineStr">
        <is>
          <t>None needed — direct founder relationship</t>
        </is>
      </c>
      <c r="H9" s="346" t="inlineStr">
        <is>
          <t>"Too much change at once" → Counter: ResiConnect handles scheduling, we only add field ops layer</t>
        </is>
      </c>
      <c r="I9" s="343" t="inlineStr">
        <is>
          <t>🔥 This week</t>
        </is>
      </c>
      <c r="J9" s="343" t="inlineStr">
        <is>
          <t>HOTTEST LEAD IN PIPELINE. Founder-backed = fast decision. No committee. IFA 2026 main stage speaker.</t>
        </is>
      </c>
    </row>
    <row r="10" ht="69.75" customHeight="1" s="435">
      <c r="A10" s="306" t="inlineStr">
        <is>
          <t>FIVE STAR FRANCHISING</t>
        </is>
      </c>
      <c r="B10" s="308" t="inlineStr">
        <is>
          <t>🟡 P1 #5
WEDGE-BRAND — Mosquito Shield wedge entry</t>
        </is>
      </c>
      <c r="C10" s="343" t="inlineStr">
        <is>
          <t>Princeton Equity Year 5 + Mosquito Shield brand wedge</t>
        </is>
      </c>
      <c r="D10" s="344" t="inlineStr">
        <is>
          <t>"Princeton Equity is in Year 5. Before exit, your EBITDA story needs to include operational leverage. ServiceBridge is that leverage."</t>
        </is>
      </c>
      <c r="E10" s="343" t="inlineStr">
        <is>
          <t>1. LinkedIn to Scott Abbott
2. Brand wedge via Michael Moorhouse (Mosquito Shield president)
3. CFO Steve White on numbers
4. Verify FieldRoutes on Mosquito Shield first</t>
        </is>
      </c>
      <c r="F10" s="343" t="inlineStr">
        <is>
          <t>3-Way Scenario: Princeton exit math. 2,350 techs. CFO conversation focus.</t>
        </is>
      </c>
      <c r="G10" s="345" t="inlineStr">
        <is>
          <t>None — Five Star is direct path</t>
        </is>
      </c>
      <c r="H10" s="346" t="inlineStr">
        <is>
          <t>"Mosquito Shield is on another platform" → Verify FieldRoutes first. If conflict: use other 4 Five Star brands.</t>
        </is>
      </c>
      <c r="I10" s="343" t="inlineStr">
        <is>
          <t>Week 2</t>
        </is>
      </c>
      <c r="J10" s="343" t="inlineStr">
        <is>
          <t>HSS 2026 just ended — 'we just came back energized from HSS' opener works well.</t>
        </is>
      </c>
    </row>
    <row r="11" ht="69.75" customHeight="1" s="435">
      <c r="A11" s="306" t="inlineStr">
        <is>
          <t>HOMEFRONT BRANDS</t>
        </is>
      </c>
      <c r="B11" s="308" t="inlineStr">
        <is>
          <t>⚪ P1 #7
MONITOR-MODE — Q3/Q4 2026 reassessment posture</t>
        </is>
      </c>
      <c r="C11" s="343" t="inlineStr">
        <is>
          <t>Content-first / Jeff Dudan podcast angle + Homecoming 4 vendor path</t>
        </is>
      </c>
      <c r="D11" s="344" t="inlineStr">
        <is>
          <t>"I've been following your Forbes work on franchise community-building. What you're describing operationally is exactly what ServiceBridge enables."</t>
        </is>
      </c>
      <c r="E11" s="343" t="inlineStr">
        <is>
          <t>1. LinkedIn to Jeff Dudan — content angle first
2. Reference Homecoming 4 vendor opportunity
3. Window Hero brand wedge via Tyler Kirk</t>
        </is>
      </c>
      <c r="F11" s="343" t="inlineStr">
        <is>
          <t>Conservative scenario for founder conversation. Not PE math. Per-franchisee economics.</t>
        </is>
      </c>
      <c r="G11" s="345" t="inlineStr">
        <is>
          <t>None — family office, not institutional PE</t>
        </is>
      </c>
      <c r="H11" s="346" t="inlineStr">
        <is>
          <t>"We're managing costs tightly" → Counter: ServiceBridge pays for itself in first 90 days on admin savings alone</t>
        </is>
      </c>
      <c r="I11" s="343" t="inlineStr">
        <is>
          <t>Week 2</t>
        </is>
      </c>
      <c r="J11" s="343" t="inlineStr">
        <is>
          <t>⚠️ Franchisee satisfaction issues Dec 2025. Verify system health. Position ServiceBridge as system improvement tool, not just efficiency.</t>
        </is>
      </c>
    </row>
    <row r="12" ht="69.75" customHeight="1" s="435">
      <c r="A12" s="306" t="inlineStr">
        <is>
          <t>AUTHORITY BRANDS</t>
        </is>
      </c>
      <c r="B12" s="308" t="inlineStr">
        <is>
          <t>🟡 P1 #2
DISPLACEMENT-READY — leadership transition window</t>
        </is>
      </c>
      <c r="C12" s="343" t="inlineStr">
        <is>
          <t>Tij Bedi (CTO) tech champion — 9 greenfield brands</t>
        </is>
      </c>
      <c r="D12" s="344" t="inlineStr">
        <is>
          <t>"You just joined to build tech infrastructure for 9 brands with no FSM mandate. ServiceBridge is the fastest path to get there."</t>
        </is>
      </c>
      <c r="E12" s="343" t="inlineStr">
        <is>
          <t>1. LinkedIn to Tij Bedi (CTO) — direct approach appropriate
2. Competitive Matrix tab as conversation starter
3. GPS Apax Partners intro via Charles (parallel)</t>
        </is>
      </c>
      <c r="F12" s="343" t="inlineStr">
        <is>
          <t>Competitive Matrix tab for CTO conversation. Show ServiceTitan gap on the 9 non-ST brands.</t>
        </is>
      </c>
      <c r="G12" s="345" t="inlineStr">
        <is>
          <t>GPS: Apax Partners → Charles Layne for board-level intro</t>
        </is>
      </c>
      <c r="H12" s="346" t="inlineStr">
        <is>
          <t>"We want to evaluate all options" → Counter: you have 9 brands waiting now, evaluation is the delay</t>
        </is>
      </c>
      <c r="I12" s="343" t="inlineStr">
        <is>
          <t>Week 2–3</t>
        </is>
      </c>
      <c r="J12" s="343" t="inlineStr">
        <is>
          <t>Tij Bedi is the tech champion, not gatekeeper. He's looking for exactly this solution.</t>
        </is>
      </c>
    </row>
    <row r="13" ht="69.75" customHeight="1" s="435">
      <c r="A13" s="306" t="inlineStr">
        <is>
          <t>NEIGHBORLY</t>
        </is>
      </c>
      <c r="B13" s="347" t="inlineStr">
        <is>
          <t>🔴 P1 #1
PE-GATED — DO NOT APPROACH DIRECT (KKR warm path required)</t>
        </is>
      </c>
      <c r="C13" s="343" t="inlineStr">
        <is>
          <t>KKR PE intro only — no direct approach</t>
        </is>
      </c>
      <c r="D13" s="344" t="inlineStr">
        <is>
          <t>No opening line until KKR intro confirmed. PE intro is the only door.</t>
        </is>
      </c>
      <c r="E13" s="343" t="inlineStr">
        <is>
          <t>1. Charles → Accel-KKR → KKR → Felix Gernburd
2. Only then: GPS Insight telematics conversation with Mike Davis or Gagan Sinha
3. NOT ServiceBridge FSM — ST is locked in</t>
        </is>
      </c>
      <c r="F13" s="343" t="inlineStr">
        <is>
          <t>Do not run Insight Engine until PE intro confirmed. When secured: telematics ROI only, not FSM.</t>
        </is>
      </c>
      <c r="G13" s="345" t="inlineStr">
        <is>
          <t>🔴 GPS #1 ACTION — Charles to surface KKR intro. Follow up TODAY.</t>
        </is>
      </c>
      <c r="H13" s="346" t="inlineStr">
        <is>
          <t>N/A — must have intro first</t>
        </is>
      </c>
      <c r="I13" s="343" t="inlineStr">
        <is>
          <t>Week 1 GPS action — no direct outreach</t>
        </is>
      </c>
      <c r="J13" s="343" t="inlineStr">
        <is>
          <t>ST renewal window 2025-2027 is the only leverage. Patience required.</t>
        </is>
      </c>
    </row>
    <row r="14" ht="69.75" customHeight="1" s="435">
      <c r="A14" s="306" t="inlineStr">
        <is>
          <t>PREMIUM SERVICE BRANDS</t>
        </is>
      </c>
      <c r="B14" s="308" t="inlineStr">
        <is>
          <t>🟡 P1 #6
GREENFIELD-OPEN — RooterMan dominant brand wedge</t>
        </is>
      </c>
      <c r="C14" s="343" t="inlineStr">
        <is>
          <t>RooterMan 300-location plumbing brand wedge</t>
        </is>
      </c>
      <c r="D14" s="344" t="inlineStr">
        <is>
          <t>"RooterMan is 300 locations of emergency plumbing dispatch — that's exactly what ServiceBridge was built for."</t>
        </is>
      </c>
      <c r="E14" s="343" t="inlineStr">
        <is>
          <t>1. Find RooterMan brand president name (TBD)
2. LinkedIn to brand president
3. Escalate to Paul Flick (CEO) with full PSB ROI model</t>
        </is>
      </c>
      <c r="F14" s="343" t="inlineStr">
        <is>
          <t>ROI Calculator at brand level first (RooterMan). Then scale to full PSB network for Paul Flick.</t>
        </is>
      </c>
      <c r="G14" s="345" t="inlineStr">
        <is>
          <t>None — PSB is direct path</t>
        </is>
      </c>
      <c r="H14" s="346" t="inlineStr">
        <is>
          <t>"Brand presidents run their own tech" → Counter: franchisor mandate is the faster path. Use Paul Flick ROI model.</t>
        </is>
      </c>
      <c r="I14" s="343" t="inlineStr">
        <is>
          <t>Week 2–3</t>
        </is>
      </c>
      <c r="J14" s="343" t="inlineStr">
        <is>
          <t>Full greenfield across all 8 PSB brands. Susquehanna PE — not a prominent PE exit story.</t>
        </is>
      </c>
    </row>
    <row r="18" ht="19.5" customHeight="1" s="435">
      <c r="A18" s="501" t="inlineStr">
        <is>
          <t xml:space="preserve">  TABLE 2  ·  FRANCHISEE ENGAGEMENT IDEAS  (Track 2)</t>
        </is>
      </c>
    </row>
    <row r="19" ht="15" customHeight="1" s="435">
      <c r="A19" s="97" t="inlineStr">
        <is>
          <t>BRAND / NETWORK</t>
        </is>
      </c>
      <c r="B19" s="97" t="inlineStr">
        <is>
          <t>PARENT</t>
        </is>
      </c>
      <c r="C19" s="97" t="inlineStr">
        <is>
          <t>FSM STATUS</t>
        </is>
      </c>
      <c r="D19" s="97" t="inlineStr">
        <is>
          <t>ENGAGEMENT ANGLE</t>
        </is>
      </c>
      <c r="E19" s="97" t="inlineStr">
        <is>
          <t>OPENING MESSAGE</t>
        </is>
      </c>
      <c r="F19" s="97" t="inlineStr">
        <is>
          <t>INSIGHT ENGINE</t>
        </is>
      </c>
      <c r="G19" s="97" t="inlineStr">
        <is>
          <t>WARM PATH</t>
        </is>
      </c>
      <c r="H19" s="97" t="inlineStr">
        <is>
          <t>TIMING</t>
        </is>
      </c>
      <c r="I19" s="97" t="inlineStr">
        <is>
          <t>PILOT POTENTIAL</t>
        </is>
      </c>
      <c r="J19" s="97" t="inlineStr">
        <is>
          <t>NOTES</t>
        </is>
      </c>
    </row>
    <row r="20" ht="64.5" customHeight="1" s="435">
      <c r="A20" s="348" t="inlineStr">
        <is>
          <t>1-800 Water Damage
(BELFOR network)</t>
        </is>
      </c>
      <c r="B20" s="343" t="inlineStr">
        <is>
          <t>BELFOR</t>
        </is>
      </c>
      <c r="C20" s="349" t="inlineStr">
        <is>
          <t>🟢 Greenfield</t>
        </is>
      </c>
      <c r="D20" s="343" t="inlineStr">
        <is>
          <t>Insurance documentation = carrier relationship tool</t>
        </is>
      </c>
      <c r="E20" s="344" t="inlineStr">
        <is>
          <t>"Every undocumented job is an undefended claim. ServiceBridge captures the evidence before you leave the property."</t>
        </is>
      </c>
      <c r="F20" s="343" t="inlineStr">
        <is>
          <t>ROI Calc: $4,500/job, 3 techs, 3 jobs/day. FDD-sourced. Invoice cycle reduction = faster carrier payment.</t>
        </is>
      </c>
      <c r="G20" s="343" t="inlineStr">
        <is>
          <t>GPS Insight telematics list (Andrea) — warm customers are direct calls</t>
        </is>
      </c>
      <c r="H20" s="343" t="inlineStr">
        <is>
          <t>After Rusty/BELFOR franchisor close</t>
        </is>
      </c>
      <c r="I20" s="349" t="inlineStr">
        <is>
          <t>🔴 HIGH</t>
        </is>
      </c>
      <c r="J20" s="343" t="inlineStr">
        <is>
          <t>FDD: top 25% avg $1.65M. Insurance carriers refer 40% of jobs. Documentation is the product.</t>
        </is>
      </c>
    </row>
    <row r="21" ht="64.5" customHeight="1" s="435">
      <c r="A21" s="348" t="inlineStr">
        <is>
          <t>That 1 Painter
(ResiBrands)</t>
        </is>
      </c>
      <c r="B21" s="343" t="inlineStr">
        <is>
          <t>ResiBrands</t>
        </is>
      </c>
      <c r="C21" s="349" t="inlineStr">
        <is>
          <t>🟢 Greenfield</t>
        </is>
      </c>
      <c r="D21" s="343" t="inlineStr">
        <is>
          <t>ResiConnect handles front end — ServiceBridge handles the field</t>
        </is>
      </c>
      <c r="E21" s="344" t="inlineStr">
        <is>
          <t>"ResiConnect takes the call. We handle everything after the tech gets in the truck."</t>
        </is>
      </c>
      <c r="F21" s="343" t="inlineStr">
        <is>
          <t>Conservative: 800 territories × 5 techs × $200/job. $1.67/tech/day message.</t>
        </is>
      </c>
      <c r="G21" s="343" t="inlineStr">
        <is>
          <t>Steven Montgomery decides for all ResiBrands — closed at franchisor level</t>
        </is>
      </c>
      <c r="H21" s="343" t="inlineStr">
        <is>
          <t>After ResiBrands call Apr 15</t>
        </is>
      </c>
      <c r="I21" s="349" t="inlineStr">
        <is>
          <t>🔴 HIGH</t>
        </is>
      </c>
      <c r="J21" s="343" t="inlineStr">
        <is>
          <t>800+ territories. Fastest path: win Steven, get the network.</t>
        </is>
      </c>
    </row>
    <row r="22" ht="64.5" customHeight="1" s="435">
      <c r="A22" s="348" t="inlineStr">
        <is>
          <t>GarageUp (ResiBrands)</t>
        </is>
      </c>
      <c r="B22" s="343" t="inlineStr">
        <is>
          <t>ResiBrands</t>
        </is>
      </c>
      <c r="C22" s="349" t="inlineStr">
        <is>
          <t>🟢 Greenfield</t>
        </is>
      </c>
      <c r="D22" s="343" t="inlineStr">
        <is>
          <t>Emergency + scheduled dispatch = dual revenue model</t>
        </is>
      </c>
      <c r="E22" s="344" t="inlineStr">
        <is>
          <t>Same as That 1 Painter — closed via Steven Montgomery</t>
        </is>
      </c>
      <c r="F22" s="343" t="inlineStr">
        <is>
          <t>Part of ResiBrands model — included in franchisor scenario</t>
        </is>
      </c>
      <c r="G22" s="343" t="inlineStr">
        <is>
          <t>Steven Montgomery</t>
        </is>
      </c>
      <c r="H22" s="343" t="inlineStr">
        <is>
          <t>With ResiBrands</t>
        </is>
      </c>
      <c r="I22" s="308" t="inlineStr">
        <is>
          <t>🟡 MEDIUM</t>
        </is>
      </c>
      <c r="J22" s="343" t="inlineStr">
        <is>
          <t>Garage door = emergency call + maintenance schedule. Strong dispatch fit.</t>
        </is>
      </c>
    </row>
    <row r="23" ht="64.5" customHeight="1" s="435">
      <c r="A23" s="348" t="inlineStr">
        <is>
          <t>Bumble Roofing
(Empower)</t>
        </is>
      </c>
      <c r="B23" s="343" t="inlineStr">
        <is>
          <t>Empower Brands</t>
        </is>
      </c>
      <c r="C23" s="349" t="inlineStr">
        <is>
          <t>🟢 Greenfield</t>
        </is>
      </c>
      <c r="D23" s="343" t="inlineStr">
        <is>
          <t>Estimate-to-invoice project flow</t>
        </is>
      </c>
      <c r="E23" s="344" t="inlineStr">
        <is>
          <t>"Fastest growing Empower brand in 2025. ServiceBridge keeps that growth from outpacing your ops."</t>
        </is>
      </c>
      <c r="F23" s="343" t="inlineStr">
        <is>
          <t>Project model: lower jobs/day but higher revenue/job ($2,000+). Estimate + job documentation.</t>
        </is>
      </c>
      <c r="G23" s="343" t="inlineStr">
        <is>
          <t>Empower Brands mandate via Scott Zide</t>
        </is>
      </c>
      <c r="H23" s="343" t="inlineStr">
        <is>
          <t>After Empower franchisor close</t>
        </is>
      </c>
      <c r="I23" s="308" t="inlineStr">
        <is>
          <t>🟡 MEDIUM</t>
        </is>
      </c>
      <c r="J23" s="343" t="inlineStr">
        <is>
          <t>Fastest growing brand at Ignite 2026. Greenfield. Project-based.</t>
        </is>
      </c>
    </row>
    <row r="24" ht="64.5" customHeight="1" s="435">
      <c r="A24" s="348" t="inlineStr">
        <is>
          <t>Top Rail Fence
(HomeFront)</t>
        </is>
      </c>
      <c r="B24" s="343" t="inlineStr">
        <is>
          <t>HomeFront Brands</t>
        </is>
      </c>
      <c r="C24" s="349" t="inlineStr">
        <is>
          <t>🟢 Greenfield</t>
        </is>
      </c>
      <c r="D24" s="343" t="inlineStr">
        <is>
          <t>Homecoming 4 vendor path + Franchisee of Year credibility</t>
        </is>
      </c>
      <c r="E24" s="344" t="inlineStr">
        <is>
          <t>"Top Rail Fence won Homecoming 3 FoY. The brand that wins uses the best ops stack."</t>
        </is>
      </c>
      <c r="F24" s="343" t="inlineStr">
        <is>
          <t>Project fencing: quote → install → invoice. Conservative scenario.</t>
        </is>
      </c>
      <c r="G24" s="343" t="inlineStr">
        <is>
          <t>Homecoming 4 vendor registration via Zack Dudan (CGO)</t>
        </is>
      </c>
      <c r="H24" s="343" t="inlineStr">
        <is>
          <t>Homecoming 4 Nov 2026</t>
        </is>
      </c>
      <c r="I24" s="308" t="inlineStr">
        <is>
          <t>🟡 MEDIUM</t>
        </is>
      </c>
      <c r="J24" s="343" t="inlineStr">
        <is>
          <t>FoY award = credibility for vendor conversation. Jeff Dudan hosts personally.</t>
        </is>
      </c>
    </row>
    <row r="25" ht="64.5" customHeight="1" s="435">
      <c r="A25" s="348" t="inlineStr">
        <is>
          <t>DUCTZ (BELFOR)</t>
        </is>
      </c>
      <c r="B25" s="343" t="inlineStr">
        <is>
          <t>BELFOR</t>
        </is>
      </c>
      <c r="C25" s="349" t="inlineStr">
        <is>
          <t>🟢 Greenfield</t>
        </is>
      </c>
      <c r="D25" s="343" t="inlineStr">
        <is>
          <t>Annual route model — recurring dispatch</t>
        </is>
      </c>
      <c r="E25" s="344" t="inlineStr">
        <is>
          <t>"DUCTZ runs annual commercial duct cleanings. ServiceBridge turns your route list into a repeating revenue engine."</t>
        </is>
      </c>
      <c r="F25" s="343" t="inlineStr">
        <is>
          <t>Route model: 4 jobs/day, annual contracts, ~$2,000/job. Recurring invoice automation.</t>
        </is>
      </c>
      <c r="G25" s="343" t="inlineStr">
        <is>
          <t>GPS Insight telematics list — warm customer path</t>
        </is>
      </c>
      <c r="H25" s="343" t="inlineStr">
        <is>
          <t>After BELFOR franchisor close</t>
        </is>
      </c>
      <c r="I25" s="308" t="inlineStr">
        <is>
          <t>🟡 MEDIUM</t>
        </is>
      </c>
      <c r="J25" s="343" t="inlineStr">
        <is>
          <t>Annual recurring = perfect route optimization model. DUCTZ won Franchise of Year 2025.</t>
        </is>
      </c>
    </row>
    <row r="26" ht="64.5" customHeight="1" s="435">
      <c r="A26" s="348" t="inlineStr">
        <is>
          <t>RooterMan (PSB)</t>
        </is>
      </c>
      <c r="B26" s="343" t="inlineStr">
        <is>
          <t>Premium Service Brands</t>
        </is>
      </c>
      <c r="C26" s="349" t="inlineStr">
        <is>
          <t>🟢 Greenfield</t>
        </is>
      </c>
      <c r="D26" s="343" t="inlineStr">
        <is>
          <t>Emergency plumbing dispatch at scale</t>
        </is>
      </c>
      <c r="E26" s="344" t="inlineStr">
        <is>
          <t>"300 locations of emergency plumbing. Every call is time-sensitive. ServiceBridge puts the right tech on the right job in under a minute."</t>
        </is>
      </c>
      <c r="F26" s="343" t="inlineStr">
        <is>
          <t>300 locations × 4 techs × 4 jobs/day × $350/job. Lead brand for PSB model.</t>
        </is>
      </c>
      <c r="G26" s="343" t="inlineStr">
        <is>
          <t>Brand president TBD → Paul Flick (CEO)</t>
        </is>
      </c>
      <c r="H26" s="343" t="inlineStr">
        <is>
          <t>Week 2–3</t>
        </is>
      </c>
      <c r="I26" s="349" t="inlineStr">
        <is>
          <t>🔴 HIGH</t>
        </is>
      </c>
      <c r="J26" s="343" t="inlineStr">
        <is>
          <t>300 locations = largest PSB brand. Emergency plumbing = high dispatch urgency. Perfect FSM case study.</t>
        </is>
      </c>
    </row>
    <row r="27" ht="64.5" customHeight="1" s="435">
      <c r="A27" s="348" t="inlineStr">
        <is>
          <t>Mosquito Shield
(Five Star)</t>
        </is>
      </c>
      <c r="B27" s="343" t="inlineStr">
        <is>
          <t>Five Star Franchising</t>
        </is>
      </c>
      <c r="C27" s="308" t="inlineStr">
        <is>
          <t>⚠️ Verify</t>
        </is>
      </c>
      <c r="D27" s="343" t="inlineStr">
        <is>
          <t>Seasonal route model — check FieldRoutes first</t>
        </is>
      </c>
      <c r="E27" s="344" t="inlineStr">
        <is>
          <t>If clear: "Mosquito Shield runs 20+ weeks of dense routing. ServiceBridge turns that density into margin."</t>
        </is>
      </c>
      <c r="F27" s="343" t="inlineStr">
        <is>
          <t>Route model: seasonal, high frequency, low revenue/visit. Volume play.</t>
        </is>
      </c>
      <c r="G27" s="343" t="inlineStr">
        <is>
          <t>Michael Moorhouse (Brand President) → Scott Abbott</t>
        </is>
      </c>
      <c r="H27" s="343" t="inlineStr">
        <is>
          <t>After FieldRoutes verification</t>
        </is>
      </c>
      <c r="I27" s="308" t="inlineStr">
        <is>
          <t>🟡 MEDIUM — IF clear</t>
        </is>
      </c>
      <c r="J27" s="343" t="inlineStr">
        <is>
          <t>⚠️ FieldRoutes (ST subsidiary) possible mandate. MUST verify before outreach.</t>
        </is>
      </c>
    </row>
    <row r="28" ht="64.5" customHeight="1" s="435">
      <c r="A28" s="348" t="inlineStr">
        <is>
          <t>Window Hero
(HomeFront)</t>
        </is>
      </c>
      <c r="B28" s="343" t="inlineStr">
        <is>
          <t>HomeFront Brands</t>
        </is>
      </c>
      <c r="C28" s="349" t="inlineStr">
        <is>
          <t>🟢 Greenfield</t>
        </is>
      </c>
      <c r="D28" s="343" t="inlineStr">
        <is>
          <t>Simple exterior cleaning — collect payment same day</t>
        </is>
      </c>
      <c r="E28" s="344" t="inlineStr">
        <is>
          <t>"Window cleaning on paper means chasing invoices. ServiceBridge means collecting before the squeegee is dry."</t>
        </is>
      </c>
      <c r="F28" s="343" t="inlineStr">
        <is>
          <t>Small crew model: 2-3 techs, $150-300/job, 6 jobs/day. Mobile payment emphasis.</t>
        </is>
      </c>
      <c r="G28" s="343" t="inlineStr">
        <is>
          <t>Tyler Kirk (founder) → Jeff Dudan → Homecoming 4 vendor</t>
        </is>
      </c>
      <c r="H28" s="343" t="inlineStr">
        <is>
          <t>Homecoming 4 Nov 2026</t>
        </is>
      </c>
      <c r="I28" s="347" t="inlineStr">
        <is>
          <t>🟢 LOW-MED</t>
        </is>
      </c>
      <c r="J28" s="343" t="inlineStr">
        <is>
          <t>Small brand — good pilot candidate due to simplicity. Homecoming 4 vendor path is the door.</t>
        </is>
      </c>
    </row>
    <row r="29" ht="64.5" customHeight="1" s="435">
      <c r="A29" s="348" t="inlineStr">
        <is>
          <t>JAN-PRO (Empower)</t>
        </is>
      </c>
      <c r="B29" s="343" t="inlineStr">
        <is>
          <t>Empower Brands</t>
        </is>
      </c>
      <c r="C29" s="350" t="inlineStr">
        <is>
          <t>⚠️ Conflict</t>
        </is>
      </c>
      <c r="D29" s="343" t="inlineStr">
        <is>
          <t>Replace proprietary FSM — model $8.1M system cost savings</t>
        </is>
      </c>
      <c r="E29" s="344" t="inlineStr">
        <is>
          <t>"JAN-PRO pays $60/month/franchisee for a proprietary system. ServiceBridge does more for less."</t>
        </is>
      </c>
      <c r="F29" s="343" t="inlineStr">
        <is>
          <t>Cost elimination model: $60/mo × 11,265 units = $8.1M/yr. ServiceBridge at lower cost.</t>
        </is>
      </c>
      <c r="G29" s="343" t="inlineStr">
        <is>
          <t>Scott Zide (CEO Empower) must mandate — not brand-level decision</t>
        </is>
      </c>
      <c r="H29" s="343" t="inlineStr">
        <is>
          <t>After Empower franchisor close</t>
        </is>
      </c>
      <c r="I29" s="350" t="inlineStr">
        <is>
          <t>⚠️ Conflict</t>
        </is>
      </c>
      <c r="J29" s="343" t="inlineStr">
        <is>
          <t>Handle carefully. Gary Bauer (30yr ServiceMaster) knows Aspire. Approach as system upgrade.</t>
        </is>
      </c>
    </row>
    <row r="30" ht="64.5" customHeight="1" s="435">
      <c r="A30" s="348" t="inlineStr">
        <is>
          <t>Pestmaster Services
(Threshold)</t>
        </is>
      </c>
      <c r="B30" s="343" t="inlineStr">
        <is>
          <t>Threshold Brands</t>
        </is>
      </c>
      <c r="C30" s="308" t="inlineStr">
        <is>
          <t>⚠️ Verify</t>
        </is>
      </c>
      <c r="D30" s="343" t="inlineStr">
        <is>
          <t>Pest control route model — verify FieldRoutes</t>
        </is>
      </c>
      <c r="E30" s="344" t="inlineStr">
        <is>
          <t>If clear: route-based pest control is perfect ServiceBridge use case.</t>
        </is>
      </c>
      <c r="F30" s="343" t="inlineStr">
        <is>
          <t>Route model. Verify FieldRoutes conflict first.</t>
        </is>
      </c>
      <c r="G30" s="343" t="inlineStr">
        <is>
          <t>Threshold Brands franchisor mandate path</t>
        </is>
      </c>
      <c r="H30" s="343" t="inlineStr">
        <is>
          <t>After Threshold franchisor close</t>
        </is>
      </c>
      <c r="I30" s="308" t="inlineStr">
        <is>
          <t>🟡 MEDIUM — IF clear</t>
        </is>
      </c>
      <c r="J30" s="343" t="inlineStr">
        <is>
          <t>⚠️ FieldRoutes possible. Check Threshold FDD Item 8 before outreach.</t>
        </is>
      </c>
    </row>
    <row r="31" ht="64.5" customHeight="1" s="435">
      <c r="A31" s="348" t="inlineStr">
        <is>
          <t>Mosquito Joe
(Neighborly)</t>
        </is>
      </c>
      <c r="B31" s="343" t="inlineStr">
        <is>
          <t>Neighborly</t>
        </is>
      </c>
      <c r="C31" s="308" t="inlineStr">
        <is>
          <t>🔴 ST/FieldRoutes</t>
        </is>
      </c>
      <c r="D31" s="343" t="inlineStr">
        <is>
          <t>DO NOT approach without PE intro</t>
        </is>
      </c>
      <c r="E31" s="344" t="inlineStr">
        <is>
          <t>No opening line until Neighborly PE intro confirmed.</t>
        </is>
      </c>
      <c r="F31" s="343" t="inlineStr">
        <is>
          <t>Do not run model — ST/FieldRoutes mandate likely.</t>
        </is>
      </c>
      <c r="G31" s="343" t="inlineStr">
        <is>
          <t>KKR → Charles Layne — PE intro only</t>
        </is>
      </c>
      <c r="H31" s="343" t="inlineStr">
        <is>
          <t>After PE intro</t>
        </is>
      </c>
      <c r="I31" s="350" t="inlineStr">
        <is>
          <t>⚪ BLOCKED</t>
        </is>
      </c>
      <c r="J31" s="343" t="inlineStr">
        <is>
          <t>Smart Fleet USA telematics confirmed. Route model. But Neighborly = PE intro only, no direct approach.</t>
        </is>
      </c>
    </row>
    <row r="34" ht="19.5" customHeight="1" s="435">
      <c r="A34" s="501" t="inlineStr">
        <is>
          <t xml:space="preserve">  TABLE 3  ·  REFERENCE SELLING STRATEGY  ·  Current Testimonials + Pilot Program</t>
        </is>
      </c>
    </row>
    <row r="35" ht="15" customHeight="1" s="435">
      <c r="A35" s="97" t="inlineStr">
        <is>
          <t>REFERENCE CLIENT</t>
        </is>
      </c>
      <c r="B35" s="97" t="inlineStr">
        <is>
          <t>SOURCE</t>
        </is>
      </c>
      <c r="C35" s="97" t="inlineStr">
        <is>
          <t>CONTACT / ROLE</t>
        </is>
      </c>
      <c r="D35" s="97" t="inlineStr">
        <is>
          <t>RESULT 1</t>
        </is>
      </c>
      <c r="E35" s="97" t="inlineStr">
        <is>
          <t>RESULT 2</t>
        </is>
      </c>
      <c r="F35" s="97" t="inlineStr">
        <is>
          <t>RESULT 3</t>
        </is>
      </c>
      <c r="G35" s="97" t="inlineStr">
        <is>
          <t>TRADE / RELEVANCE</t>
        </is>
      </c>
      <c r="H35" s="97" t="inlineStr">
        <is>
          <t>USE IN PITCH TO</t>
        </is>
      </c>
      <c r="I35" s="97" t="inlineStr">
        <is>
          <t>STATUS</t>
        </is>
      </c>
      <c r="J35" s="97" t="inlineStr">
        <is>
          <t>ACTION NEEDED</t>
        </is>
      </c>
    </row>
    <row r="36" ht="64.5" customHeight="1" s="435">
      <c r="A36" s="351" t="inlineStr">
        <is>
          <t>Robertson Pools
Dallas-Fort Worth TX</t>
        </is>
      </c>
      <c r="B36" s="352" t="inlineStr">
        <is>
          <t>SB Advantage Document (p.9)</t>
        </is>
      </c>
      <c r="C36" s="352" t="inlineStr">
        <is>
          <t>Kelli Griffin
Service Manager</t>
        </is>
      </c>
      <c r="D36" s="352" t="inlineStr">
        <is>
          <t>64% revenue growth</t>
        </is>
      </c>
      <c r="E36" s="352" t="inlineStr">
        <is>
          <t>2pt net profit increase</t>
        </is>
      </c>
      <c r="F36" s="352" t="inlineStr">
        <is>
          <t>Week 1 platform ROI</t>
        </is>
      </c>
      <c r="G36" s="352" t="inlineStr">
        <is>
          <t>Pool Services — recurring route + job dispatch</t>
        </is>
      </c>
      <c r="H36" s="353" t="inlineStr">
        <is>
          <t>Five Star (Mosquito Shield), PSB, HomeFront — any route-based brand</t>
        </is>
      </c>
      <c r="I36" s="354" t="inlineStr">
        <is>
          <t>✅ In SB Advantage — CONFIRM referenceable</t>
        </is>
      </c>
      <c r="J36" s="355" t="inlineStr">
        <is>
          <t>Andrea to confirm active + permission to use in franchise prospect meetings</t>
        </is>
      </c>
    </row>
    <row r="37" ht="64.5" customHeight="1" s="435">
      <c r="A37" s="351" t="inlineStr">
        <is>
          <t>Critter Control
National Franchise Network</t>
        </is>
      </c>
      <c r="B37" s="352" t="inlineStr">
        <is>
          <t>SB Advantage Document (p.9)</t>
        </is>
      </c>
      <c r="C37" s="352" t="inlineStr">
        <is>
          <t>Joe Felegi
President</t>
        </is>
      </c>
      <c r="D37" s="352" t="inlineStr">
        <is>
          <t>Headcount-neutral growth</t>
        </is>
      </c>
      <c r="E37" s="352" t="inlineStr">
        <is>
          <t>Improved lead-to-sale ratio</t>
        </is>
      </c>
      <c r="F37" s="352" t="inlineStr">
        <is>
          <t>Eliminated daily office visits</t>
        </is>
      </c>
      <c r="G37" s="352" t="inlineStr">
        <is>
          <t>Pest Control — national franchise network ← FRANCHISE REFERENCE</t>
        </is>
      </c>
      <c r="H37" s="353" t="inlineStr">
        <is>
          <t>PSB (Pestmaster), Five Star (Mosquito Shield), Threshold (FlyFoe, Pestmaster) — EXACT MATCH</t>
        </is>
      </c>
      <c r="I37" s="354" t="inlineStr">
        <is>
          <t>✅ In SB Advantage — CONFIRM referenceable</t>
        </is>
      </c>
      <c r="J37" s="356" t="inlineStr">
        <is>
          <t>⭐ HIGHEST VALUE — national franchise network president. Perfect reference for any franchisor conversation.</t>
        </is>
      </c>
    </row>
    <row r="38" ht="64.5" customHeight="1" s="435">
      <c r="A38" s="351" t="inlineStr">
        <is>
          <t>Master Mastic
Regional Operator</t>
        </is>
      </c>
      <c r="B38" s="352" t="inlineStr">
        <is>
          <t>SB Advantage Document (p.10)</t>
        </is>
      </c>
      <c r="C38" s="352" t="inlineStr">
        <is>
          <t>Brian Stilwell
Owner</t>
        </is>
      </c>
      <c r="D38" s="352" t="inlineStr">
        <is>
          <t>2x sales growth</t>
        </is>
      </c>
      <c r="E38" s="352" t="inlineStr">
        <is>
          <t>Reduced admin overhead</t>
        </is>
      </c>
      <c r="F38" s="352" t="inlineStr">
        <is>
          <t>Eliminated QuickBooks double-entry</t>
        </is>
      </c>
      <c r="G38" s="352" t="inlineStr">
        <is>
          <t>Waterproofing — project-based restoration-adjacent</t>
        </is>
      </c>
      <c r="H38" s="353" t="inlineStr">
        <is>
          <t>BELFOR (restoration/water damage), Threshold, PSB — restoration/specialty trades</t>
        </is>
      </c>
      <c r="I38" s="354" t="inlineStr">
        <is>
          <t>✅ In SB Advantage — CONFIRM referenceable</t>
        </is>
      </c>
      <c r="J38" s="355" t="inlineStr">
        <is>
          <t>Restoration-adjacent = closest to BELFOR use case. Use in Rusty Amarante outreach if confirmed.</t>
        </is>
      </c>
    </row>
    <row r="39" ht="64.5" customHeight="1" s="435">
      <c r="A39" s="351" t="inlineStr">
        <is>
          <t>🎯 TARGET PILOT CLIENT
1-800 Water Damage franchisee
(to be identified)</t>
        </is>
      </c>
      <c r="B39" s="352" t="inlineStr">
        <is>
          <t>Andrea telematics list → GPS Insight warm customer</t>
        </is>
      </c>
      <c r="C39" s="352" t="inlineStr">
        <is>
          <t>To be identified —
Owner/Operator</t>
        </is>
      </c>
      <c r="D39" s="352" t="inlineStr">
        <is>
          <t>TARGET: 64%+ revenue growth</t>
        </is>
      </c>
      <c r="E39" s="352" t="inlineStr">
        <is>
          <t>TARGET: invoice cycle -5 days</t>
        </is>
      </c>
      <c r="F39" s="352" t="inlineStr">
        <is>
          <t>TARGET: carrier referral rate increase</t>
        </is>
      </c>
      <c r="G39" s="352" t="inlineStr">
        <is>
          <t>Restoration — insurance dispatch model ← EXACT BELFOR MATCH</t>
        </is>
      </c>
      <c r="H39" s="353" t="inlineStr">
        <is>
          <t>BELFOR (Rusty Amarante, Sheldon Yellen) — this is the reference that closes the deal</t>
        </is>
      </c>
      <c r="I39" s="357" t="inlineStr">
        <is>
          <t>⚠️ NOT YET — find via Andrea's telematics list</t>
        </is>
      </c>
      <c r="J39" s="355" t="inlineStr">
        <is>
          <t>This is the pilot. Find 1 GPS Insight telematics customer in BELFOR network. Offer 90-day free pilot. Capture results. Walk into Rusty with real numbers.</t>
        </is>
      </c>
    </row>
    <row r="40" ht="64.5" customHeight="1" s="435">
      <c r="A40" s="351" t="inlineStr">
        <is>
          <t>🎯 TARGET PILOT CLIENT
ResiBrands franchisee
(That 1 Painter / GarageUp)</t>
        </is>
      </c>
      <c r="B40" s="352" t="inlineStr">
        <is>
          <t>Steven Montgomery relationship → warm intro</t>
        </is>
      </c>
      <c r="C40" s="352" t="inlineStr">
        <is>
          <t>To be identified —
Owner/Operator</t>
        </is>
      </c>
      <c r="D40" s="352" t="inlineStr">
        <is>
          <t>TARGET: admin time -1hr/tech/day</t>
        </is>
      </c>
      <c r="E40" s="352" t="inlineStr">
        <is>
          <t>TARGET: payment cycle same-day</t>
        </is>
      </c>
      <c r="F40" s="352" t="inlineStr">
        <is>
          <t>TARGET: jobs/tech/day +0.5</t>
        </is>
      </c>
      <c r="G40" s="352" t="inlineStr">
        <is>
          <t>Painting/Home Services — high tech count, route model</t>
        </is>
      </c>
      <c r="H40" s="353" t="inlineStr">
        <is>
          <t>ResiBrands (Steven Montgomery) — if pilot data supports $1.67/tech/day claim</t>
        </is>
      </c>
      <c r="I40" s="357" t="inlineStr">
        <is>
          <t>⚠️ NOT YET — after ResiBrands call Apr 15</t>
        </is>
      </c>
      <c r="J40" s="355" t="inlineStr">
        <is>
          <t>If Steven agrees Apr 15 — propose a single That 1 Painter market as 90-day pilot before full network rollout.</t>
        </is>
      </c>
    </row>
    <row r="43" ht="19.5" customHeight="1" s="435">
      <c r="A43" s="501" t="inlineStr">
        <is>
          <t xml:space="preserve">  TABLE 4  ·  PRODUCT POSITIONING  ·  Orchestration + Ownership + Spring Release Features</t>
        </is>
      </c>
    </row>
    <row r="44" ht="18" customHeight="1" s="435">
      <c r="A44" s="503" t="inlineStr">
        <is>
          <t xml:space="preserve">  A  ·  TWO-PITCH FRAMEWORK  ·  Based on prospect's current telematics provider</t>
        </is>
      </c>
    </row>
    <row r="45" ht="21.75" customHeight="1" s="435">
      <c r="A45" s="97" t="inlineStr">
        <is>
          <t>SCENARIO</t>
        </is>
      </c>
      <c r="B45" s="97" t="inlineStr">
        <is>
          <t>TELEMATICS STATUS</t>
        </is>
      </c>
      <c r="C45" s="97" t="inlineStr">
        <is>
          <t>LEAD WITH</t>
        </is>
      </c>
      <c r="D45" s="97" t="inlineStr">
        <is>
          <t>ORCHESTRATION CLAIM</t>
        </is>
      </c>
      <c r="E45" s="97" t="inlineStr">
        <is>
          <t>GPS INSIGHT ROLE</t>
        </is>
      </c>
      <c r="F45" s="97" t="inlineStr">
        <is>
          <t>SERVICEBRIDGE ROLE</t>
        </is>
      </c>
      <c r="G45" s="97" t="inlineStr">
        <is>
          <t>OPENING LINE</t>
        </is>
      </c>
      <c r="H45" s="97" t="inlineStr">
        <is>
          <t>ACCOUNTS</t>
        </is>
      </c>
      <c r="I45" s="97" t="inlineStr">
        <is>
          <t>CAUTION</t>
        </is>
      </c>
      <c r="J45" s="97" t="inlineStr">
        <is>
          <t>VERIFY WITH</t>
        </is>
      </c>
    </row>
    <row r="46" ht="79.5" customHeight="1" s="435">
      <c r="A46" s="306" t="inlineStr">
        <is>
          <t>PITCH A
'Full Ownership'
(GPS Insight customers)</t>
        </is>
      </c>
      <c r="B46" s="343" t="inlineStr">
        <is>
          <t>✅ GPS Insight or ClearPathGPS already installed</t>
        </is>
      </c>
      <c r="C46" s="358" t="inlineStr">
        <is>
          <t>Unified Orchestration — FSM + Fleet on one shared data model</t>
        </is>
      </c>
      <c r="D46" s="343" t="inlineStr">
        <is>
          <t>FULL claim: 'We own both sides. Competitors integrate. We orchestrate. One shared data model across jobs, vehicles, and technicians — in real time.'</t>
        </is>
      </c>
      <c r="E46" s="343" t="inlineStr">
        <is>
          <t>The telematics backbone. Live vehicle data, fuel card cross-ref, insurance carrier data. Already proven with this customer.</t>
        </is>
      </c>
      <c r="F46" s="343" t="inlineStr">
        <is>
          <t>The FSM layer that acts on GPS Insight data in real time. Merge Maps, Smart Scheduler, Job Confirmations — all GPS-aware.</t>
        </is>
      </c>
      <c r="G46" s="344" t="inlineStr">
        <is>
          <t>'You're already running GPS Insight. ServiceBridge is the other half of the system. Together they don't just talk to each other — they think together.'</t>
        </is>
      </c>
      <c r="H46" s="343" t="inlineStr">
        <is>
          <t>BELFOR (GPS warm flag confirmed)
All GPS Insight telematics customers in Andrea's list
Any pilot candidate from telematics cross-ref</t>
        </is>
      </c>
      <c r="I46" s="359" t="inlineStr">
        <is>
          <t>Do not claim unified orchestration for non-GPS Insight customers.</t>
        </is>
      </c>
      <c r="J46" s="360" t="inlineStr">
        <is>
          <t>Andrea — telematics customer list to identify these accounts</t>
        </is>
      </c>
    </row>
    <row r="47" ht="79.5" customHeight="1" s="435">
      <c r="A47" s="306" t="inlineStr">
        <is>
          <t>PITCH B
'Start with ServiceBridge'
(Other telematics)</t>
        </is>
      </c>
      <c r="B47" s="343" t="inlineStr">
        <is>
          <t>⚠️ Samsara / Verizon Connect / Geotab / Motive / Smart Fleet USA</t>
        </is>
      </c>
      <c r="C47" s="358" t="inlineStr">
        <is>
          <t>ServiceBridge FSM value standalone — 8 financial levers, Week 1 ROI</t>
        </is>
      </c>
      <c r="D47" s="343" t="inlineStr">
        <is>
          <t>PARTIAL claim: 'ServiceBridge delivers its core FSM value on day one, with or without GPS Insight telematics. The full orchestration story unlocks when you add GPS Insight at your next telematics renewal.'</t>
        </is>
      </c>
      <c r="E47" s="343" t="inlineStr">
        <is>
          <t>The upgrade path. Plant the flag now. Win telematics at contract renewal.</t>
        </is>
      </c>
      <c r="F47" s="343" t="inlineStr">
        <is>
          <t>Standalone FSM: dispatch, digital work orders, on-site payment, invoice automation, QuickBooks sync, Smart Scheduler, Job Confirmations.</t>
        </is>
      </c>
      <c r="G47" s="344" t="inlineStr">
        <is>
          <t>'Start with ServiceBridge. You'll get your money back in Week 1 on admin savings alone. When your telematics contract comes up, GPS Insight is the full orchestration upgrade.'</t>
        </is>
      </c>
      <c r="H47" s="343" t="inlineStr">
        <is>
          <t>Neighborly (Smart Fleet USA — DO NOT approach direct)
Authority Brands (ST mandated brands — GPS Insight only)
Five Star, HomeFront, Threshold, Empower greenfield brands
Any account with non-GPS Insight telematics confirmed</t>
        </is>
      </c>
      <c r="I47" s="359" t="inlineStr">
        <is>
          <t>Never claim full orchestration with third-party telematics. Verify API capability with Andrea first — may change this.</t>
        </is>
      </c>
      <c r="J47" s="360" t="inlineStr">
        <is>
          <t>Andrea/product — does ServiceBridge accept third-party telematics data via API? Answer changes this pitch materially.</t>
        </is>
      </c>
    </row>
    <row r="49" ht="18" customHeight="1" s="435">
      <c r="A49" s="503" t="inlineStr">
        <is>
          <t xml:space="preserve">  B  ·  SPRING RELEASE FEATURES  ·  GTM Angles per New Capability  (Released ~Apr 11 2026)</t>
        </is>
      </c>
    </row>
    <row r="50" ht="21.75" customHeight="1" s="435">
      <c r="A50" s="97" t="inlineStr">
        <is>
          <t>FEATURE</t>
        </is>
      </c>
      <c r="B50" s="97" t="inlineStr">
        <is>
          <t>WHAT IT DOES</t>
        </is>
      </c>
      <c r="C50" s="97" t="inlineStr">
        <is>
          <t>GTM ANGLE</t>
        </is>
      </c>
      <c r="D50" s="97" t="inlineStr">
        <is>
          <t>BEST PITCH LINE</t>
        </is>
      </c>
      <c r="E50" s="97" t="inlineStr">
        <is>
          <t>USE WITH AUDIENCE</t>
        </is>
      </c>
      <c r="F50" s="97" t="inlineStr">
        <is>
          <t>INSIGHT ENGINE IMPACT</t>
        </is>
      </c>
      <c r="G50" s="97" t="inlineStr">
        <is>
          <t>ACCOUNTS TO LEAD WITH</t>
        </is>
      </c>
      <c r="H50" s="97" t="inlineStr">
        <is>
          <t>COMPETITIVE COUNTER</t>
        </is>
      </c>
      <c r="I50" s="97" t="inlineStr">
        <is>
          <t>STATUS</t>
        </is>
      </c>
      <c r="J50" s="97" t="inlineStr">
        <is>
          <t>SOURCE</t>
        </is>
      </c>
    </row>
    <row r="51" ht="90" customHeight="1" s="435">
      <c r="A51" s="306" t="inlineStr">
        <is>
          <t>🤖 Smart Scheduler
(AI Dispatch)</t>
        </is>
      </c>
      <c r="B51" s="343" t="inlineStr">
        <is>
          <t>AI-driven auto-assignment of unassigned jobs to qualified technicians. Matches skills/certs, respects time windows, optimizes routes, previews before applying. Included free for Pro/Enterprise single-branch customers.</t>
        </is>
      </c>
      <c r="C51" s="343" t="inlineStr">
        <is>
          <t>This IS the orchestration story made visible. AI acting on job + technician data in real time — exactly what the FSM Strategy doc describes as 'systems of orchestration.' No competitor offers AI dispatch at this price point.</t>
        </is>
      </c>
      <c r="D51" s="344" t="inlineStr">
        <is>
          <t>'ServiceBridge now includes AI-powered scheduling. Your dispatcher doesn't build the schedule anymore — the system does. In minutes, not hours. Included at no extra cost.'</t>
        </is>
      </c>
      <c r="E51" s="343" t="inlineStr">
        <is>
          <t>Tij Bedi (Authority CTO) — CTO language
Scott Zide (Empower CEO) — ops efficiency
PE/CFO audience — labor cost reduction
Rusty Amarante (BELFOR) — dispatch at scale</t>
        </is>
      </c>
      <c r="F51" s="343" t="inlineStr">
        <is>
          <t>Add to ROI Calculator: Admin time recovery column now includes scheduler time saved. Estimate 30-60 min/day dispatch reduction for franchises with 10+ techs.</t>
        </is>
      </c>
      <c r="G51" s="343" t="inlineStr">
        <is>
          <t>BELFOR (9,250 techs — manual dispatch = massive inefficiency)
Empower (JAN-PRO scale — route optimization)
Authority Brands (CTO conversation)
ResiBrands (That 1 Painter — 800+ territories)</t>
        </is>
      </c>
      <c r="H51" s="353" t="inlineStr">
        <is>
          <t>ServiceTitan has AI scheduling but costs $245-500/tech/month. ServiceBridge delivers it at $24.95. That's 10x cheaper for the same capability.</t>
        </is>
      </c>
      <c r="I51" s="354" t="inlineStr">
        <is>
          <t>✅ LIVE — released ~Apr 11 2026</t>
        </is>
      </c>
      <c r="J51" s="343" t="inlineStr">
        <is>
          <t>help.servicebridge.com Spring Release Notes</t>
        </is>
      </c>
    </row>
    <row r="52" ht="90" customHeight="1" s="435">
      <c r="A52" s="306" t="inlineStr">
        <is>
          <t>💬 Job Confirmations
(2-Way SMS)</t>
        </is>
      </c>
      <c r="B52" s="343" t="inlineStr">
        <is>
          <t>Send appointment confirmation texts from Estimates/Work Orders. Receive customer replies. All SMS activity in Message Center, auto-linked to job and customer records.</t>
        </is>
      </c>
      <c r="C52" s="343" t="inlineStr">
        <is>
          <t>Customer communication = no-show reduction = more revenue per day. Every franchise system struggles with no-shows. Two-way SMS is table stakes for a premium customer experience — and it's now built in, not bolted on.</t>
        </is>
      </c>
      <c r="D52" s="344" t="inlineStr">
        <is>
          <t>'Your techs confirm appointments by text. Customers reply. Everything logs automatically. No-shows cost you 2 hours of loaded labor per tech per week — this eliminates them.'</t>
        </is>
      </c>
      <c r="E52" s="343" t="inlineStr">
        <is>
          <t>Franchisee level — direct ops benefit
Franchisor — customer satisfaction / NPS story
PE/Exit — customer retention metric</t>
        </is>
      </c>
      <c r="F52" s="343" t="inlineStr">
        <is>
          <t>Add to Financial Lever #7 (First-time fix rate): No-show reduction improves utilization. Estimate 1 job/tech/week recovered = $350-4,500 per tech per week depending on trade.</t>
        </is>
      </c>
      <c r="G52" s="343" t="inlineStr">
        <is>
          <t>BELFOR (insurance carrier communication — confirmation = documentation)
ResiBrands pilot (That 1 Painter — customer experience)
Any Tier 1 with high customer-facing volume</t>
        </is>
      </c>
      <c r="H52" s="353" t="inlineStr">
        <is>
          <t>Jobber has SMS but it's one-way. HousecallPro has 2-way but at higher price. ServiceBridge includes it in base package.</t>
        </is>
      </c>
      <c r="I52" s="354" t="inlineStr">
        <is>
          <t>✅ LIVE — released ~Apr 11 2026</t>
        </is>
      </c>
      <c r="J52" s="343" t="inlineStr">
        <is>
          <t>help.servicebridge.com Spring Release Notes</t>
        </is>
      </c>
    </row>
    <row r="53" ht="90" customHeight="1" s="435">
      <c r="A53" s="306" t="inlineStr">
        <is>
          <t>💳 GreenSky® Consumer
Financing</t>
        </is>
      </c>
      <c r="B53" s="343" t="inlineStr">
        <is>
          <t>Third-party consumer financing built directly into estimates and invoices. Customer applies for financing, gets approved, pays via financing — all within ServiceBridge checkout. GreenSky manages underwriting.</t>
        </is>
      </c>
      <c r="C53" s="343" t="inlineStr">
        <is>
          <t>Higher-ticket jobs close faster when financing is available at point of sale. Restoration, HVAC, roofing, insulation — these are $5K-$50K jobs. Financing converts 'let me think about it' into 'yes' on the spot. For franchise systems, this is a revenue multiplier, not a payment feature.</t>
        </is>
      </c>
      <c r="D53" s="344" t="inlineStr">
        <is>
          <t>'The average 1-800 Water Damage job is $4,500. With GreenSky® financing built into the estimate, your franchisees close more jobs same day. The system handles the underwriting. They handle the work.'</t>
        </is>
      </c>
      <c r="E53" s="343" t="inlineStr">
        <is>
          <t>BELFOR restoration brands — high ticket, insurance-adjacent
Bumble Roofing (Empower) — $10K+ roofing projects
USA Insulation (Threshold) — high-ticket installs
Any franchise with avg job value $2,000+</t>
        </is>
      </c>
      <c r="F53" s="343" t="inlineStr">
        <is>
          <t>Add to Financial Lever #2 (Invoice leakage + ticket size): Financing availability increases job acceptance on high-ticket estimates. Estimate 10-15% conversion lift on jobs $2,000+.</t>
        </is>
      </c>
      <c r="G53" s="343" t="inlineStr">
        <is>
          <t>BELFOR (restoration avg $4,500/job — financing closes same day)
Bumble Roofing/Empower
USA Insulation/Threshold</t>
        </is>
      </c>
      <c r="H53" s="353" t="inlineStr">
        <is>
          <t>No FSM competitor at this price point includes consumer financing. ServiceTitan has financing but at enterprise pricing. ServiceBridge is the only sub-$50/tech platform with native financing.</t>
        </is>
      </c>
      <c r="I53" s="354" t="inlineStr">
        <is>
          <t>✅ LIVE — released ~Apr 11 2026</t>
        </is>
      </c>
      <c r="J53" s="343" t="inlineStr">
        <is>
          <t>help.servicebridge.com Spring Release Notes</t>
        </is>
      </c>
    </row>
  </sheetData>
  <mergeCells count="8">
    <mergeCell ref="A44:J44"/>
    <mergeCell ref="A1:J1"/>
    <mergeCell ref="A18:J18"/>
    <mergeCell ref="A34:J34"/>
    <mergeCell ref="A4:J4"/>
    <mergeCell ref="A43:J43"/>
    <mergeCell ref="A2:J2"/>
    <mergeCell ref="A49:J49"/>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H48"/>
  <sheetViews>
    <sheetView zoomScaleNormal="100" workbookViewId="0">
      <selection activeCell="A1" sqref="A1"/>
    </sheetView>
  </sheetViews>
  <sheetFormatPr baseColWidth="10" defaultColWidth="8.6640625" defaultRowHeight="15"/>
  <cols>
    <col width="8" customWidth="1" style="435" min="1" max="1"/>
    <col width="22" customWidth="1" style="435" min="2" max="2"/>
    <col width="10" customWidth="1" style="435" min="3" max="3"/>
    <col width="18" customWidth="1" style="435" min="4" max="4"/>
    <col width="16" customWidth="1" style="435" min="5" max="5"/>
    <col width="45" customWidth="1" style="435" min="6" max="6"/>
    <col width="10" customWidth="1" style="435" min="7" max="8"/>
  </cols>
  <sheetData>
    <row r="1" ht="27.75" customHeight="1" s="435">
      <c r="A1" s="505" t="inlineStr">
        <is>
          <t xml:space="preserve">  📊 SCORING MODEL  ·  How We Prioritize Franchisors and Franchisees  ·  ServiceBridge GTM Engagement</t>
        </is>
      </c>
    </row>
    <row r="2" ht="19.5" customHeight="1" s="435">
      <c r="A2" s="504" t="inlineStr">
        <is>
          <t xml:space="preserve">  Velocity GTM Co LLC  ·  V2 Greenfield-Weighted Methodology  ·  Track 1 + Track 2 use same 7 dimensions, reweighted per stage  ·  Updated April 28, 2026</t>
        </is>
      </c>
    </row>
    <row r="3" ht="19.5" customHeight="1" s="435">
      <c r="A3" s="501" t="inlineStr">
        <is>
          <t xml:space="preserve">  HOW THE TWO-LEVEL SYSTEM WORKS</t>
        </is>
      </c>
    </row>
    <row r="4" ht="21.75" customHeight="1" s="435">
      <c r="A4" s="97" t="inlineStr">
        <is>
          <t>LEVEL</t>
        </is>
      </c>
      <c r="B4" s="97" t="inlineStr">
        <is>
          <t>NAME</t>
        </is>
      </c>
      <c r="C4" s="97" t="inlineStr">
        <is>
          <t>RANGE / MAX</t>
        </is>
      </c>
      <c r="D4" s="97" t="inlineStr">
        <is>
          <t>HOW IT WORKS</t>
        </is>
      </c>
    </row>
    <row r="5" ht="49.5" customHeight="1" s="435">
      <c r="A5" s="361" t="inlineStr">
        <is>
          <t>LEVEL 1</t>
        </is>
      </c>
      <c r="B5" s="361" t="inlineStr">
        <is>
          <t>Franchisor Score (Track 1)</t>
        </is>
      </c>
      <c r="C5" s="362" t="inlineStr">
        <is>
          <t>7 V2 dimensions · Max 100 points</t>
        </is>
      </c>
      <c r="D5" s="343" t="inlineStr">
        <is>
          <t>Scores each of the 7 P1 franchisor targets using V2 dimensions: Greenfield (20%), Network (15%), PE (15%), DM Access (15%), Urgency (15%), Displacement (10%), C/B Mix (10%). Determines where to focus GTM effort at the network level. P2 franchisors (BELFOR, Evive, Threshold) classified separately as "existing footprint" set, not numerically ranked.</t>
        </is>
      </c>
    </row>
    <row r="6" ht="49.5" customHeight="1" s="435">
      <c r="A6" s="361" t="inlineStr">
        <is>
          <t>LEVEL 2</t>
        </is>
      </c>
      <c r="B6" s="361" t="inlineStr">
        <is>
          <t>Franchisee Score (Track 2)</t>
        </is>
      </c>
      <c r="C6" s="362" t="inlineStr">
        <is>
          <t>7 dimensions · Max 100 points</t>
        </is>
      </c>
      <c r="D6" s="343" t="inlineStr">
        <is>
          <t>Scores brand-corp targets in Stage 2 using same 7 V2 dimensions, reweighted to favor brand-level velocity: Greenfield (30%), Network (15%), PE (10%), DM Access (15%), Urgency (15%), Displacement (5%), C/B Mix (10%). Higher greenfield weight reflects brand-corp dynamics where no-FSM-mandate signals fastest path to pilot.</t>
        </is>
      </c>
    </row>
    <row r="7" ht="49.5" customHeight="1" s="435">
      <c r="A7" s="361" t="inlineStr">
        <is>
          <t>BONUS</t>
        </is>
      </c>
      <c r="B7" s="361" t="inlineStr">
        <is>
          <t>Franchisor → Franchisee Bonus</t>
        </is>
      </c>
      <c r="C7" s="362" t="inlineStr">
        <is>
          <t>+0 / +5 / +15 / +25 points</t>
        </is>
      </c>
      <c r="D7" s="343" t="inlineStr">
        <is>
          <t>The franchisor V2 score adds a bonus to every brand-corp under that parent: 70+ score = +25, 45-69 = +15, 1-44 = +5. Reflects strategic context: a brand-corp inside a P1 #1 parent gets enterprise mandate alignment, while one inside P1 #7 gets relationship-build positioning.</t>
        </is>
      </c>
    </row>
    <row r="8" ht="49.5" customHeight="1" s="435">
      <c r="A8" s="361" t="inlineStr">
        <is>
          <t>COMBINED</t>
        </is>
      </c>
      <c r="B8" s="361" t="inlineStr">
        <is>
          <t>Combined Score (Track 2)</t>
        </is>
      </c>
      <c r="C8" s="362" t="inlineStr">
        <is>
          <t>Max 125 points</t>
        </is>
      </c>
      <c r="D8" s="343" t="inlineStr">
        <is>
          <t>Franchisee score + Franchisor bonus. This is the number you sort by. The highest combined score = your lead pilot candidate. 🔴 88+ = Lead Pilot (approach this week)  ·  🟡 56-87 = Queue  ·  ⚪ Under 56 = Hold</t>
        </is>
      </c>
    </row>
    <row r="10" ht="19.5" customHeight="1" s="435">
      <c r="A10" s="501" t="inlineStr">
        <is>
          <t xml:space="preserve">  SECTION 1  ·  STAGE 1 (FRANCHISOR) SCORING DIMENSIONS  ·  7 V2 dimensions · Max 100 points</t>
        </is>
      </c>
    </row>
    <row r="11" ht="27.75" customHeight="1" s="435">
      <c r="A11" s="97" t="inlineStr">
        <is>
          <t>#</t>
        </is>
      </c>
      <c r="B11" s="97" t="inlineStr">
        <is>
          <t>DIMENSION</t>
        </is>
      </c>
      <c r="C11" s="97" t="inlineStr">
        <is>
          <t>MAX
PTS</t>
        </is>
      </c>
      <c r="D11" s="97" t="inlineStr">
        <is>
          <t>WHY THIS MATTERS</t>
        </is>
      </c>
      <c r="E11" s="97" t="inlineStr">
        <is>
          <t>SCORE 100%</t>
        </is>
      </c>
      <c r="F11" s="97" t="inlineStr">
        <is>
          <t>SCORE 50-70%</t>
        </is>
      </c>
      <c r="G11" s="97" t="inlineStr">
        <is>
          <t>SCORE LOW</t>
        </is>
      </c>
      <c r="H11" s="97" t="inlineStr">
        <is>
          <t>SCORE ZERO</t>
        </is>
      </c>
    </row>
    <row r="12" ht="54.75" customHeight="1" s="435">
      <c r="A12" s="363" t="n">
        <v>1</v>
      </c>
      <c r="B12" s="364" t="inlineStr">
        <is>
          <t>Greenfield</t>
        </is>
      </c>
      <c r="C12" s="365" t="n">
        <v>20</v>
      </c>
      <c r="D12" s="366" t="inlineStr">
        <is>
          <t>The most important dimension. Greenfield = no incumbent FSM to displace, no contract to wait out, no migration friction. Combined with paper-based ops + QuickBooks-only signals = highest-velocity engagement opportunity. V2 reweights this from 25/100 to 20/100 to make room for new dimensions.</t>
        </is>
      </c>
      <c r="E12" s="367" t="inlineStr">
        <is>
          <t>Pure greenfield (20)
No FSM, paper-based ops, QB-only</t>
        </is>
      </c>
      <c r="F12" s="368" t="inlineStr">
        <is>
          <t>Mostly greenfield (12-15)
Light tools, partial coverage</t>
        </is>
      </c>
      <c r="G12" s="369" t="inlineStr">
        <is>
          <t>Mixed (5-10)
Proprietary FSM partial, conflict risk</t>
        </is>
      </c>
      <c r="H12" s="369" t="inlineStr">
        <is>
          <t>ServiceTitan/incumbent mandated (0)</t>
        </is>
      </c>
    </row>
    <row r="13" ht="54.75" customHeight="1" s="435">
      <c r="A13" s="363" t="n">
        <v>2</v>
      </c>
      <c r="B13" s="364" t="inlineStr">
        <is>
          <t>Network</t>
        </is>
      </c>
      <c r="C13" s="365" t="n">
        <v>15</v>
      </c>
      <c r="D13" s="366" t="inlineStr">
        <is>
          <t>Bigger network = bigger mandate opportunity = bigger ARR. Caps at 15 in V2 (was 20 in V1) so size doesn't dominate the score — a smaller network with stronger greenfield can outrank a larger network with displacement risk.</t>
        </is>
      </c>
      <c r="E13" s="367" t="inlineStr">
        <is>
          <t>7,500+ techs (15)</t>
        </is>
      </c>
      <c r="F13" s="368" t="inlineStr">
        <is>
          <t>3,000–7,499 techs (10-12)</t>
        </is>
      </c>
      <c r="G13" s="369" t="inlineStr">
        <is>
          <t>1,000–2,999 techs (6-8)</t>
        </is>
      </c>
      <c r="H13" s="369" t="inlineStr">
        <is>
          <t>Under 1,000 techs (3-5)</t>
        </is>
      </c>
    </row>
    <row r="14" ht="54.75" customHeight="1" s="435">
      <c r="A14" s="363" t="n">
        <v>3</v>
      </c>
      <c r="B14" s="364" t="inlineStr">
        <is>
          <t>PE</t>
        </is>
      </c>
      <c r="C14" s="365" t="n">
        <v>15</v>
      </c>
      <c r="D14" s="366" t="inlineStr">
        <is>
          <t>PE in Year 4-6 of hold needs EBITDA improvement to maximize exit multiple. That urgency is an open door — value creation initiatives align with our pitch. Reweighted from 20 to 15 in V2 to share weight with new dimensions.</t>
        </is>
      </c>
      <c r="E14" s="367" t="inlineStr">
        <is>
          <t>Year 5-6 / exit imminent (15)</t>
        </is>
      </c>
      <c r="F14" s="368" t="inlineStr">
        <is>
          <t>Year 3-4 / approaching (10-12)</t>
        </is>
      </c>
      <c r="G14" s="369" t="inlineStr">
        <is>
          <t>Founder/family / fast decision (6)</t>
        </is>
      </c>
      <c r="H14" s="369" t="inlineStr">
        <is>
          <t>Early hold / family office (3)</t>
        </is>
      </c>
    </row>
    <row r="15" ht="54.75" customHeight="1" s="435">
      <c r="A15" s="363" t="n">
        <v>4</v>
      </c>
      <c r="B15" s="364" t="inlineStr">
        <is>
          <t>DM Access</t>
        </is>
      </c>
      <c r="C15" s="365" t="n">
        <v>15</v>
      </c>
      <c r="D15" s="366" t="inlineStr">
        <is>
          <t>NEW V2 dimension (consolidated from V1 Contact Accessibility + GPS Warm Flag). Can we reach the decision maker directly, via warm path, or only via PE intro? GPSI customer overlap, parent-level relationships, and direct LinkedIn reach all factor in. Higher score = lower friction.</t>
        </is>
      </c>
      <c r="E15" s="367" t="inlineStr">
        <is>
          <t>Direct path + GPSI warm + PE intro available (13-15)</t>
        </is>
      </c>
      <c r="F15" s="368" t="inlineStr">
        <is>
          <t>Direct LinkedIn + warm path (10-12)</t>
        </is>
      </c>
      <c r="G15" s="369" t="inlineStr">
        <is>
          <t>Requires PE intro only (5-8)</t>
        </is>
      </c>
      <c r="H15" s="369" t="inlineStr">
        <is>
          <t>No path identified (0-3)</t>
        </is>
      </c>
    </row>
    <row r="16" ht="54.75" customHeight="1" s="435">
      <c r="A16" s="363" t="n">
        <v>5</v>
      </c>
      <c r="B16" s="364" t="inlineStr">
        <is>
          <t>Urgency</t>
        </is>
      </c>
      <c r="C16" s="365" t="n">
        <v>15</v>
      </c>
      <c r="D16" s="366" t="inlineStr">
        <is>
          <t>NEW V2 dimension. Captures *when* the engagement window opens and *what triggers it*: leadership transitions, FSM contract renewals, exit windows, reassessment periods. Higher urgency = act now, not later.</t>
        </is>
      </c>
      <c r="E16" s="367" t="inlineStr">
        <is>
          <t>Imminent trigger (renewal, leadership transition) (13-15)</t>
        </is>
      </c>
      <c r="F16" s="368" t="inlineStr">
        <is>
          <t>Mid-term window (8-12)</t>
        </is>
      </c>
      <c r="G16" s="369" t="inlineStr">
        <is>
          <t>Long-term reassessment posture (4-7)</t>
        </is>
      </c>
      <c r="H16" s="369" t="inlineStr">
        <is>
          <t>No urgency signal (0-3)</t>
        </is>
      </c>
    </row>
    <row r="17" ht="54.75" customHeight="1" s="435">
      <c r="A17" s="363" t="n">
        <v>6</v>
      </c>
      <c r="B17" s="364" t="inlineStr">
        <is>
          <t>Displacement</t>
        </is>
      </c>
      <c r="C17" s="365" t="n">
        <v>10</v>
      </c>
      <c r="D17" s="366" t="inlineStr">
        <is>
          <t>NEW V2 dimension (replaces V1 GPS Warm Flag). Even if not pure greenfield, can we displace the incumbent? Mixed FSM landscape with no entrenched mandate = wedge entry possible. Lower weight (10) because greenfield is preferable, but real opportunities exist.</t>
        </is>
      </c>
      <c r="E17" s="367" t="inlineStr">
        <is>
          <t>Mixed FSM, no entrenched mandate (8-10)</t>
        </is>
      </c>
      <c r="F17" s="368" t="inlineStr">
        <is>
          <t>Partial competitor mandate (5-7)</t>
        </is>
      </c>
      <c r="G17" s="369" t="inlineStr">
        <is>
          <t>Entrenched competitor (2-4)</t>
        </is>
      </c>
      <c r="H17" s="369" t="inlineStr">
        <is>
          <t>ServiceTitan locked in (0)</t>
        </is>
      </c>
    </row>
    <row r="18" ht="54.75" customHeight="1" s="435">
      <c r="A18" s="363" t="n">
        <v>7</v>
      </c>
      <c r="B18" s="364" t="inlineStr">
        <is>
          <t>C/B Mix</t>
        </is>
      </c>
      <c r="C18" s="365" t="n">
        <v>10</v>
      </c>
      <c r="D18" s="366" t="inlineStr">
        <is>
          <t>NEW V2 dimension (replaces V1 Pilot Fit). Consumer/B2B mix shapes engagement narrative and channel selection. Consumer-led brands favor recurring-billing ROI math. B2B/commercial brands need account-based outreach. Mix indicator helps calibrate the engagement framework per brand.</t>
        </is>
      </c>
      <c r="E18" s="367" t="inlineStr">
        <is>
          <t>Consumer-led, recurring service model (8-10)</t>
        </is>
      </c>
      <c r="F18" s="368" t="inlineStr">
        <is>
          <t>Mixed B2B/consumer (5-7)</t>
        </is>
      </c>
      <c r="G18" s="369" t="inlineStr">
        <is>
          <t>Heavily B2B/commercial (3-5)</t>
        </is>
      </c>
      <c r="H18" s="369" t="inlineStr">
        <is>
          <t>Project-based, low recurring (1-3)</t>
        </is>
      </c>
    </row>
    <row r="20" ht="19.5" customHeight="1" s="435">
      <c r="A20" s="501" t="inlineStr">
        <is>
          <t xml:space="preserve">  SECTION 2  ·  STAGE 2 (BRAND-CORP) SCORING DIMENSIONS  ·  Same 7 V2 dimensions, reweighted for brand-corp velocity</t>
        </is>
      </c>
    </row>
    <row r="21" ht="27.75" customHeight="1" s="435">
      <c r="A21" s="97" t="inlineStr">
        <is>
          <t>#</t>
        </is>
      </c>
      <c r="B21" s="97" t="inlineStr">
        <is>
          <t>DIMENSION</t>
        </is>
      </c>
      <c r="C21" s="97" t="inlineStr">
        <is>
          <t>MAX
PTS</t>
        </is>
      </c>
      <c r="D21" s="97" t="inlineStr">
        <is>
          <t>WHY THIS MATTERS</t>
        </is>
      </c>
      <c r="E21" s="97" t="inlineStr">
        <is>
          <t>SCORE 100%</t>
        </is>
      </c>
      <c r="F21" s="97" t="inlineStr">
        <is>
          <t>SCORE 50-70%</t>
        </is>
      </c>
      <c r="G21" s="97" t="inlineStr">
        <is>
          <t>SCORE LOW</t>
        </is>
      </c>
      <c r="H21" s="97" t="inlineStr">
        <is>
          <t>SCORE ZERO</t>
        </is>
      </c>
    </row>
    <row r="22" ht="60" customHeight="1" s="435">
      <c r="A22" s="363" t="n">
        <v>1</v>
      </c>
      <c r="B22" s="364" t="inlineStr">
        <is>
          <t>Greenfield</t>
        </is>
      </c>
      <c r="C22" s="365" t="n">
        <v>30</v>
      </c>
      <c r="D22" s="366" t="inlineStr">
        <is>
          <t>Same gate as Stage 1 but reweighted higher (30% vs 20%) at brand-corp level. Brand-corp velocity depends on absence of incumbent FSM. Greenfield + paper + QuickBooks-only = fastest pilot path. This is why a small brand-corp can outrank a large one if greenfield is stronger.</t>
        </is>
      </c>
      <c r="E22" s="367" t="inlineStr">
        <is>
          <t>Pure greenfield + paper/QB (30)</t>
        </is>
      </c>
      <c r="F22" s="368" t="inlineStr">
        <is>
          <t>Mostly greenfield, light tools (18-22)</t>
        </is>
      </c>
      <c r="G22" s="369" t="inlineStr">
        <is>
          <t>Mixed FSM partial (8-15)</t>
        </is>
      </c>
      <c r="H22" s="369" t="inlineStr">
        <is>
          <t>Mandated FSM (0)</t>
        </is>
      </c>
    </row>
    <row r="23" ht="60" customHeight="1" s="435">
      <c r="A23" s="363" t="n">
        <v>2</v>
      </c>
      <c r="B23" s="364" t="inlineStr">
        <is>
          <t>Network</t>
        </is>
      </c>
      <c r="C23" s="365" t="n">
        <v>15</v>
      </c>
      <c r="D23" s="366" t="inlineStr">
        <is>
          <t>Brand-corp network size — operators × techs per operator. Smaller weight than franchisor level (15% same) but interpreted differently: a 100-operator brand at $300/tech can outrank a 1,000-operator brand if greenfield is strong.</t>
        </is>
      </c>
      <c r="E23" s="367" t="inlineStr">
        <is>
          <t>500+ operators (15)</t>
        </is>
      </c>
      <c r="F23" s="368" t="inlineStr">
        <is>
          <t>200-499 (10-12)</t>
        </is>
      </c>
      <c r="G23" s="369" t="inlineStr">
        <is>
          <t>50-199 (6-8)</t>
        </is>
      </c>
      <c r="H23" s="369" t="inlineStr">
        <is>
          <t>&lt;50 (3-5)</t>
        </is>
      </c>
    </row>
    <row r="24" ht="60" customHeight="1" s="435">
      <c r="A24" s="363" t="n">
        <v>3</v>
      </c>
      <c r="B24" s="364" t="inlineStr">
        <is>
          <t>PE</t>
        </is>
      </c>
      <c r="C24" s="365" t="n">
        <v>10</v>
      </c>
      <c r="D24" s="366" t="inlineStr">
        <is>
          <t>LOWER WEIGHT at brand-corp (10% vs 15% at franchisor). Brand presidents don't optimize for parent-co exit math — they optimize for brand-level operations. PE inheritance is contextual, not a primary driver. Used as parent-tier modifier.</t>
        </is>
      </c>
      <c r="E24" s="367" t="inlineStr">
        <is>
          <t>P1 parent, active PE exit window (10)</t>
        </is>
      </c>
      <c r="F24" s="368" t="inlineStr">
        <is>
          <t>P1 parent, mid hold (6-8)</t>
        </is>
      </c>
      <c r="G24" s="369" t="inlineStr">
        <is>
          <t>P2/P3 parent (3-5)</t>
        </is>
      </c>
      <c r="H24" s="369" t="inlineStr">
        <is>
          <t>No parent franchisor (0)</t>
        </is>
      </c>
    </row>
    <row r="25" ht="60" customHeight="1" s="435">
      <c r="A25" s="363" t="n">
        <v>4</v>
      </c>
      <c r="B25" s="364" t="inlineStr">
        <is>
          <t>DM Access</t>
        </is>
      </c>
      <c r="C25" s="365" t="n">
        <v>15</v>
      </c>
      <c r="D25" s="366" t="inlineStr">
        <is>
          <t>Same weight as franchisor level. Brand corp leadership access — brand president/COO direct, GPSI customer overlap, warm path through parent. Critical at brand-corp because relationships are more lateral than top-down.</t>
        </is>
      </c>
      <c r="E25" s="367" t="inlineStr">
        <is>
          <t>Brand president direct + GPSI warm (13-15)</t>
        </is>
      </c>
      <c r="F25" s="368" t="inlineStr">
        <is>
          <t>Brand corp accessible, no GPSI (8-12)</t>
        </is>
      </c>
      <c r="G25" s="369" t="inlineStr">
        <is>
          <t>Requires parent-franchisor warm path (4-7)</t>
        </is>
      </c>
      <c r="H25" s="369" t="inlineStr">
        <is>
          <t>No identified contact (0-3)</t>
        </is>
      </c>
    </row>
    <row r="26" ht="60" customHeight="1" s="435">
      <c r="A26" s="363" t="n">
        <v>5</v>
      </c>
      <c r="B26" s="364" t="inlineStr">
        <is>
          <t>Urgency</t>
        </is>
      </c>
      <c r="C26" s="365" t="n">
        <v>15</v>
      </c>
      <c r="D26" s="366" t="inlineStr">
        <is>
          <t>Same weight. Brand-corp triggers: leadership transitions, FSM contract renewals at major franchisees, brand-level competitive pressure, parent-franchisor exit pressure cascading down.</t>
        </is>
      </c>
      <c r="E26" s="367" t="inlineStr">
        <is>
          <t>New brand president + open roadmap (13-15)</t>
        </is>
      </c>
      <c r="F26" s="368" t="inlineStr">
        <is>
          <t>Mid-term reassessment window (8-12)</t>
        </is>
      </c>
      <c r="G26" s="369" t="inlineStr">
        <is>
          <t>Stable leadership, defined roadmap (4-7)</t>
        </is>
      </c>
      <c r="H26" s="369" t="inlineStr">
        <is>
          <t>Locked in, no near-term shift (0-3)</t>
        </is>
      </c>
    </row>
    <row r="27" ht="60" customHeight="1" s="435">
      <c r="A27" s="363" t="n">
        <v>6</v>
      </c>
      <c r="B27" s="364" t="inlineStr">
        <is>
          <t>Displacement</t>
        </is>
      </c>
      <c r="C27" s="365" t="n">
        <v>5</v>
      </c>
      <c r="D27" s="366" t="inlineStr">
        <is>
          <t>LOWER WEIGHT at brand-corp (5% vs 10%). Brand-corps with mandated competitive FSM are rare — most are mixed/franchisee-choice. When they ARE locked in, the conversation happens at parent level (Stage 1), not Stage 2.</t>
        </is>
      </c>
      <c r="E27" s="367" t="inlineStr">
        <is>
          <t>Mixed FSM, wedge possible (4-5)</t>
        </is>
      </c>
      <c r="F27" s="368" t="inlineStr">
        <is>
          <t>Partial mandate (2-3)</t>
        </is>
      </c>
      <c r="G27" s="369" t="inlineStr">
        <is>
          <t>Strong incumbent (1)</t>
        </is>
      </c>
      <c r="H27" s="369" t="inlineStr">
        <is>
          <t>Locked in (0)</t>
        </is>
      </c>
    </row>
    <row r="28" ht="60" customHeight="1" s="435">
      <c r="A28" s="363" t="n">
        <v>7</v>
      </c>
      <c r="B28" s="364" t="inlineStr">
        <is>
          <t>C/B Mix</t>
        </is>
      </c>
      <c r="C28" s="365" t="n">
        <v>10</v>
      </c>
      <c r="D28" s="366" t="inlineStr">
        <is>
          <t>Same weight. Consumer mix favors trade press + reviews; B2B mix favors account-based outreach. Critical for calibrating engagement architecture (5-channel framework) per brand-corp profile.</t>
        </is>
      </c>
      <c r="E28" s="367" t="inlineStr">
        <is>
          <t>Consumer-led recurring (8-10)</t>
        </is>
      </c>
      <c r="F28" s="368" t="inlineStr">
        <is>
          <t>Mixed (5-7)</t>
        </is>
      </c>
      <c r="G28" s="369" t="inlineStr">
        <is>
          <t>Heavily B2B (3-5)</t>
        </is>
      </c>
      <c r="H28" s="369" t="inlineStr">
        <is>
          <t>Project-only (1-3)</t>
        </is>
      </c>
    </row>
    <row r="30" ht="19.5" customHeight="1" s="435">
      <c r="A30" s="501" t="inlineStr">
        <is>
          <t xml:space="preserve">  SECTION 3  ·  FRANCHISOR BONUS  ·  How the franchisor score feeds into franchisee combined score</t>
        </is>
      </c>
    </row>
    <row r="31" ht="21.75" customHeight="1" s="435">
      <c r="A31" s="97" t="inlineStr">
        <is>
          <t>FRANCHISOR SCORE</t>
        </is>
      </c>
      <c r="B31" s="97" t="inlineStr">
        <is>
          <t>PRIORITY TIER</t>
        </is>
      </c>
      <c r="C31" s="97" t="inlineStr">
        <is>
          <t>BONUS ADDED TO FRANCHISEE</t>
        </is>
      </c>
      <c r="D31" s="97" t="inlineStr">
        <is>
          <t>RATIONALE</t>
        </is>
      </c>
    </row>
    <row r="32" ht="39.75" customHeight="1" s="435">
      <c r="A32" s="370" t="inlineStr">
        <is>
          <t>70 – 100</t>
        </is>
      </c>
      <c r="B32" s="370" t="inlineStr">
        <is>
          <t>🔴 MOVE NOW</t>
        </is>
      </c>
      <c r="C32" s="370" t="inlineStr">
        <is>
          <t>+25 points</t>
        </is>
      </c>
      <c r="D32" s="367" t="inlineStr">
        <is>
          <t>Full GTM motion active. Pilot inside this network directly feeds the franchisor close. Maximum urgency.</t>
        </is>
      </c>
    </row>
    <row r="33" ht="39.75" customHeight="1" s="435">
      <c r="A33" s="371" t="inlineStr">
        <is>
          <t>45 – 69</t>
        </is>
      </c>
      <c r="B33" s="371" t="inlineStr">
        <is>
          <t>🟡 ACTIVE PIPELINE</t>
        </is>
      </c>
      <c r="C33" s="371" t="inlineStr">
        <is>
          <t>+15 points</t>
        </is>
      </c>
      <c r="D33" s="368" t="inlineStr">
        <is>
          <t>30-60 day pipeline. Pilot still strategically valuable. Feeds the relationship as it develops.</t>
        </is>
      </c>
    </row>
    <row r="34" ht="39.75" customHeight="1" s="435">
      <c r="A34" s="372" t="inlineStr">
        <is>
          <t>1 – 44</t>
        </is>
      </c>
      <c r="B34" s="372" t="inlineStr">
        <is>
          <t>⚪ RELATIONSHIP BUILD</t>
        </is>
      </c>
      <c r="C34" s="372" t="inlineStr">
        <is>
          <t>+5 points</t>
        </is>
      </c>
      <c r="D34" s="373" t="inlineStr">
        <is>
          <t>Franchisor relationship early-stage. Pilot adds some value but network close is 90+ days out.</t>
        </is>
      </c>
    </row>
    <row r="35" ht="39.75" customHeight="1" s="435">
      <c r="A35" s="374" t="inlineStr">
        <is>
          <t>0 / None</t>
        </is>
      </c>
      <c r="B35" s="374" t="inlineStr">
        <is>
          <t>No franchisor relationship</t>
        </is>
      </c>
      <c r="C35" s="374" t="inlineStr">
        <is>
          <t>+0 points</t>
        </is>
      </c>
      <c r="D35" s="375" t="inlineStr">
        <is>
          <t>No parent relationship active. Franchisee pilot stands alone. Score on franchisee dimensions only.</t>
        </is>
      </c>
    </row>
    <row r="37" ht="19.5" customHeight="1" s="435">
      <c r="A37" s="501" t="inlineStr">
        <is>
          <t xml:space="preserve">  SECTION 4  ·  CURRENT FRANCHISOR SCORES  ·  V2 Ranking Live Results from Track 1 (April 28, 2026)</t>
        </is>
      </c>
    </row>
    <row r="38" ht="21.75" customHeight="1" s="435">
      <c r="A38" s="97" t="inlineStr">
        <is>
          <t>RANK</t>
        </is>
      </c>
      <c r="B38" s="97" t="inlineStr">
        <is>
          <t>FRANCHISOR</t>
        </is>
      </c>
      <c r="C38" s="97" t="inlineStr">
        <is>
          <t>SCORE / 100</t>
        </is>
      </c>
      <c r="D38" s="97" t="inlineStr">
        <is>
          <t>PRIORITY</t>
        </is>
      </c>
      <c r="E38" s="97" t="inlineStr">
        <is>
          <t>FRANCHISEE BONUS</t>
        </is>
      </c>
      <c r="F38" s="97" t="inlineStr">
        <is>
          <t>KEY DRIVER</t>
        </is>
      </c>
    </row>
    <row r="39" ht="34.5" customHeight="1" s="435">
      <c r="A39" s="71" t="n">
        <v>1</v>
      </c>
      <c r="B39" s="376" t="inlineStr">
        <is>
          <t>NEIGHBORLY</t>
        </is>
      </c>
      <c r="C39" s="377" t="n">
        <v>76.5</v>
      </c>
      <c r="D39" s="378" t="inlineStr">
        <is>
          <t>🔴 P1 #1</t>
        </is>
      </c>
      <c r="E39" s="379" t="inlineStr">
        <is>
          <t>+25</t>
        </is>
      </c>
      <c r="F39" s="380" t="inlineStr">
        <is>
          <t>PE-GATED — KKR warm path required. Largest network + highest urgency.</t>
        </is>
      </c>
    </row>
    <row r="40" ht="34.5" customHeight="1" s="435">
      <c r="A40" s="71" t="n">
        <v>2</v>
      </c>
      <c r="B40" s="376" t="inlineStr">
        <is>
          <t>AUTHORITY BRANDS</t>
        </is>
      </c>
      <c r="C40" s="377" t="n">
        <v>68.5</v>
      </c>
      <c r="D40" s="378" t="inlineStr">
        <is>
          <t>🟡 P1 #2</t>
        </is>
      </c>
      <c r="E40" s="379" t="inlineStr">
        <is>
          <t>+15</t>
        </is>
      </c>
      <c r="F40" s="380" t="inlineStr">
        <is>
          <t>DISPLACEMENT-READY. New CEO + CFO. 12 non-ST brands displaceable.</t>
        </is>
      </c>
    </row>
    <row r="41" ht="34.5" customHeight="1" s="435">
      <c r="A41" s="71" t="n">
        <v>3</v>
      </c>
      <c r="B41" s="376" t="inlineStr">
        <is>
          <t>EMPOWER BRANDS</t>
        </is>
      </c>
      <c r="C41" s="377" t="n">
        <v>66.2</v>
      </c>
      <c r="D41" s="378" t="inlineStr">
        <is>
          <t>🟡 P1 #3</t>
        </is>
      </c>
      <c r="E41" s="379" t="inlineStr">
        <is>
          <t>+15</t>
        </is>
      </c>
      <c r="F41" s="380" t="inlineStr">
        <is>
          <t>GREENFIELD-LED. Strongest greenfield (90/100). Commercial mix drag.</t>
        </is>
      </c>
    </row>
    <row r="42" ht="34.5" customHeight="1" s="435">
      <c r="A42" s="71" t="n">
        <v>4</v>
      </c>
      <c r="B42" s="376" t="inlineStr">
        <is>
          <t>RESIBRANDS</t>
        </is>
      </c>
      <c r="C42" s="381" t="n">
        <v>60.2</v>
      </c>
      <c r="D42" s="378" t="inlineStr">
        <is>
          <t>🟢 P1 #4</t>
        </is>
      </c>
      <c r="E42" s="379" t="inlineStr">
        <is>
          <t>+15</t>
        </is>
      </c>
      <c r="F42" s="380" t="inlineStr">
        <is>
          <t>FAST-CYCLE. Founder direct (Kevin Luu). Smallest network but fastest decision.</t>
        </is>
      </c>
    </row>
    <row r="43" ht="34.5" customHeight="1" s="435">
      <c r="A43" s="71" t="n">
        <v>5</v>
      </c>
      <c r="B43" s="376" t="inlineStr">
        <is>
          <t>FIVE STAR FRANCHISING</t>
        </is>
      </c>
      <c r="C43" s="381" t="n">
        <v>59.2</v>
      </c>
      <c r="D43" s="378" t="inlineStr">
        <is>
          <t>🟡 P1 #5</t>
        </is>
      </c>
      <c r="E43" s="379" t="inlineStr">
        <is>
          <t>+15</t>
        </is>
      </c>
      <c r="F43" s="380" t="inlineStr">
        <is>
          <t>WEDGE-BRAND. Mosquito Shield wedge to Five Star CEO Scott Abbott.</t>
        </is>
      </c>
    </row>
    <row r="44" ht="34.5" customHeight="1" s="435">
      <c r="A44" s="71" t="n">
        <v>6</v>
      </c>
      <c r="B44" s="376" t="inlineStr">
        <is>
          <t>PREMIUM SERVICE BRANDS</t>
        </is>
      </c>
      <c r="C44" s="381" t="n">
        <v>59</v>
      </c>
      <c r="D44" s="378" t="inlineStr">
        <is>
          <t>🟡 P1 #6</t>
        </is>
      </c>
      <c r="E44" s="379" t="inlineStr">
        <is>
          <t>+15</t>
        </is>
      </c>
      <c r="F44" s="380" t="inlineStr">
        <is>
          <t>GREENFIELD-OPEN. RooterMan dominates. Susquehanna PE less active.</t>
        </is>
      </c>
    </row>
    <row r="45" ht="34.5" customHeight="1" s="435">
      <c r="A45" s="71" t="n">
        <v>7</v>
      </c>
      <c r="B45" s="376" t="inlineStr">
        <is>
          <t>HOMEFRONT BRANDS</t>
        </is>
      </c>
      <c r="C45" s="381" t="n">
        <v>44</v>
      </c>
      <c r="D45" s="378" t="inlineStr">
        <is>
          <t>⚪ P1 #7</t>
        </is>
      </c>
      <c r="E45" s="379" t="inlineStr">
        <is>
          <t>+5</t>
        </is>
      </c>
      <c r="F45" s="380" t="inlineStr">
        <is>
          <t>MONITOR-MODE. Family office, no exit pressure. Q3/Q4 2026 reassessment.</t>
        </is>
      </c>
    </row>
    <row r="46" ht="34.5" customHeight="1" s="435">
      <c r="A46" s="71" t="inlineStr">
        <is>
          <t>P2-1</t>
        </is>
      </c>
      <c r="B46" s="376" t="inlineStr">
        <is>
          <t>BELFOR FRANCHISE GROUP</t>
        </is>
      </c>
      <c r="C46" s="381" t="inlineStr">
        <is>
          <t>P2 SET</t>
        </is>
      </c>
      <c r="D46" s="378" t="inlineStr">
        <is>
          <t>🟡 EXISTING</t>
        </is>
      </c>
      <c r="E46" s="379" t="inlineStr">
        <is>
          <t>+25</t>
        </is>
      </c>
      <c r="F46" s="380" t="inlineStr">
        <is>
          <t>DE-FACTO ANCHOR — HOODZ + DUCTZ at 94% SB. Convert before exit window.</t>
        </is>
      </c>
    </row>
    <row r="47" ht="34.5" customHeight="1" s="435">
      <c r="A47" s="71" t="inlineStr">
        <is>
          <t>P2-2</t>
        </is>
      </c>
      <c r="B47" s="376" t="inlineStr">
        <is>
          <t>EVIVE BRANDS</t>
        </is>
      </c>
      <c r="C47" s="382" t="inlineStr">
        <is>
          <t>P2 SET</t>
        </is>
      </c>
      <c r="D47" s="378" t="inlineStr">
        <is>
          <t>🟢 EXISTING</t>
        </is>
      </c>
      <c r="E47" s="379" t="inlineStr">
        <is>
          <t>+25</t>
        </is>
      </c>
      <c r="F47" s="380" t="inlineStr">
        <is>
          <t>GROWING ANCHOR — Brothers Gutters 43% under contract. Riverside, Year 3.</t>
        </is>
      </c>
    </row>
    <row r="48">
      <c r="A48" t="inlineStr">
        <is>
          <t>P2-3</t>
        </is>
      </c>
      <c r="B48" t="inlineStr">
        <is>
          <t>THRESHOLD BRANDS</t>
        </is>
      </c>
      <c r="C48" t="inlineStr">
        <is>
          <t>P2 SET</t>
        </is>
      </c>
      <c r="D48" t="inlineStr">
        <is>
          <t>🔴 AT-RISK</t>
        </is>
      </c>
      <c r="E48" t="inlineStr">
        <is>
          <t>+15</t>
        </is>
      </c>
      <c r="F48" t="inlineStr">
        <is>
          <t>AT-RISK ANCHOR — USA Insulation transitioning OFF SB. Defensive posture.</t>
        </is>
      </c>
    </row>
  </sheetData>
  <mergeCells count="7">
    <mergeCell ref="A3:H3"/>
    <mergeCell ref="A30:H30"/>
    <mergeCell ref="A20:H20"/>
    <mergeCell ref="A2:H2"/>
    <mergeCell ref="A10:H10"/>
    <mergeCell ref="A1:H1"/>
    <mergeCell ref="A37:H3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N16"/>
  <sheetViews>
    <sheetView zoomScaleNormal="100" workbookViewId="0">
      <pane ySplit="2" topLeftCell="A3" activePane="bottomLeft" state="frozen"/>
      <selection pane="bottomLeft" activeCell="A1" sqref="A1"/>
    </sheetView>
  </sheetViews>
  <sheetFormatPr baseColWidth="10" defaultColWidth="8.6640625" defaultRowHeight="15"/>
  <cols>
    <col width="14" customWidth="1" style="435" min="1" max="1"/>
    <col width="12" customWidth="1" style="435" min="2" max="2"/>
    <col width="14" customWidth="1" style="435" min="3" max="3"/>
    <col width="28" customWidth="1" style="435" min="4" max="5"/>
    <col width="22" customWidth="1" style="435" min="6" max="7"/>
    <col width="14" customWidth="1" style="435" min="8" max="8"/>
    <col width="18" customWidth="1" style="435" min="9" max="9"/>
    <col width="22" customWidth="1" style="435" min="10" max="10"/>
    <col width="24" customWidth="1" style="435" min="11" max="11"/>
    <col width="12" customWidth="1" style="435" min="12" max="12"/>
    <col width="18" customWidth="1" style="435" min="13" max="13"/>
    <col width="10" customWidth="1" style="435" min="14" max="14"/>
  </cols>
  <sheetData>
    <row r="1" ht="27.75" customHeight="1" s="435">
      <c r="A1" s="508" t="inlineStr">
        <is>
          <t>🔍 COMPETITION INTELLIGENCE — FSM &amp; Telematics Landscape</t>
        </is>
      </c>
    </row>
    <row r="2" ht="31.5" customHeight="1" s="435">
      <c r="A2" s="383" t="inlineStr">
        <is>
          <t>COMPETITOR</t>
        </is>
      </c>
      <c r="B2" s="383" t="inlineStr">
        <is>
          <t>CATEGORY</t>
        </is>
      </c>
      <c r="C2" s="383" t="inlineStr">
        <is>
          <t>TARGET
SEGMENT</t>
        </is>
      </c>
      <c r="D2" s="383" t="inlineStr">
        <is>
          <t>PRIMARY
MESSAGING</t>
        </is>
      </c>
      <c r="E2" s="383" t="inlineStr">
        <is>
          <t>KEY CLAIMS
(VERBATIM / NEAR)</t>
        </is>
      </c>
      <c r="F2" s="383" t="inlineStr">
        <is>
          <t>FRANCHISE
STRATEGY</t>
        </is>
      </c>
      <c r="G2" s="383" t="inlineStr">
        <is>
          <t>KNOWN ACCOUNTS
(MANDATED)</t>
        </is>
      </c>
      <c r="H2" s="383" t="inlineStr">
        <is>
          <t>PRICING
SIGNAL</t>
        </is>
      </c>
      <c r="I2" s="383" t="inlineStr">
        <is>
          <t>MARKETING
CHANNELS</t>
        </is>
      </c>
      <c r="J2" s="383" t="inlineStr">
        <is>
          <t>WEAKNESS /
VULNERABILITY</t>
        </is>
      </c>
      <c r="K2" s="383" t="inlineStr">
        <is>
          <t>SERVICEBRIDGE
COUNTER</t>
        </is>
      </c>
      <c r="L2" s="383" t="inlineStr">
        <is>
          <t>LAST
UPDATED</t>
        </is>
      </c>
      <c r="M2" s="383" t="inlineStr">
        <is>
          <t>SOURCE</t>
        </is>
      </c>
      <c r="N2" s="383" t="inlineStr">
        <is>
          <t>WATCH
PRIORITY</t>
        </is>
      </c>
    </row>
    <row r="3" ht="90" customHeight="1" s="435">
      <c r="A3" s="384" t="inlineStr">
        <is>
          <t>ServiceTitan</t>
        </is>
      </c>
      <c r="B3" s="385" t="inlineStr">
        <is>
          <t>FSM — Enterprise</t>
        </is>
      </c>
      <c r="C3" s="385" t="inlineStr">
        <is>
          <t>Mid-market to enterprise trades. HVAC, plumbing, electrical. Franchise networks (100+ units)</t>
        </is>
      </c>
      <c r="D3" s="386" t="inlineStr">
        <is>
          <t>"The operating system for the trades." Position as infrastructure you cannot run without — not a software tool but a business platform. Empowerment, professionalism, profitability.</t>
        </is>
      </c>
      <c r="E3" s="386" t="inlineStr">
        <is>
          <t>"21% average revenue increase in first two years." "15-25% revenue lift." "24% growth in revenue reported by users ending July 2024." "95%+ gross retention rate." "110%+ net revenue retention."</t>
        </is>
      </c>
      <c r="F3" s="385" t="inlineStr">
        <is>
          <t>Active top-down mandate play. Authority Brands (Sep 2024) — Benjamin Franklin Plumbing, Mister Sparky, One Hour H&amp;A. Neighborly group contract. Lennox preferred/exclusive FSM partner. Direct PE relationship outreach. Pantheon user conference 3,700+ attendees. ABM strategy targeting franchisors.</t>
        </is>
      </c>
      <c r="G3" s="385" t="inlineStr">
        <is>
          <t>Mr. Rooter, Mr. Electric, Mosquito Joe, Precision Door (Neighborly mandate). Benjamin Franklin Plumbing, Mister Sparky, One Hour H&amp;A (Authority Brands mandate Sep 2024). Lennox preferred partner.</t>
        </is>
      </c>
      <c r="H3" s="385" t="inlineStr">
        <is>
          <t>Enterprise pricing. Contracts can exceed $100K/year. Three tiers: Core, Pro, FinTech. Per-technician pricing. Not publicly listed.</t>
        </is>
      </c>
      <c r="I3" s="385" t="inlineStr">
        <is>
          <t>LinkedIn (101K followers) — thought leadership + case studies. Google SEO (200+ content pieces/month). Pantheon annual conference. Toolbox Live events (8 regional in 2024). Partner co-selling (Ferguson Enterprises, Scorpion, QuickBooks). ABM outreach to franchise execs.</t>
        </is>
      </c>
      <c r="J3" s="387" t="inlineStr">
        <is>
          <t>Complex, expensive, long implementation. Overkill for 2-10 tech operators. Requires dedicated admin. Franchisee complaints about cost. No native telematics/GPS integration. Sold top-down — franchisees often resent mandate.</t>
        </is>
      </c>
      <c r="K3" s="386" t="inlineStr">
        <is>
          <t>GPS Insight + ServiceBridge = native telematics + FSM in one ecosystem — ST cannot match this. Week-1 ROI vs ST's long onboarding. Franchise-native pricing vs ST enterprise contract. Charles Layne relationship = inside track ST doesn't have. FDD-loaded Insight Engine vs ST generic demo.</t>
        </is>
      </c>
      <c r="L3" s="385" t="inlineStr">
        <is>
          <t>April 2026</t>
        </is>
      </c>
      <c r="M3" s="385" t="inlineStr">
        <is>
          <t>servicetitan.com/press + LinkedIn company page + portersfiveforce.com analysis</t>
        </is>
      </c>
      <c r="N3" s="388" t="inlineStr">
        <is>
          <t>🔴 #1 THREAT</t>
        </is>
      </c>
    </row>
    <row r="4" ht="90" customHeight="1" s="435">
      <c r="A4" s="389" t="inlineStr">
        <is>
          <t>FieldRoutes
(ServiceTitan family)</t>
        </is>
      </c>
      <c r="B4" s="390" t="inlineStr">
        <is>
          <t>FSM — Route-Based</t>
        </is>
      </c>
      <c r="C4" s="390" t="inlineStr">
        <is>
          <t>Pest control, lawn care, pool service. Route-based recurring service models. Small to mid-market.</t>
        </is>
      </c>
      <c r="D4" s="391" t="inlineStr">
        <is>
          <t>Purpose-built for route-based service businesses. Recurring revenue optimization. Customer retention tools. Part of ServiceTitan family since acquisition.</t>
        </is>
      </c>
      <c r="E4" s="391" t="inlineStr">
        <is>
          <t>Purpose-built for pest, lawn, pool. Recurring revenue platform. Route optimization. Customer portal and online booking.</t>
        </is>
      </c>
      <c r="F4" s="390" t="inlineStr">
        <is>
          <t>Bundled with ServiceTitan franchise push. Mosquito Shield (likely in use per FDD — multiple approved software). Route-based franchise networks. Less aggressive direct franchise outreach than ST.</t>
        </is>
      </c>
      <c r="G4" s="390" t="inlineStr">
        <is>
          <t>Mosquito Shield (likely — FDD notes multiple software approved). Various pest control franchise operators. Pool service networks.</t>
        </is>
      </c>
      <c r="H4" s="390" t="inlineStr">
        <is>
          <t>Mid-market pricing. Lower than full ST. Specific pricing not public. Per-technician or route-based.</t>
        </is>
      </c>
      <c r="I4" s="390" t="inlineStr">
        <is>
          <t>FieldRoutes.com content marketing. ServiceTitan ecosystem events. Trade publications (pest control, lawn). Limited LinkedIn presence vs ST parent.</t>
        </is>
      </c>
      <c r="J4" s="392" t="inlineStr">
        <is>
          <t>Limited to route-based trades — no emergency dispatch strength. No telematics integration. Less franchise infrastructure than ST. Being absorbed into ST brand may cause identity confusion.</t>
        </is>
      </c>
      <c r="K4" s="391" t="inlineStr">
        <is>
          <t>ServiceBridge covers both route AND emergency dispatch — FieldRoutes only does route. GPS Insight fleet integration is native. Better for multi-trade franchise networks (BELFOR brands need both restoration dispatch AND route pest).</t>
        </is>
      </c>
      <c r="L4" s="390" t="inlineStr">
        <is>
          <t>April 2026</t>
        </is>
      </c>
      <c r="M4" s="390" t="inlineStr">
        <is>
          <t>fieldroutes.com + ServiceTitan press releases + FDD analysis</t>
        </is>
      </c>
      <c r="N4" s="393" t="inlineStr">
        <is>
          <t>🟡 WATCH</t>
        </is>
      </c>
    </row>
    <row r="5" ht="90" customHeight="1" s="435">
      <c r="A5" s="394" t="inlineStr">
        <is>
          <t>Jobber</t>
        </is>
      </c>
      <c r="B5" s="395" t="inlineStr">
        <is>
          <t>FSM — SMB</t>
        </is>
      </c>
      <c r="C5" s="395" t="inlineStr">
        <is>
          <t>Small businesses 1-20 techs. Solo operators to small crews. Landscaping, cleaning, HVAC, plumbing. Price-sensitive market.</t>
        </is>
      </c>
      <c r="D5" s="396" t="inlineStr">
        <is>
          <t>"Run stronger businesses, not just busier ones." Simple, affordable, mobile-first. Designed for the operator doing everything themselves. "29 million+ jobs completed."</t>
        </is>
      </c>
      <c r="E5" s="396" t="inlineStr">
        <is>
          <t>"I went from 20 customers to 60." "We've grown from $500K to nearly $3M per year — I would attribute a lot of that success to Jobber." "Saved at least 10 hours a week just doing payments." AI-powered Copilot coming.</t>
        </is>
      </c>
      <c r="F5" s="395" t="inlineStr">
        <is>
          <t>Limited franchise infrastructure. Has franchise reporting but described as lacking (90-day data limit). Not actively pursuing large franchise networks. Plus plan ($599/mo) positioned for franchises but weak vs ST.</t>
        </is>
      </c>
      <c r="G5" s="395" t="inlineStr">
        <is>
          <t>Independent operators. Some small franchise locations as individual accounts — not network-level mandates.</t>
        </is>
      </c>
      <c r="H5" s="395" t="inlineStr">
        <is>
          <t>Core $39/mo → Plus $599/mo. Per-user add-on $29/user. Annual discount up to 40%. Transparent public pricing. Most affordable FSM in the market.</t>
        </is>
      </c>
      <c r="I5" s="395" t="inlineStr">
        <is>
          <t>Google SEO. Social media (Instagram, Facebook targeting home service owners). $150K grant program (community/PR play). Jobber Blueprint educational content. Word-of-mouth/referral heavy.</t>
        </is>
      </c>
      <c r="J5" s="397" t="inlineStr">
        <is>
          <t>Not built for franchise networks. No franchisor dashboard. No PE exit math. No telematics. Per-user pricing gets expensive at scale. No insurance carrier documentation angle. AI features "coming soon" as of 2025.</t>
        </is>
      </c>
      <c r="K5" s="396" t="inlineStr">
        <is>
          <t>ServiceBridge is purpose-built for franchise networks — multi-unit owner dashboard, franchisor reporting, mandate deployment. Jobber is solo-operator software. GPS Insight integration adds fleet layer Jobber cannot match.</t>
        </is>
      </c>
      <c r="L5" s="395" t="inlineStr">
        <is>
          <t>April 2026</t>
        </is>
      </c>
      <c r="M5" s="395" t="inlineStr">
        <is>
          <t>getjobber.com + connecteam.com review + tekpon pricing analysis</t>
        </is>
      </c>
      <c r="N5" s="398" t="inlineStr">
        <is>
          <t>🟢 LOW — different segment</t>
        </is>
      </c>
    </row>
    <row r="6" ht="90" customHeight="1" s="435">
      <c r="A6" s="394" t="inlineStr">
        <is>
          <t>Housecall Pro</t>
        </is>
      </c>
      <c r="B6" s="395" t="inlineStr">
        <is>
          <t>FSM — SMB/Mid</t>
        </is>
      </c>
      <c r="C6" s="395" t="inlineStr">
        <is>
          <t>Small-mid service businesses. HVAC, plumbing, cleaning. Growth-stage operators. Similar segment to Jobber but slightly larger.</t>
        </is>
      </c>
      <c r="D6" s="396" t="inlineStr">
        <is>
          <t>"The all-in-one platform for home service pros." Ease of use, fast setup, consumer financing (HCP Finance). Growth tools built in.</t>
        </is>
      </c>
      <c r="E6" s="396" t="inlineStr">
        <is>
          <t>Online booking, 2-way texting, automated follow-ups. Payment processing native. Consumer financing (HCP Finance). Strong mobile app.</t>
        </is>
      </c>
      <c r="F6" s="395" t="inlineStr">
        <is>
          <t>Limited. Some franchise support but not a primary market. Does not actively pursue franchisor mandates at PE level.</t>
        </is>
      </c>
      <c r="G6" s="395" t="inlineStr">
        <is>
          <t>Independent operators. Some regional franchise locations as individual accounts.</t>
        </is>
      </c>
      <c r="H6" s="395" t="inlineStr">
        <is>
          <t>Basic $49/mo → Max pricing on request. Transparent tiered pricing. Mid-range.</t>
        </is>
      </c>
      <c r="I6" s="395" t="inlineStr">
        <is>
          <t>Google + social media. Strong review presence (G2, Capterra). Content marketing for home service operators. Similar channels to Jobber.</t>
        </is>
      </c>
      <c r="J6" s="397" t="inlineStr">
        <is>
          <t>No franchise network infrastructure. No telematics. No PE exit math. No franchisor dashboard. Limited enterprise capability.</t>
        </is>
      </c>
      <c r="K6" s="396" t="inlineStr">
        <is>
          <t>Same as Jobber — ServiceBridge is franchise-native, GPS-integrated, and built for multi-unit deployment. Housecall Pro is individual operator software.</t>
        </is>
      </c>
      <c r="L6" s="395" t="inlineStr">
        <is>
          <t>April 2026</t>
        </is>
      </c>
      <c r="M6" s="395" t="inlineStr">
        <is>
          <t>housecallpro.com + G2 reviews + competitor comparison sites</t>
        </is>
      </c>
      <c r="N6" s="398" t="inlineStr">
        <is>
          <t>🟢 LOW — different segment</t>
        </is>
      </c>
    </row>
    <row r="7" ht="90" customHeight="1" s="435">
      <c r="A7" s="394" t="inlineStr">
        <is>
          <t>Salesforce Field Service</t>
        </is>
      </c>
      <c r="B7" s="395" t="inlineStr">
        <is>
          <t>FSM — Enterprise</t>
        </is>
      </c>
      <c r="C7" s="395" t="inlineStr">
        <is>
          <t>Large enterprises. Multi-industry. Not home services specific. Requires Salesforce CRM foundation.</t>
        </is>
      </c>
      <c r="D7" s="396" t="inlineStr">
        <is>
          <t>#1 FSM on G2. AI-powered scheduling. Enterprise scale. Einstein AI built in. Full Salesforce ecosystem integration.</t>
        </is>
      </c>
      <c r="E7" s="396" t="inlineStr">
        <is>
          <t>AI-powered field service. Route optimization. Offline-first mobile. Best for enterprise requiring full CRM + FSM + ERP integration.</t>
        </is>
      </c>
      <c r="F7" s="395" t="inlineStr">
        <is>
          <t>Not actively targeting home service franchise networks. Too expensive and complex for typical franchise operator. May appear at large PE-owned service conglomerates.</t>
        </is>
      </c>
      <c r="G7" s="395" t="inlineStr">
        <is>
          <t>Large enterprise accounts. Not typically in home service franchise space.</t>
        </is>
      </c>
      <c r="H7" s="395" t="inlineStr">
        <is>
          <t>Enterprise — starts ~$150/user/month and up significantly. Full Salesforce licensing required.</t>
        </is>
      </c>
      <c r="I7" s="395" t="inlineStr">
        <is>
          <t>Salesforce ecosystem events (Dreamforce). Enterprise sales team. Digital marketing to enterprise IT buyers.</t>
        </is>
      </c>
      <c r="J7" s="397" t="inlineStr">
        <is>
          <t>Requires Salesforce CRM license — massive additional cost. Not home-service specific. Complex implementation. Overkill for franchise operators. No GPS telematics native.</t>
        </is>
      </c>
      <c r="K7" s="396" t="inlineStr">
        <is>
          <t>ServiceBridge purpose-built for franchise home service — no CRM license required, no 6-month implementation, GPS Insight native integration.</t>
        </is>
      </c>
      <c r="L7" s="395" t="inlineStr">
        <is>
          <t>April 2026</t>
        </is>
      </c>
      <c r="M7" s="395" t="inlineStr">
        <is>
          <t>salesforce.com/service/field-service + G2 analysis</t>
        </is>
      </c>
      <c r="N7" s="398" t="inlineStr">
        <is>
          <t>🟢 LOW — different segment</t>
        </is>
      </c>
    </row>
    <row r="8" ht="19.5" customHeight="1" s="435"/>
    <row r="9" ht="21.75" customHeight="1" s="435">
      <c r="A9" s="507" t="inlineStr">
        <is>
          <t>📡 HOW TO MONITOR COMPETITOR MESSAGING — Live Sources</t>
        </is>
      </c>
    </row>
    <row r="10" ht="30" customHeight="1" s="435">
      <c r="A10" s="506" t="inlineStr">
        <is>
          <t>Meta Ad Library</t>
        </is>
      </c>
      <c r="D10" s="509" t="inlineStr">
        <is>
          <t>facebook.com/ads/library — Free. Search any competitor name to see every active Facebook/Instagram ad. Shows copy, creative, targeting signals. Updated in real time.</t>
        </is>
      </c>
    </row>
    <row r="11" ht="30" customHeight="1" s="435">
      <c r="A11" s="506" t="inlineStr">
        <is>
          <t>LinkedIn Ad Library</t>
        </is>
      </c>
      <c r="D11" s="509" t="inlineStr">
        <is>
          <t>Go to competitor LinkedIn page → Posts → Ads tab. Shows all active sponsored content. Best for B2B franchise exec targeting.</t>
        </is>
      </c>
    </row>
    <row r="12" ht="30" customHeight="1" s="435">
      <c r="A12" s="506" t="inlineStr">
        <is>
          <t>Google Ads Transparency</t>
        </is>
      </c>
      <c r="D12" s="509" t="inlineStr">
        <is>
          <t>adstransparency.google.com — See all active Google ads for any advertiser. Shows search and display copy.</t>
        </is>
      </c>
    </row>
    <row r="13" ht="30" customHeight="1" s="435">
      <c r="A13" s="506" t="inlineStr">
        <is>
          <t>SpyFu</t>
        </is>
      </c>
      <c r="D13" s="509" t="inlineStr">
        <is>
          <t>spyfu.com — Shows competitor Google Ads history, keyword spend, top ad copy. Paid but affordable ($39/mo). Best for seeing what's working over time.</t>
        </is>
      </c>
    </row>
    <row r="14" ht="30" customHeight="1" s="435">
      <c r="A14" s="506" t="inlineStr">
        <is>
          <t>Subscribe to their funnel</t>
        </is>
      </c>
      <c r="D14" s="509" t="inlineStr">
        <is>
          <t>Download their whitepapers. Sign up with a secondary email. Attend their webinars. Their full nurture sequence becomes visible in 2-3 weeks.</t>
        </is>
      </c>
    </row>
    <row r="15" ht="30" customHeight="1" s="435">
      <c r="A15" s="506" t="inlineStr">
        <is>
          <t>G2 / Capterra reviews</t>
        </is>
      </c>
      <c r="D15" s="509" t="inlineStr">
        <is>
          <t>Read negative reviews on G2 and Capterra for each competitor. This tells you exactly what their customers complain about — those are your talking points.</t>
        </is>
      </c>
    </row>
    <row r="16" ht="30" customHeight="1" s="435">
      <c r="A16" s="506" t="inlineStr">
        <is>
          <t>LinkedIn company page</t>
        </is>
      </c>
      <c r="D16" s="509" t="inlineStr">
        <is>
          <t>Follow ServiceTitan, Jobber, Housecall Pro, FieldRoutes. Watch their organic posts for messaging shifts, new product announcements, partnership news.</t>
        </is>
      </c>
    </row>
  </sheetData>
  <mergeCells count="16">
    <mergeCell ref="A10:C10"/>
    <mergeCell ref="A9:N9"/>
    <mergeCell ref="A1:N1"/>
    <mergeCell ref="D12:N12"/>
    <mergeCell ref="A13:C13"/>
    <mergeCell ref="A11:C11"/>
    <mergeCell ref="D16:N16"/>
    <mergeCell ref="A14:C14"/>
    <mergeCell ref="D15:N15"/>
    <mergeCell ref="D11:N11"/>
    <mergeCell ref="D10:N10"/>
    <mergeCell ref="D14:N14"/>
    <mergeCell ref="A12:C12"/>
    <mergeCell ref="D13:N13"/>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P107"/>
  <sheetViews>
    <sheetView tabSelected="1" zoomScaleNormal="100" workbookViewId="0">
      <pane ySplit="2" topLeftCell="A3" activePane="bottomLeft" state="frozen"/>
      <selection pane="bottomLeft" activeCell="A1" sqref="A1:P1"/>
    </sheetView>
  </sheetViews>
  <sheetFormatPr baseColWidth="10" defaultColWidth="8.6640625" defaultRowHeight="15"/>
  <cols>
    <col width="28" customWidth="1" style="435" min="1" max="1"/>
    <col width="20" customWidth="1" style="435" min="2" max="2"/>
    <col width="14" customWidth="1" style="435" min="3" max="3"/>
    <col width="18" customWidth="1" style="435" min="4" max="4"/>
    <col width="55" customWidth="1" style="435" min="5" max="5"/>
    <col width="22" customWidth="1" style="435" min="6" max="6"/>
    <col width="14" customWidth="1" style="435" min="7" max="8"/>
    <col width="12" customWidth="1" style="435" min="9" max="9"/>
  </cols>
  <sheetData>
    <row r="1" ht="27.75" customHeight="1" s="435">
      <c r="A1" s="441" t="inlineStr">
        <is>
          <t>📣 MARKETING, ADVERTISING, EVENTS &amp; OFFERS — ServiceBridge GTM Program</t>
        </is>
      </c>
    </row>
    <row r="3" ht="24" customHeight="1" s="435">
      <c r="A3" s="446" t="inlineStr">
        <is>
          <t>🍽️  SECTION 1 — THE PILOT OFFER: "Lunch &amp; Launch"</t>
        </is>
      </c>
    </row>
    <row r="4" ht="39.75" customHeight="1" s="435">
      <c r="A4" s="442" t="inlineStr">
        <is>
          <t>Offer Name</t>
        </is>
      </c>
      <c r="B4" s="436" t="inlineStr">
        <is>
          <t>The Lunch &amp; Launch — ServiceBridge 30-Day Pilot</t>
        </is>
      </c>
    </row>
    <row r="5" ht="39.75" customHeight="1" s="435">
      <c r="A5" s="442" t="inlineStr">
        <is>
          <t>Tagline</t>
        </is>
      </c>
      <c r="B5" s="436" t="inlineStr">
        <is>
          <t>"We buy lunch. You get live. Let the numbers do the talking."</t>
        </is>
      </c>
    </row>
    <row r="6" ht="39.75" customHeight="1" s="435">
      <c r="A6" s="442" t="inlineStr">
        <is>
          <t>What We Send</t>
        </is>
      </c>
      <c r="B6" s="436" t="inlineStr">
        <is>
          <t>$50 DoorDash/Uber Eats gift card + personal invite from GPS Insight account rep or Charles Layne</t>
        </is>
      </c>
    </row>
    <row r="7" ht="48" customHeight="1" s="435">
      <c r="A7" s="442" t="inlineStr">
        <is>
          <t>What We Schedule</t>
        </is>
      </c>
      <c r="B7" s="436" t="inlineStr">
        <is>
          <t>45-minute virtual 'Lunch &amp; Install' session with a ServiceBridge tech. Franchisee gets full platform live during the call.</t>
        </is>
      </c>
    </row>
    <row r="8" ht="39.75" customHeight="1" s="435">
      <c r="A8" s="442" t="inlineStr">
        <is>
          <t>Trial Terms</t>
        </is>
      </c>
      <c r="B8" s="436" t="inlineStr">
        <is>
          <t>30 days full access. No credit card. No contract. No obligation. We set it up — they just show up.</t>
        </is>
      </c>
    </row>
    <row r="9" ht="39.75" customHeight="1" s="435">
      <c r="A9" s="442" t="inlineStr">
        <is>
          <t>Target Volume</t>
        </is>
      </c>
      <c r="B9" s="436" t="inlineStr">
        <is>
          <t>20 franchisees per cohort. Run 2-3 cohorts across different parent networks before going back to franchisor.</t>
        </is>
      </c>
    </row>
    <row r="10" ht="90" customHeight="1" s="435">
      <c r="A10" s="442" t="inlineStr">
        <is>
          <t>Target Networks
(Priority Order)</t>
        </is>
      </c>
      <c r="B10" s="436" t="inlineStr">
        <is>
          <t>1. BELFOR franchisees — GPS Insight warm intro via account rep. Greenfield + insurance angle.
2. Five Star Franchising — Princeton PE exit window open. Bio-One, 1-800-Packouts, Five Star Bath Solutions.
3. PSB (Premium Service Brands) — Roxanne Conrad intro path. 360 Painting, ProLift, House Doctors.</t>
        </is>
      </c>
    </row>
    <row r="11" ht="61.5" customHeight="1" s="435">
      <c r="A11" s="442" t="inlineStr">
        <is>
          <t>Source of 20</t>
        </is>
      </c>
      <c r="B11" s="436" t="inlineStr">
        <is>
          <t>Andrea Rowan → GPS Insight telematics customer list → identify BELFOR franchisees already on GPS Insight → account rep makes warm intro. This is the unlock. Without the list we are cold calling.</t>
        </is>
      </c>
    </row>
    <row r="12" ht="61.5" customHeight="1" s="435">
      <c r="A12" s="442" t="inlineStr">
        <is>
          <t>What 'Install' Means</t>
        </is>
      </c>
      <c r="B12" s="436" t="inlineStr">
        <is>
          <t>ServiceBridge tech shares screen. Enters franchisee's real business info (name, address, 3-5 services). Creates sample jobs, shows dispatch board, runs a payment. Franchisee leaves with a live account, not a demo.</t>
        </is>
      </c>
    </row>
    <row r="13" ht="75.75" customHeight="1" s="435">
      <c r="A13" s="442" t="inlineStr">
        <is>
          <t>Ask at Day 30</t>
        </is>
      </c>
      <c r="B13" s="436" t="inlineStr">
        <is>
          <t>1. One testimonial quote (written or on video, 60 sec)
2. Permission to share usage data with their franchisor
3. NPS score (1-10 would you recommend to another franchisee in your network)
4. Referral to one other franchisee in their network</t>
        </is>
      </c>
    </row>
    <row r="14" ht="61.5" customHeight="1" s="435">
      <c r="A14" s="442" t="inlineStr">
        <is>
          <t>Franchisor Close</t>
        </is>
      </c>
      <c r="B14" s="436" t="inlineStr">
        <is>
          <t>After 20 pilots: deliver 'Cohort Report' to franchisor exec showing: # active users, avg jobs dispatched, avg payment collected, NPS score, 3 verbatim quotes. Frame as: 'Your operators have already voted.'</t>
        </is>
      </c>
    </row>
    <row r="15" ht="39.75" customHeight="1" s="435">
      <c r="A15" s="442" t="inlineStr">
        <is>
          <t>Gift Card Budget</t>
        </is>
      </c>
      <c r="B15" s="436" t="inlineStr">
        <is>
          <t>20 franchisees × $50 = $1,000 per cohort. Three cohorts = $3,000 total pilot investment.</t>
        </is>
      </c>
    </row>
    <row r="16" ht="39.75" customHeight="1" s="435">
      <c r="A16" s="442" t="inlineStr">
        <is>
          <t>Launch Date</t>
        </is>
      </c>
      <c r="B16" s="436" t="inlineStr">
        <is>
          <t>May 1, 2026 — aligns with outreach start date. First cohort closes June 1. Franchisor close meetings June-July.</t>
        </is>
      </c>
    </row>
    <row r="18" ht="24" customHeight="1" s="435">
      <c r="A18" s="444" t="inlineStr">
        <is>
          <t>📬  SECTION 2 — PILOT OUTREACH SEQUENCE (Per Franchisee)</t>
        </is>
      </c>
    </row>
    <row r="19" ht="18" customHeight="1" s="435">
      <c r="A19" s="401" t="inlineStr">
        <is>
          <t>TOUCH</t>
        </is>
      </c>
      <c r="B19" s="401" t="inlineStr">
        <is>
          <t>TIMING</t>
        </is>
      </c>
      <c r="C19" s="401" t="inlineStr">
        <is>
          <t>CHANNEL</t>
        </is>
      </c>
      <c r="D19" s="401" t="inlineStr">
        <is>
          <t>FROM</t>
        </is>
      </c>
      <c r="E19" s="401" t="inlineStr">
        <is>
          <t>SUBJECT / HOOK</t>
        </is>
      </c>
      <c r="F19" s="401" t="inlineStr">
        <is>
          <t>MESSAGE BODY</t>
        </is>
      </c>
      <c r="G19" s="401" t="inlineStr">
        <is>
          <t>GOAL</t>
        </is>
      </c>
    </row>
    <row r="20" ht="69.75" customHeight="1" s="435">
      <c r="A20" s="402" t="inlineStr">
        <is>
          <t>1</t>
        </is>
      </c>
      <c r="B20" s="402" t="inlineStr">
        <is>
          <t>May 1
Week 1</t>
        </is>
      </c>
      <c r="C20" s="403" t="inlineStr">
        <is>
          <t>GPS Acct Rep
Phone/Email</t>
        </is>
      </c>
      <c r="D20" s="403" t="inlineStr">
        <is>
          <t>GPS Insight
Account Rep</t>
        </is>
      </c>
      <c r="E20" s="403" t="inlineStr">
        <is>
          <t>Quick intro — your fleet + your jobs</t>
        </is>
      </c>
      <c r="F20" s="403" t="inlineStr">
        <is>
          <t>Hey [Name], I work with GPS Insight on your fleet account. We just launched a pilot program with ServiceBridge — the FSM platform that connects directly to your GPS Insight data. We're inviting 20 operators across your network for a free 30-day trial. We send you lunch, our tech gets you live in 45 minutes. No contract, no card. Want to see it?</t>
        </is>
      </c>
      <c r="G20" s="403" t="inlineStr">
        <is>
          <t>Warm intro. Get a yes or a time.</t>
        </is>
      </c>
    </row>
    <row r="21" ht="69.75" customHeight="1" s="435">
      <c r="A21" s="402" t="inlineStr">
        <is>
          <t>2</t>
        </is>
      </c>
      <c r="B21" s="402" t="inlineStr">
        <is>
          <t>May 5-7
Week 1</t>
        </is>
      </c>
      <c r="C21" s="403" t="inlineStr">
        <is>
          <t>Email</t>
        </is>
      </c>
      <c r="D21" s="403" t="inlineStr">
        <is>
          <t>Mike Flynt
Velocity GTM</t>
        </is>
      </c>
      <c r="E21" s="403" t="inlineStr">
        <is>
          <t>Lunch is on us — [Name]'s numbers in ServiceBridge</t>
        </is>
      </c>
      <c r="F21" s="403" t="inlineStr">
        <is>
          <t>Hi [Name],
[Rep name] from GPS Insight mentioned you might be interested in seeing ServiceBridge live.
Here's the offer: We send you a $50 DoorDash gift card. You join a 45-minute Zoom with one of our techs. We build your account live — real jobs, real dispatch, real payment. You keep it free for 30 days.
No contract. No credit card. Just lunch and 45 minutes.
I pre-loaded your numbers from [Parent Network] FDD data into our ROI model. Want me to share what it shows?
— Mike
Velocity GTM Co / GPS Insight GTM Partner</t>
        </is>
      </c>
      <c r="G21" s="403" t="inlineStr">
        <is>
          <t>Send gift card offer + Insight Engine teaser.</t>
        </is>
      </c>
    </row>
    <row r="22" ht="69.75" customHeight="1" s="435">
      <c r="A22" s="402" t="inlineStr">
        <is>
          <t>3</t>
        </is>
      </c>
      <c r="B22" s="402" t="inlineStr">
        <is>
          <t>May 12-14
Week 2</t>
        </is>
      </c>
      <c r="C22" s="403" t="inlineStr">
        <is>
          <t>Phone</t>
        </is>
      </c>
      <c r="D22" s="403" t="inlineStr">
        <is>
          <t>Mike Flynt
Velocity GTM</t>
        </is>
      </c>
      <c r="E22" s="403" t="inlineStr">
        <is>
          <t>Following up on the Lunch &amp; Launch invite</t>
        </is>
      </c>
      <c r="F22" s="403" t="inlineStr">
        <is>
          <t>Quick call to follow up on the email. Did the numbers look roughly right for your operation? I can adjust the model on the call. The 45-minute install slot is filling up — we're only running 20 operators in this first cohort. Wanted to make sure you had first access given the GPS Insight relationship.</t>
        </is>
      </c>
      <c r="G22" s="403" t="inlineStr">
        <is>
          <t>Book the install session.</t>
        </is>
      </c>
    </row>
    <row r="23" ht="69.75" customHeight="1" s="435">
      <c r="A23" s="402" t="inlineStr">
        <is>
          <t>4</t>
        </is>
      </c>
      <c r="B23" s="402" t="inlineStr">
        <is>
          <t>Install Day
(Booked)</t>
        </is>
      </c>
      <c r="C23" s="403" t="inlineStr">
        <is>
          <t>Zoom</t>
        </is>
      </c>
      <c r="D23" s="403" t="inlineStr">
        <is>
          <t>ServiceBridge
Tech + Mike</t>
        </is>
      </c>
      <c r="E23" s="403" t="inlineStr">
        <is>
          <t>Lunch &amp; Launch — [Name] live in ServiceBridge</t>
        </is>
      </c>
      <c r="F23" s="403" t="inlineStr">
        <is>
          <t>45-minute session:
1. Tech shares screen, enters franchisee info live (5 min)
2. Creates 3 sample jobs matching their trade (10 min)
3. Shows dispatch board, scheduling, mobile tech view (10 min)
4. Runs a test payment, shows reporting dashboard (10 min)
5. Mike walks through Insight Engine with real numbers (10 min)
Franchisee leaves with a live account and a gift card code.</t>
        </is>
      </c>
      <c r="G23" s="403" t="inlineStr">
        <is>
          <t>Get them live. Create a wow moment.</t>
        </is>
      </c>
    </row>
    <row r="24" ht="69.75" customHeight="1" s="435">
      <c r="A24" s="402" t="inlineStr">
        <is>
          <t>5</t>
        </is>
      </c>
      <c r="B24" s="402" t="inlineStr">
        <is>
          <t>Day 15
Mid-trial</t>
        </is>
      </c>
      <c r="C24" s="403" t="inlineStr">
        <is>
          <t>Email</t>
        </is>
      </c>
      <c r="D24" s="403" t="inlineStr">
        <is>
          <t>ServiceBridge
Tech</t>
        </is>
      </c>
      <c r="E24" s="403" t="inlineStr">
        <is>
          <t>How's [Name]'s account looking? Quick check-in</t>
        </is>
      </c>
      <c r="F24" s="403" t="inlineStr">
        <is>
          <t>Hi [Name], just checking in on your ServiceBridge account. You've had it 2 weeks — have you had a chance to dispatch any real jobs through it? Happy to jump on a quick 15-minute call if you hit any snags. We want to make sure you're getting full value out of the 30 days.</t>
        </is>
      </c>
      <c r="G24" s="403" t="inlineStr">
        <is>
          <t>Drive activation. Catch issues early.</t>
        </is>
      </c>
    </row>
    <row r="25" ht="69.75" customHeight="1" s="435">
      <c r="A25" s="402" t="inlineStr">
        <is>
          <t>6</t>
        </is>
      </c>
      <c r="B25" s="402" t="inlineStr">
        <is>
          <t>Day 28-30
Close</t>
        </is>
      </c>
      <c r="C25" s="403" t="inlineStr">
        <is>
          <t>Phone + Email</t>
        </is>
      </c>
      <c r="D25" s="403" t="inlineStr">
        <is>
          <t>Mike Flynt
Velocity GTM</t>
        </is>
      </c>
      <c r="E25" s="403" t="inlineStr">
        <is>
          <t>Your 30 days — what did you think?</t>
        </is>
      </c>
      <c r="F25" s="403" t="inlineStr">
        <is>
          <t>Hi [Name],
Your pilot wraps up in 2 days. Here's what your account shows: [X jobs dispatched, $X collected, X active].
Two quick asks:
1. Would you be willing to share a quick quote about your experience — even one sentence? We're building a report to take back to [Parent Franchisor].
2. NPS: On a scale of 1-10, would you recommend ServiceBridge to another [Parent Network] franchisee?
Either way, we'd love to keep your account live. Happy to talk options.
— Mike</t>
        </is>
      </c>
      <c r="G25" s="403" t="inlineStr">
        <is>
          <t>Get testimonial + NPS. Convert to paid or reference.</t>
        </is>
      </c>
    </row>
    <row r="27" ht="24" customHeight="1" s="435">
      <c r="A27" s="445" t="inlineStr">
        <is>
          <t>📅  SECTION 3 — FRANCHISE EVENTS CALENDAR (Vendor/Sponsor Opportunities)</t>
        </is>
      </c>
    </row>
    <row r="28" ht="18" customHeight="1" s="435">
      <c r="A28" s="404" t="inlineStr">
        <is>
          <t>EVENT</t>
        </is>
      </c>
      <c r="B28" s="404" t="inlineStr">
        <is>
          <t>FRANCHISOR/NETWORK</t>
        </is>
      </c>
      <c r="C28" s="404" t="inlineStr">
        <is>
          <t>DATE</t>
        </is>
      </c>
      <c r="D28" s="404" t="inlineStr">
        <is>
          <t>LOCATION</t>
        </is>
      </c>
      <c r="E28" s="404" t="inlineStr">
        <is>
          <t>TYPE</t>
        </is>
      </c>
      <c r="F28" s="404" t="inlineStr">
        <is>
          <t>OPPORTUNITY</t>
        </is>
      </c>
      <c r="G28" s="404" t="inlineStr">
        <is>
          <t>CONTACTS</t>
        </is>
      </c>
      <c r="H28" s="404" t="inlineStr">
        <is>
          <t>STATUS</t>
        </is>
      </c>
      <c r="I28" s="404" t="inlineStr">
        <is>
          <t>PRIORITY</t>
        </is>
      </c>
    </row>
    <row r="29" ht="54.75" customHeight="1" s="435">
      <c r="A29" s="405" t="inlineStr">
        <is>
          <t>BELFOR Franchise Group
Annual Convention</t>
        </is>
      </c>
      <c r="B29" s="405" t="inlineStr">
        <is>
          <t>BELFOR / All BFG Brands</t>
        </is>
      </c>
      <c r="C29" s="405" t="inlineStr">
        <is>
          <t>Feb 2027
(est.)</t>
        </is>
      </c>
      <c r="D29" s="405" t="inlineStr">
        <is>
          <t>TBD</t>
        </is>
      </c>
      <c r="E29" s="405" t="inlineStr">
        <is>
          <t>Annual Convention</t>
        </is>
      </c>
      <c r="F29" s="405" t="inlineStr">
        <is>
          <t>Vendor expo floor. 14 brands + franchisees in one room. Rusty Amarante + Beth Toenies intro path.</t>
        </is>
      </c>
      <c r="G29" s="405" t="inlineStr">
        <is>
          <t>Beth Toenies (VP FD)
Rusty Amarante (President BFG)</t>
        </is>
      </c>
      <c r="H29" s="405" t="inlineStr">
        <is>
          <t>Research 2026 date</t>
        </is>
      </c>
      <c r="I29" s="405" t="inlineStr">
        <is>
          <t>🔴 HIGH</t>
        </is>
      </c>
    </row>
    <row r="30" ht="54.75" customHeight="1" s="435">
      <c r="A30" s="405" t="inlineStr">
        <is>
          <t>HomeFront Homecoming 4</t>
        </is>
      </c>
      <c r="B30" s="405" t="inlineStr">
        <is>
          <t>HomeFront Brands</t>
        </is>
      </c>
      <c r="C30" s="405" t="inlineStr">
        <is>
          <t>Nov 2026</t>
        </is>
      </c>
      <c r="D30" s="405" t="inlineStr">
        <is>
          <t>Orlando, FL</t>
        </is>
      </c>
      <c r="E30" s="405" t="inlineStr">
        <is>
          <t>Annual Convention</t>
        </is>
      </c>
      <c r="F30" s="405" t="inlineStr">
        <is>
          <t>Vendor/sponsor opportunity. Jeff Dudan founder event. All HomeFront franchisees in one room.</t>
        </is>
      </c>
      <c r="G30" s="405" t="inlineStr">
        <is>
          <t>Jeff Dudan (CEO)
Zack Dudan (CGO)</t>
        </is>
      </c>
      <c r="H30" s="405" t="inlineStr">
        <is>
          <t>⚠️ Confirm vendor registration</t>
        </is>
      </c>
      <c r="I30" s="405" t="inlineStr">
        <is>
          <t>🔴 HIGH</t>
        </is>
      </c>
    </row>
    <row r="31" ht="54.75" customHeight="1" s="435">
      <c r="A31" s="406" t="inlineStr">
        <is>
          <t>IFA Annual Convention</t>
        </is>
      </c>
      <c r="B31" s="406" t="inlineStr">
        <is>
          <t>International Franchise Association</t>
        </is>
      </c>
      <c r="C31" s="406" t="inlineStr">
        <is>
          <t>Feb 2027
(est.)</t>
        </is>
      </c>
      <c r="D31" s="406" t="inlineStr">
        <is>
          <t>TBD</t>
        </is>
      </c>
      <c r="E31" s="406" t="inlineStr">
        <is>
          <t>Industry Conference</t>
        </is>
      </c>
      <c r="F31" s="406" t="inlineStr">
        <is>
          <t>Franchisor CEOs, PE operating partners, brand presidents all attend. Best place to build relationships outside of direct outreach.</t>
        </is>
      </c>
      <c r="G31" s="406" t="inlineStr">
        <is>
          <t>All franchisor contacts</t>
        </is>
      </c>
      <c r="H31" s="406" t="inlineStr">
        <is>
          <t>Research 2027 date</t>
        </is>
      </c>
      <c r="I31" s="406" t="inlineStr">
        <is>
          <t>🟡 MEDIUM</t>
        </is>
      </c>
    </row>
    <row r="32" ht="54.75" customHeight="1" s="435">
      <c r="A32" s="406" t="inlineStr">
        <is>
          <t>Five Star Franchising
Annual Convention</t>
        </is>
      </c>
      <c r="B32" s="406" t="inlineStr">
        <is>
          <t>Five Star Franchising</t>
        </is>
      </c>
      <c r="C32" s="406" t="inlineStr">
        <is>
          <t>Q1 2027
(est.)</t>
        </is>
      </c>
      <c r="D32" s="406" t="inlineStr">
        <is>
          <t>TBD</t>
        </is>
      </c>
      <c r="E32" s="406" t="inlineStr">
        <is>
          <t>Annual Convention</t>
        </is>
      </c>
      <c r="F32" s="406" t="inlineStr">
        <is>
          <t>Princeton PE Year 5 — Scott Abbott + Steve White attending. Bio-One, Mosquito Shield franchisees. Exit window messaging.</t>
        </is>
      </c>
      <c r="G32" s="406" t="inlineStr">
        <is>
          <t>Scott Abbott (CEO)
Steve White (CFO)
Michael Moorhouse (Mosquito Shield)</t>
        </is>
      </c>
      <c r="H32" s="406" t="inlineStr">
        <is>
          <t>Research date</t>
        </is>
      </c>
      <c r="I32" s="406" t="inlineStr">
        <is>
          <t>🟡 MEDIUM</t>
        </is>
      </c>
    </row>
    <row r="33" ht="54.75" customHeight="1" s="435">
      <c r="A33" s="406" t="inlineStr">
        <is>
          <t>Threshold Brands
Franchise Convention</t>
        </is>
      </c>
      <c r="B33" s="406" t="inlineStr">
        <is>
          <t>Threshold Brands / Riverside</t>
        </is>
      </c>
      <c r="C33" s="406" t="inlineStr">
        <is>
          <t>Q1-Q2 2027
(est.)</t>
        </is>
      </c>
      <c r="D33" s="406" t="inlineStr">
        <is>
          <t>TBD</t>
        </is>
      </c>
      <c r="E33" s="406" t="inlineStr">
        <is>
          <t>Annual Convention</t>
        </is>
      </c>
      <c r="F33" s="406" t="inlineStr">
        <is>
          <t>MaidPro, USA Insulation, Sir Grout franchisees. Riverside PE Year 4 exit window context.</t>
        </is>
      </c>
      <c r="G33" s="406" t="inlineStr">
        <is>
          <t>Hagan Kappler (CEO — verify)
Andrea Hohermuth (COO)</t>
        </is>
      </c>
      <c r="H33" s="406" t="inlineStr">
        <is>
          <t>Research date</t>
        </is>
      </c>
      <c r="I33" s="406" t="inlineStr">
        <is>
          <t>🟡 MEDIUM</t>
        </is>
      </c>
    </row>
    <row r="34" ht="54.75" customHeight="1" s="435">
      <c r="A34" s="406" t="inlineStr">
        <is>
          <t>PSB Annual Conference</t>
        </is>
      </c>
      <c r="B34" s="406" t="inlineStr">
        <is>
          <t>Premium Service Brands</t>
        </is>
      </c>
      <c r="C34" s="406" t="inlineStr">
        <is>
          <t>Q2 2027
(est.)</t>
        </is>
      </c>
      <c r="D34" s="406" t="inlineStr">
        <is>
          <t>Charlottesville, VA area</t>
        </is>
      </c>
      <c r="E34" s="406" t="inlineStr">
        <is>
          <t>Annual Convention</t>
        </is>
      </c>
      <c r="F34" s="406" t="inlineStr">
        <is>
          <t>360 Painting, ProLift, RooterMan franchisees. Paul Flick (Founder/CEO) in attendance.</t>
        </is>
      </c>
      <c r="G34" s="406" t="inlineStr">
        <is>
          <t>Paul Flick (CEO)
Roxanne Conrad (COO)
Gabe Colon (EVP Performance)</t>
        </is>
      </c>
      <c r="H34" s="406" t="inlineStr">
        <is>
          <t>Research date</t>
        </is>
      </c>
      <c r="I34" s="406" t="inlineStr">
        <is>
          <t>🟡 MEDIUM</t>
        </is>
      </c>
    </row>
    <row r="35" ht="54.75" customHeight="1" s="435">
      <c r="A35" s="406" t="inlineStr">
        <is>
          <t>Authority Brands
Franchise Conference</t>
        </is>
      </c>
      <c r="B35" s="406" t="inlineStr">
        <is>
          <t>Authority Brands / Apax</t>
        </is>
      </c>
      <c r="C35" s="406" t="inlineStr">
        <is>
          <t>Q1-Q2 2027
(est.)</t>
        </is>
      </c>
      <c r="D35" s="406" t="inlineStr">
        <is>
          <t>TBD</t>
        </is>
      </c>
      <c r="E35" s="406" t="inlineStr">
        <is>
          <t>Annual Convention</t>
        </is>
      </c>
      <c r="F35" s="406" t="inlineStr">
        <is>
          <t>Jay Caiafa (new CEO Aug 2025) + Tij Bedi (CTO). New leadership = new vendor relationships possible. 12 brands in attendance.</t>
        </is>
      </c>
      <c r="G35" s="406" t="inlineStr">
        <is>
          <t>Jay Caiafa (CEO)
Tij Bedi (CTO)</t>
        </is>
      </c>
      <c r="H35" s="406" t="inlineStr">
        <is>
          <t>Research date + reach via Tij Bedi</t>
        </is>
      </c>
      <c r="I35" s="406" t="inlineStr">
        <is>
          <t>🟡 MEDIUM</t>
        </is>
      </c>
    </row>
    <row r="36" ht="54.75" customHeight="1" s="435">
      <c r="A36" s="407" t="inlineStr">
        <is>
          <t>Franchise Times Forum</t>
        </is>
      </c>
      <c r="B36" s="407" t="inlineStr">
        <is>
          <t>Industry</t>
        </is>
      </c>
      <c r="C36" s="407" t="inlineStr">
        <is>
          <t>Oct 2026
(est.)</t>
        </is>
      </c>
      <c r="D36" s="407" t="inlineStr">
        <is>
          <t>TBD</t>
        </is>
      </c>
      <c r="E36" s="407" t="inlineStr">
        <is>
          <t>Industry Conference</t>
        </is>
      </c>
      <c r="F36" s="407" t="inlineStr">
        <is>
          <t>Franchise execs + PE operators. Good for Neighborly/KKR relationship building at safe distance.</t>
        </is>
      </c>
      <c r="G36" s="407" t="inlineStr">
        <is>
          <t>Felix Gernburd (KKR) — do not approach direct</t>
        </is>
      </c>
      <c r="H36" s="407" t="inlineStr">
        <is>
          <t>Research date</t>
        </is>
      </c>
      <c r="I36" s="407" t="inlineStr">
        <is>
          <t>⚪ LOW</t>
        </is>
      </c>
    </row>
    <row r="38" ht="24" customHeight="1" s="435">
      <c r="A38" s="439" t="inlineStr">
        <is>
          <t>📡  SECTION 4 — ADVERTISING &amp; CHANNEL PLAN</t>
        </is>
      </c>
    </row>
    <row r="39" ht="18" customHeight="1" s="435">
      <c r="A39" s="409" t="inlineStr">
        <is>
          <t>CHANNEL</t>
        </is>
      </c>
      <c r="B39" s="409" t="inlineStr">
        <is>
          <t>TARGET AUDIENCE</t>
        </is>
      </c>
      <c r="C39" s="409" t="inlineStr">
        <is>
          <t>MESSAGE / HOOK</t>
        </is>
      </c>
      <c r="D39" s="409" t="inlineStr">
        <is>
          <t>FORMAT</t>
        </is>
      </c>
      <c r="E39" s="409" t="inlineStr">
        <is>
          <t>BUDGET SIGNAL</t>
        </is>
      </c>
      <c r="F39" s="409" t="inlineStr">
        <is>
          <t>TIMING</t>
        </is>
      </c>
      <c r="G39" s="409" t="inlineStr">
        <is>
          <t>STATUS</t>
        </is>
      </c>
    </row>
    <row r="40" ht="54.75" customHeight="1" s="435">
      <c r="A40" s="410" t="inlineStr">
        <is>
          <t>LinkedIn — Organic</t>
        </is>
      </c>
      <c r="B40" s="403" t="inlineStr">
        <is>
          <t>Franchise CEOs, PE operating partners, CFOs, CTOs in home services</t>
        </is>
      </c>
      <c r="C40" s="403" t="inlineStr">
        <is>
          <t>Insight Engine results for specific networks. PE exit math posts. 'What franchise operators are leaving on the table' content.</t>
        </is>
      </c>
      <c r="D40" s="403" t="inlineStr">
        <is>
          <t>Text posts + images. 2-3x/week.</t>
        </is>
      </c>
      <c r="E40" s="403" t="inlineStr">
        <is>
          <t>Zero cost — Mike's LinkedIn</t>
        </is>
      </c>
      <c r="F40" s="403" t="inlineStr">
        <is>
          <t>Start May 1</t>
        </is>
      </c>
      <c r="G40" s="403" t="inlineStr">
        <is>
          <t>📝 Plan content calendar</t>
        </is>
      </c>
    </row>
    <row r="41" ht="54.75" customHeight="1" s="435">
      <c r="A41" s="410" t="inlineStr">
        <is>
          <t>LinkedIn — Targeted DM</t>
        </is>
      </c>
      <c r="B41" s="403" t="inlineStr">
        <is>
          <t>CEOs, COOs, CFOs at target franchisor accounts. PE deal teams.</t>
        </is>
      </c>
      <c r="C41" s="403" t="inlineStr">
        <is>
          <t>Personalized outreach referencing FDD data, Insight Engine pre-loaded with their numbers. Not a cold pitch — a warm data share.</t>
        </is>
      </c>
      <c r="D41" s="403" t="inlineStr">
        <is>
          <t>Direct message. 200-300 words max.</t>
        </is>
      </c>
      <c r="E41" s="403" t="inlineStr">
        <is>
          <t>Zero cost</t>
        </is>
      </c>
      <c r="F41" s="403" t="inlineStr">
        <is>
          <t>Start May 1 per outreach sequence</t>
        </is>
      </c>
      <c r="G41" s="403" t="inlineStr">
        <is>
          <t>📝 Drafts needed per account</t>
        </is>
      </c>
    </row>
    <row r="42" ht="54.75" customHeight="1" s="435">
      <c r="A42" s="410" t="inlineStr">
        <is>
          <t>LinkedIn — Paid Ads
(Phase 2)</t>
        </is>
      </c>
      <c r="B42" s="403" t="inlineStr">
        <is>
          <t>Franchise executives at target networks. Job titles: CEO, COO, CFO, CTO, VP Operations, Franchise Dev</t>
        </is>
      </c>
      <c r="C42" s="403" t="inlineStr">
        <is>
          <t>'We already know your numbers.' Lead with Insight Engine output as creative. Drive to landing page.</t>
        </is>
      </c>
      <c r="D42" s="403" t="inlineStr">
        <is>
          <t>Single image ads + carousel. Lead gen form.</t>
        </is>
      </c>
      <c r="E42" s="403" t="inlineStr">
        <is>
          <t>$500-1,000/mo test budget
(Phase 2 only)</t>
        </is>
      </c>
      <c r="F42" s="403" t="inlineStr">
        <is>
          <t>Post-first-pilot (July 2026+)</t>
        </is>
      </c>
      <c r="G42" s="403" t="inlineStr">
        <is>
          <t>⏸️ Hold until pilot data in hand</t>
        </is>
      </c>
    </row>
    <row r="43" ht="54.75" customHeight="1" s="435">
      <c r="A43" s="410" t="inlineStr">
        <is>
          <t>Email — Warm Intro Sequence</t>
        </is>
      </c>
      <c r="B43" s="403" t="inlineStr">
        <is>
          <t>GPS Insight account reps → their franchisee contacts</t>
        </is>
      </c>
      <c r="C43" s="403" t="inlineStr">
        <is>
          <t>Lunch &amp; Launch offer. Gift card + 45-min install. Personalized with FDD numbers.</t>
        </is>
      </c>
      <c r="D43" s="403" t="inlineStr">
        <is>
          <t>Plain text email. 150-200 words. Personal tone.</t>
        </is>
      </c>
      <c r="E43" s="403" t="inlineStr">
        <is>
          <t>Zero cost</t>
        </is>
      </c>
      <c r="F43" s="403" t="inlineStr">
        <is>
          <t>May 1 — coordinated with Andrea</t>
        </is>
      </c>
      <c r="G43" s="403" t="inlineStr">
        <is>
          <t>⚠️ Needs Andrea's account rep list</t>
        </is>
      </c>
    </row>
    <row r="44" ht="54.75" customHeight="1" s="435">
      <c r="A44" s="410" t="inlineStr">
        <is>
          <t>GPS Insight Newsletter
/ Customer Comms</t>
        </is>
      </c>
      <c r="B44" s="403" t="inlineStr">
        <is>
          <t>GPS Insight existing customers who are franchise operators</t>
        </is>
      </c>
      <c r="C44" s="403" t="inlineStr">
        <is>
          <t>'Did you know your GPS Insight data connects directly to ServiceBridge FSM?' Awareness play inside existing customer base.</t>
        </is>
      </c>
      <c r="D44" s="403" t="inlineStr">
        <is>
          <t>GPS Insight internal comms. Article or email blast.</t>
        </is>
      </c>
      <c r="E44" s="403" t="inlineStr">
        <is>
          <t>Zero cost (coordinate with Andrea)</t>
        </is>
      </c>
      <c r="F44" s="403" t="inlineStr">
        <is>
          <t>Q2 2026</t>
        </is>
      </c>
      <c r="G44" s="403" t="inlineStr">
        <is>
          <t>⚠️ Needs Andrea + Charles approval</t>
        </is>
      </c>
    </row>
    <row r="45" ht="54.75" customHeight="1" s="435">
      <c r="A45" s="410" t="inlineStr">
        <is>
          <t>Franchise Trade Press
(PR / Contributed Article)</t>
        </is>
      </c>
      <c r="B45" s="403" t="inlineStr">
        <is>
          <t>Franchise Times, Franchise Business Review, multi-unit franchising publications</t>
        </is>
      </c>
      <c r="C45" s="403" t="inlineStr">
        <is>
          <t>'What PE-backed franchise networks look for in FSM: the exit multiple conversation no one is having.' Thought leadership positioning Mike as the expert.</t>
        </is>
      </c>
      <c r="D45" s="403" t="inlineStr">
        <is>
          <t>1,200-word contributed article. Bylined by Mike Flynt.</t>
        </is>
      </c>
      <c r="E45" s="403" t="inlineStr">
        <is>
          <t>Zero cost (contributed editorial)</t>
        </is>
      </c>
      <c r="F45" s="403" t="inlineStr">
        <is>
          <t>Submit June 2026 — after first pilot data</t>
        </is>
      </c>
      <c r="G45" s="403" t="inlineStr">
        <is>
          <t>📝 Draft outline needed</t>
        </is>
      </c>
    </row>
    <row r="46" ht="54.75" customHeight="1" s="435">
      <c r="A46" s="410" t="inlineStr">
        <is>
          <t>The ServiceBridge
Advantage (Direct Mail)</t>
        </is>
      </c>
      <c r="B46" s="403" t="inlineStr">
        <is>
          <t>CEOs / COOs at top 9 franchisor targets</t>
        </is>
      </c>
      <c r="C46" s="403" t="inlineStr">
        <is>
          <t>Physical copy of The ServiceBridge Advantage doc + handwritten note from Charles Layne. Delivered before first outreach touch.</t>
        </is>
      </c>
      <c r="D46" s="403" t="inlineStr">
        <is>
          <t>Printed 19-page doc + cover letter. FedEx envelope.</t>
        </is>
      </c>
      <c r="E46" s="403" t="inlineStr">
        <is>
          <t>$50-100/package × 9 = $450-900</t>
        </is>
      </c>
      <c r="F46" s="403" t="inlineStr">
        <is>
          <t>April 28 — week before May 1 outreach</t>
        </is>
      </c>
      <c r="G46" s="403" t="inlineStr">
        <is>
          <t>⚠️ Needs Charles to sign cover letter</t>
        </is>
      </c>
    </row>
    <row r="48" ht="24" customHeight="1" s="435">
      <c r="A48" s="440" t="inlineStr">
        <is>
          <t>🎁  SECTION 5 — OFFER LIBRARY</t>
        </is>
      </c>
    </row>
    <row r="49" ht="18" customHeight="1" s="435">
      <c r="A49" s="411" t="inlineStr">
        <is>
          <t>OFFER NAME</t>
        </is>
      </c>
      <c r="B49" s="411" t="inlineStr">
        <is>
          <t>TARGET</t>
        </is>
      </c>
      <c r="C49" s="411" t="inlineStr">
        <is>
          <t>DESCRIPTION</t>
        </is>
      </c>
      <c r="D49" s="411" t="inlineStr">
        <is>
          <t>HOOK</t>
        </is>
      </c>
      <c r="E49" s="411" t="inlineStr">
        <is>
          <t>ASK IN RETURN</t>
        </is>
      </c>
      <c r="F49" s="411" t="inlineStr">
        <is>
          <t>COMMERCIAL TERMS</t>
        </is>
      </c>
      <c r="G49" s="411" t="inlineStr">
        <is>
          <t>STATUS</t>
        </is>
      </c>
    </row>
    <row r="50" ht="69.75" customHeight="1" s="435">
      <c r="A50" s="402" t="inlineStr">
        <is>
          <t>🍽️ Lunch &amp; Launch
30-Day Pilot</t>
        </is>
      </c>
      <c r="B50" s="403" t="inlineStr">
        <is>
          <t>Franchisees
(Greenfield operators
2-10 techs)</t>
        </is>
      </c>
      <c r="C50" s="403" t="inlineStr">
        <is>
          <t>$50 DoorDash gift card + 45-min virtual install session with ServiceBridge tech. Full platform access for 30 days. Account built live during the call.</t>
        </is>
      </c>
      <c r="D50" s="403" t="inlineStr">
        <is>
          <t>"We buy lunch. You get live. Let the numbers do the talking."</t>
        </is>
      </c>
      <c r="E50" s="403" t="inlineStr">
        <is>
          <t>1 testimonial quote
1 NPS score (1-10)
Permission to share data with franchisor
1 referral to another franchisee</t>
        </is>
      </c>
      <c r="F50" s="403" t="inlineStr">
        <is>
          <t>30-day free trial. Standard pricing after. No contract lock-in.</t>
        </is>
      </c>
      <c r="G50" s="402" t="inlineStr">
        <is>
          <t>✅ READY TO DEPLOY
Launch May 1, 2026</t>
        </is>
      </c>
    </row>
    <row r="51" ht="69.75" customHeight="1" s="435">
      <c r="A51" s="402" t="inlineStr">
        <is>
          <t>📊 Insight Engine
Franchisor Briefing</t>
        </is>
      </c>
      <c r="B51" s="403" t="inlineStr">
        <is>
          <t>Franchisor CEOs,
CFOs, PE Operating
Partners</t>
        </is>
      </c>
      <c r="C51" s="403" t="inlineStr">
        <is>
          <t>Pre-loaded ROI model with their specific network data (FDD-sourced). Delivered as a 30-minute 'data briefing' — not a pitch. 'Here's what your network looks like.'</t>
        </is>
      </c>
      <c r="D51" s="403" t="inlineStr">
        <is>
          <t>"No generic demo. Your numbers, your network, before the first call."</t>
        </is>
      </c>
      <c r="E51" s="403" t="inlineStr">
        <is>
          <t>30-minute follow-up call with ops team
Introduction to 2 franchisees for pilot</t>
        </is>
      </c>
      <c r="F51" s="403" t="inlineStr">
        <is>
          <t>No cost. Tool freely provided. Commercial conversation follows pilot data.</t>
        </is>
      </c>
      <c r="G51" s="402" t="inlineStr">
        <is>
          <t>✅ READY TO DEPLOY
Insight Engine v4 built</t>
        </is>
      </c>
    </row>
    <row r="52" ht="69.75" customHeight="1" s="435">
      <c r="A52" s="406" t="inlineStr">
        <is>
          <t>🤝 GPS Insight
Warm Intro Offer</t>
        </is>
      </c>
      <c r="B52" s="403" t="inlineStr">
        <is>
          <t>GPS Insight existing
customers who are
franchise operators</t>
        </is>
      </c>
      <c r="C52" s="403" t="inlineStr">
        <is>
          <t>For franchisees already on GPS Insight: ServiceBridge as the FSM layer on top of existing fleet data. 'Your trucks are already tracked — now connect the jobs.'</t>
        </is>
      </c>
      <c r="D52" s="403" t="inlineStr">
        <is>
          <t>"You already trust GPS Insight with your fleet. ServiceBridge completes the picture."</t>
        </is>
      </c>
      <c r="E52" s="403" t="inlineStr">
        <is>
          <t>Reference call with 1 other GPS Insight customer
Usage data sharing</t>
        </is>
      </c>
      <c r="F52" s="403" t="inlineStr">
        <is>
          <t>GPS Insight customer discount TBD with Andrea/Charles. Bundled pricing conversation.</t>
        </is>
      </c>
      <c r="G52" s="406" t="inlineStr">
        <is>
          <t>⚠️ PENDING
Needs Andrea approval on bundle pricing</t>
        </is>
      </c>
    </row>
    <row r="53" ht="69.75" customHeight="1" s="435">
      <c r="A53" s="410" t="inlineStr">
        <is>
          <t>🏆 Cohort Report
Franchisor Close</t>
        </is>
      </c>
      <c r="B53" s="403" t="inlineStr">
        <is>
          <t>Franchisor CEOs
after 20-pilot cohort</t>
        </is>
      </c>
      <c r="C53" s="403" t="inlineStr">
        <is>
          <t>After 20 pilot completions: deliver a branded 'Cohort Report' showing aggregate results — active users, jobs dispatched, NPS, 3 verbatim quotes, revenue impact. Walk it into the franchisor meeting.</t>
        </is>
      </c>
      <c r="D53" s="403" t="inlineStr">
        <is>
          <t>"Your operators have already voted. Here's what they said."</t>
        </is>
      </c>
      <c r="E53" s="403" t="inlineStr">
        <is>
          <t>Commitment to 90-day network pilot
Introduction to PE operating partner</t>
        </is>
      </c>
      <c r="F53" s="403" t="inlineStr">
        <is>
          <t>Network pilot pricing TBD based on tech count. Volume discount vs individual operator pricing.</t>
        </is>
      </c>
      <c r="G53" s="410" t="inlineStr">
        <is>
          <t>📝 TEMPLATE NEEDED
Build after first cohort data</t>
        </is>
      </c>
    </row>
    <row r="54" ht="69.75" customHeight="1" s="435">
      <c r="A54" s="406" t="inlineStr">
        <is>
          <t>🎯 PE Exit Math
Briefing</t>
        </is>
      </c>
      <c r="B54" s="403" t="inlineStr">
        <is>
          <t>PE Operating Partners
(American Securities,
Riverside, Princeton,
MidOcean)</t>
        </is>
      </c>
      <c r="C54" s="403" t="inlineStr">
        <is>
          <t>45-minute 'Capital Allocation Briefing' — not a software pitch. Show the 3-Way Scenario: ServiceBridge as an EBITDA expansion lever and exit multiple enhancer. Delivered by Mike + Charles.</t>
        </is>
      </c>
      <c r="D54" s="403" t="inlineStr">
        <is>
          <t>"This is not a software conversation. This is an exit multiple conversation."</t>
        </is>
      </c>
      <c r="E54" s="403" t="inlineStr">
        <is>
          <t>Introduction to portfolio company CEO/COO
Permission to run Insight Engine on portfolio</t>
        </is>
      </c>
      <c r="F54" s="403" t="inlineStr">
        <is>
          <t>No cost. PE relationship is the return. Commercial follows portfolio company engagement.</t>
        </is>
      </c>
      <c r="G54" s="406" t="inlineStr">
        <is>
          <t>⚠️ PENDING
Needs Charles + Garrett sign-off on narrative</t>
        </is>
      </c>
    </row>
    <row r="56" ht="24" customHeight="1" s="435">
      <c r="A56" s="439" t="inlineStr">
        <is>
          <t>🇺🇸  SECTION 6 — AMERICA'S 250TH ANNIVERSARY CAMPAIGN (1776–2026)</t>
        </is>
      </c>
    </row>
    <row r="57" ht="93.75" customHeight="1" s="435">
      <c r="A57" s="442" t="inlineStr">
        <is>
          <t>The Opportunity</t>
        </is>
      </c>
      <c r="B57" s="436" t="inlineStr">
        <is>
          <t>July 4, 2026 = America's 250th birthday (Semiquincentennial). The White House has a dedicated Task Force 250 / Freedom 250 initiative. This is the single most patriotic moment in a generation. Our audience — franchise operators in the trades — are overwhelmingly patriotic, often military-adjacent, and deeply connected to American small business culture. This is NOT a generic marketing moment. This is a genuine alignment between who they are and what we're celebrating.</t>
        </is>
      </c>
    </row>
    <row r="58" ht="66" customHeight="1" s="435">
      <c r="A58" s="412" t="inlineStr">
        <is>
          <t>The Core Message</t>
        </is>
      </c>
      <c r="B58" s="437" t="inlineStr">
        <is>
          <t>"The trades built America. For 250 years, the plumbers, electricians, painters, restoration crews and pest control operators have kept this country running. GPS Insight and ServiceBridge are proud to serve the people who keep America moving — on America's 250th birthday, we say thank you."</t>
        </is>
      </c>
    </row>
    <row r="59" ht="39.75" customHeight="1" s="435">
      <c r="A59" s="442" t="inlineStr">
        <is>
          <t>Campaign Name</t>
        </is>
      </c>
      <c r="B59" s="436" t="inlineStr">
        <is>
          <t>"Built to Last — 250 Years of American Trades" — GPS Insight × ServiceBridge × America 250</t>
        </is>
      </c>
    </row>
    <row r="60" ht="150" customHeight="1" s="435">
      <c r="A60" s="412" t="inlineStr">
        <is>
          <t>Handwritten Letter
Campaign</t>
        </is>
      </c>
      <c r="B60" s="437" t="inlineStr">
        <is>
          <t>Write a personal, handwritten letter — or a high-quality handwritten-style printed letter on premium letterhead — to every CEO, COO, CFO, and VP Business Development at our Top 9 franchisors.
Letter themes:
• Honor the trades on America's 250th birthday
• Reference their specific network (BELFOR restores American homes, Five Star builds American bathrooms, etc.)
• Tie GPS Insight + ServiceBridge to the American small business story
• Close with a personal invitation to a conversation — not a pitch
Delivery: FedEx envelope. Arrive first week of May 2026 — before our first outreach call.
Signed: Mike Flynt, Velocity GTM Co — with a handwritten note from Charles Layne for Tier 1 accounts.
Total letters: 9 franchisors × 4 contacts each = ~36 letters. Budget: $200-300 (printing + FedEx).</t>
        </is>
      </c>
    </row>
    <row r="61" ht="259.5" customHeight="1" s="435">
      <c r="A61" s="515" t="inlineStr">
        <is>
          <t>Challenge Coin
(v18 FINAL)
→ See 🇺🇸 America 250 tab</t>
        </is>
      </c>
      <c r="B61" s="436" t="inlineStr">
        <is>
          <t>GPS Insight / ServiceBridge Limited Edition Challenge Coin — America 250th Anniversary
FINAL DESIGN BRIEF (v18 — LOCKED) — Ready for Charles Layne approval before ordering
── FRONT FACE ──
• Outer ring: Polished silver edge with reeded tick marks (60 ticks)
• Wide rim band: Dark navy enamel (#1A2B3C) with WHITE raised lettering
  - Top arc: "CELEBRATING 250 YEARS" with ★ flanking
  - Bottom arc: "SEMIQUINCENTENNIAL" with ★ flanking
• Black enamel center field (r=128)
• AMERICA — large serif (30pt), wide letter-spacing, top of field
• 250 — large italic serif (90pt), red/white/blue diagonal stripe fill, silver outline
• Divider line
• TRADES BUILT AMERICA (spaced caps, 11pt)
• 1776 — 2026 (10pt, muted)
• Bottom micro-line: GPSInsight · ServiceBridge (9pt, dimmed)
── BACK FACE ──
• Same silver outer ring + reeded ticks + navy rim band
  - Top arc: "POWERING THE AMERICAN TRADES"
  - Bottom arc: "TRADES BUILT AMERICA 1776–2026"
• Black enamel center field
• GPSINSIGHT wordmark (28pt bold sans, centered)
• 3-dot signature raised to TOP OF THE T (superscript position):
  - Grey dot (#888780) — top-left of cluster
  - Blue dot (#185FA5) — directly below grey (stacked left column)
  - Red dot (#A32D2D) — centered right, vertically between grey and blue
  - All dots r=4.2, tight cluster at cap-height above the T
• "Experience you can trust" tagline (11pt, muted #888898)
• Divider line
• SERVICEBRIDGE (18pt, softer/smaller than GPS Insight)
• "Fleet Management Software" (11pt muted, same style as Experience tagline)
── PRODUCTION SPECS ──
• Size: 1.5 inch diameter · 3mm thick
• Finish: Antique silver outer edge + dark navy enamel rim band + black enamel field
• Process: Die struck, hard enamel fill
• Quantity: ~150 coins ($5-7 each = $750-1,050)
• Vendors: ChallengeCoins4Less.com · CoinandPins.com
• Lead time: 3-4 weeks from approved artwork
── PENDING ACTIONS (before ordering) ──
⚠️  1. Charles Layne sign-off on full design
⚠️  2. GPS Insight brand guidelines confirm co-branded coin approved
⚠️  3. America 250 trademark license — apply at america250.org licensing program
⚠️  4. Confirm navy enamel rim + GPS Insight dot colors per brand standards
⚠️  5. Determine distribution list (36 franchisor contacts + 14 PE + 60 pilot + 20 Charles)</t>
        </is>
      </c>
    </row>
    <row r="62" ht="22" customHeight="1" s="435">
      <c r="A62" s="438" t="inlineStr">
        <is>
          <t>🪙  Challenge Coin v18 FINAL — Visual Reference (front &amp; back)</t>
        </is>
      </c>
    </row>
    <row r="63" ht="34" customHeight="1" s="435"/>
    <row r="64" ht="34" customHeight="1" s="435"/>
    <row r="65" ht="34" customHeight="1" s="435"/>
    <row r="66" ht="34" customHeight="1" s="435"/>
    <row r="67" ht="34" customHeight="1" s="435"/>
    <row r="68" ht="34" customHeight="1" s="435"/>
    <row r="69" ht="34" customHeight="1" s="435"/>
    <row r="70" ht="34" customHeight="1" s="435"/>
    <row r="71" ht="34" customHeight="1" s="435"/>
    <row r="72" ht="34" customHeight="1" s="435"/>
    <row r="73" ht="34" customHeight="1" s="435"/>
    <row r="74" ht="34" customHeight="1" s="435"/>
    <row r="75" ht="34" customHeight="1" s="435"/>
    <row r="76" ht="30" customHeight="1" s="435">
      <c r="A76" s="442" t="inlineStr">
        <is>
          <t>LinkedIn Campaign
— America 250 Angle</t>
        </is>
      </c>
      <c r="B76" s="436" t="inlineStr">
        <is>
          <t>Series: "250 Years of American Trades"
Post 1 (May 1): "In 1776, someone had to fix the plumbing at Independence Hall. The trades have been keeping America running for 250 years. Today we start a conversation about the technology they deserve." [Image: GPS Insight + America 250]
Post 2 (May 15): "BELFOR's 9,250 technicians responded to more American disasters last year than most people will ever see in a lifetime. These are the people we're proud to work with." [Image: restoration crew at work]
Post 3 (June 1): "First cohort results: 20 franchise operators. 30 days. [X] jobs dispatched. [X] paid. Here's what they said." [Post-pilot results — fill in after cohort 1]
Post 4 (July 4): "Happy 250th Birthday, America. To every technician, operator, and franchise owner keeping this country running — this one's for you." [Challenge coin image + America 250]
Frequency: 2-3x/week organic posts from Mike's personal LinkedIn. Tag GPS Insight company page. Tag target franchisor companies.</t>
        </is>
      </c>
    </row>
    <row r="77" ht="93.75" customHeight="1" s="435"/>
    <row r="78" ht="39" customHeight="1" s="435">
      <c r="A78" s="414" t="inlineStr">
        <is>
          <t>🍺  SECTION 7 — BREWERY WEBINAR: "Suds &amp; Software"</t>
        </is>
      </c>
    </row>
    <row r="79" ht="24" customHeight="1" s="435">
      <c r="A79" s="442" t="inlineStr">
        <is>
          <t>Concept</t>
        </is>
      </c>
    </row>
    <row r="80" ht="163.5" customHeight="1" s="435">
      <c r="A80" s="442" t="inlineStr">
        <is>
          <t>Format</t>
        </is>
      </c>
      <c r="B80" s="436" t="inlineStr">
        <is>
          <t>• 60-minute Zoom webinar
• 10-15 franchise operators per session (curated, not open registration)
• Pre-webinar: 3-beer sampler pack delivered to each registrant (1-2 days before)
• Webinar structure:
  - 0:00 Welcome, crack open beer #1, quick intros (10 min)
  - 0:10 Live ServiceBridge demo — real jobs, real dispatch, real payment (20 min)
  - 0:30 Crack beer #2 — Q&amp;A and "what would this look like in your business?" (15 min)
  - 0:45 Insight Engine — show their FDD numbers live, PE exit math (10 min)
  - 0:55 Crack beer #3 — Pilot offer close: "Who wants a 30-day account?" (5 min)
• Follow-up within 24 hours with personalized Insight Engine output + pilot invite</t>
        </is>
      </c>
    </row>
    <row r="81" ht="135.75" customHeight="1" s="435">
      <c r="A81" s="415" t="inlineStr">
        <is>
          <t>Brewery Partner
Strategy</t>
        </is>
      </c>
      <c r="B81" s="443" t="inlineStr">
        <is>
          <t>Use a brewery in the same city/region as the target franchisor — creates local connection and goodwill.
• BELFOR franchisees (national) — partner with a veteran-owned brewery (strong patriotic tie-in)
• Five Star franchisees (Midwest/national) — local craft brewery in franchisee's market, ship via Drizly/GoPuff/local delivery
• PSB franchisees (Charlottesville, VA area) — local Virginia craft brewery, lean into the 250th anniversary Virginia history angle
Delivery logistics: Use Drizly, GoPuff, or a local delivery service in each market. $20-30 per 3-pack. Confirm delivery availability by zip code before scheduling the webinar.</t>
        </is>
      </c>
    </row>
    <row r="82" ht="121.5" customHeight="1" s="435">
      <c r="A82" s="442" t="inlineStr">
        <is>
          <t>Cost Per Session</t>
        </is>
      </c>
      <c r="B82" s="436" t="inlineStr">
        <is>
          <t>15 registrants × $25 beer delivery = $375 beer
Zoom Pro = $0 (already have)
Promotion (LinkedIn DM + email) = $0
ServiceBridge tech time = 1 hour
Total: ~$375-500 per webinar session
3 sessions (one per target network) = $1,125-1,500 total</t>
        </is>
      </c>
    </row>
    <row r="83" ht="168" customHeight="1" s="435">
      <c r="A83" s="442" t="inlineStr">
        <is>
          <t>Webinar Name Options</t>
        </is>
      </c>
      <c r="B83" s="436" t="inlineStr">
        <is>
          <t>1. "Suds &amp; Software" — straightforward, memorable
2. "Cracks &amp; Codes" — plays on the trades + tech angle
3. "Pints &amp; Pilots" — ties to the pilot offer
4. "Built to Last" — ties to the America 250 theme
Recommendation: "Suds &amp; Software" for the series name. Subtitle: "A 60-Minute Live Demo for the Trades — Beer Included."</t>
        </is>
      </c>
    </row>
    <row r="84" ht="24" customHeight="1" s="435">
      <c r="A84" s="442" t="inlineStr">
        <is>
          <t>GPS Insight / SB
Precedent Check</t>
        </is>
      </c>
    </row>
    <row r="85" ht="121.5" customHeight="1" s="435"/>
    <row r="86" ht="54.75" customHeight="1" s="435">
      <c r="A86" s="439" t="inlineStr">
        <is>
          <t>🚐  SECTION 8 — 30-DAY RIDE-ALONG PLAN (Competitive Intelligence in the Field)</t>
        </is>
      </c>
    </row>
    <row r="87" ht="54.75" customHeight="1" s="435">
      <c r="A87" s="442" t="inlineStr">
        <is>
          <t>Objective</t>
        </is>
      </c>
      <c r="B87" s="436" t="inlineStr">
        <is>
          <t>Spend a day with 4 operators who use a competing FSM platform (ServiceTitan, Jobber, Housecall Pro, FieldRoutes). Ride in the truck. Watch the dispatch process. See where the friction is. Learn what they love and hate about their current software — from real usage, not demos.
This is the single best competitive intelligence available. No research report, no G2 review, no analyst briefing will tell you what one day in a service truck will tell you.</t>
        </is>
      </c>
    </row>
    <row r="88" ht="54.75" customHeight="1" s="435">
      <c r="A88" s="394" t="inlineStr">
        <is>
          <t>Target Ride-Alongs
(Priority)</t>
        </is>
      </c>
      <c r="B88" s="416" t="inlineStr">
        <is>
          <t>1. ServiceTitan user — HVAC or plumbing operator (highest priority — #1 competitor)
   Best source: Ask Andrea for a GPS Insight telematics customer who is also on ServiceTitan
   What to watch: Job dispatch flow, time from call to truck, invoice process, tech frustration points
2. FieldRoutes user — pest control or lawn care operator
   Best source: Mosquito Shield franchisee or similar route-based operator
   What to watch: Route scheduling, how stops are managed, what data they can't see
3. Jobber user — small painting or cleaning operator (2-5 techs)
   Best source: PSB or HomeFront franchisee who hasn't adopted a network platform
   What to watch: Manual workarounds, what they wish Jobber did better
4. Paper / No FSM operator — greenfield franchisee
   Best source: BELFOR restoration franchisee, newer operator
   What to watch: The chaos. What falls through the cracks. What a Week-1 install would solve immediately.</t>
        </is>
      </c>
    </row>
    <row r="89" ht="54.75" customHeight="1" s="435">
      <c r="A89" s="442" t="inlineStr">
        <is>
          <t>How to Get Access</t>
        </is>
      </c>
      <c r="B89" s="436" t="inlineStr">
        <is>
          <t>1. Ask Andrea for GPS Insight telematics customers who are franchise operators — many will be on competing FSM. GPS Insight rep makes intro: "Our GTM partner wants to understand how you operate — would you be willing to spend a day with them?"
2. LinkedIn outreach to franchise operators in target networks — "I'm building a report on how the best franchise operators use technology. Would you let me ride along for a day? Happy to share the findings with you."
3. Charles Layne warm intro — "Mike is doing competitive field research to help us serve your industry better. Could you spend a day with him?"
Incentive to offer: $250 Amazon gift card for a full day ride-along. Free Insight Engine output for their specific operation.</t>
        </is>
      </c>
    </row>
    <row r="90" ht="54.75" customHeight="1" s="435">
      <c r="A90" s="442" t="inlineStr">
        <is>
          <t>What to Capture</t>
        </is>
      </c>
      <c r="B90" s="436" t="inlineStr">
        <is>
          <t>For each ride-along, document:
• Current FSM platform + how they feel about it (1-10 NPS)
• Biggest daily frustration with current system
• How they dispatch (phone call? app? radio? paper?)
• How they invoice and collect payment
• How long from job complete to payment received
• What data they wish they had but don't
• What they'd pay for a better solution
• Photo of their current dispatch board / workflow (with permission)
Output: A "Field Intelligence Report" — 1-2 pages per ride-along. Shared with Charles, Andrea, Garrett. Informs Insight Engine inputs and ServiceBridge pitch refinement.</t>
        </is>
      </c>
    </row>
    <row r="91" ht="54.75" customHeight="1" s="435">
      <c r="A91" s="394" t="inlineStr">
        <is>
          <t>Timeline</t>
        </is>
      </c>
      <c r="B91" s="416" t="inlineStr">
        <is>
          <t>Week 1 (May 1-7): Identify 4 operators via Andrea + LinkedIn. Make ask.
Week 2 (May 8-14): Confirm 4 ride-along dates.
Week 3-4 (May 15-31): Complete all 4 ride-alongs.
June 1: Deliver Field Intelligence Report to GPS Insight team.
Goal: Enter every franchisor conversation in June with first-hand competitive intelligence no vendor has. "I spent a day in the truck with a ServiceTitan operator last week. Here's what I saw."</t>
        </is>
      </c>
    </row>
    <row r="92" ht="54.75" customHeight="1" s="435"/>
    <row r="93" ht="54.75" customHeight="1" s="435">
      <c r="A93" s="417" t="inlineStr">
        <is>
          <t>💼  SECTION 9 — LINKEDIN CAMPAIGN STRATEGY</t>
        </is>
      </c>
    </row>
    <row r="94" ht="409.5" customHeight="1" s="435">
      <c r="A94" s="442" t="inlineStr">
        <is>
          <t>Should We Run
LinkedIn Paid Ads?</t>
        </is>
      </c>
      <c r="B94" s="436" t="inlineStr">
        <is>
          <t>SHORT ANSWER: Yes, but Phase 2 only — after first pilot data is in hand.
SERVICETITAN runs LinkedIn paid ads heavily (segmented by trade, company size, geography per public analysis). They have 1,000+ sales reps and a massive ABM operation.
WE SHOULD NOT try to outspend them. We should outflank them.
Our LinkedIn strategy is:
• Phase 1 (May-July 2026): Organic posts + targeted personal DMs. Zero ad spend. Use Mike's personal brand + Charles Layne relationship as the differentiator.
• Phase 2 (July 2026+): $500-1,000/mo test budget on LinkedIn Lead Gen Forms targeting franchise CEOs/COOs/CFOs + PE operating partners. Creative = Insight Engine output for their specific network. "We already know your numbers."
Competitor weakness: ServiceTitan runs generic trade ads. We can run hyper-specific franchise network ads that no generic FSM vendor can match.</t>
        </is>
      </c>
    </row>
    <row r="95" ht="397.5" customHeight="1" s="435">
      <c r="A95" s="442" t="inlineStr">
        <is>
          <t>Organic LinkedIn
Content Pillars</t>
        </is>
      </c>
      <c r="B95" s="436" t="inlineStr">
        <is>
          <t>1. FRANCHISE OPERATOR STORIES — "A day in the truck with [trade] operators" (ride-along content)
2. INSIGHT ENGINE REVEALS — "Here's what [Network X]'s numbers look like when you run them through the model"
3. AMERICA 250 / TRADES PATRIOTISM — "250 years of American trades" series
4. COMPETITION INTEL — "What ServiceTitan doesn't tell you" educational posts (tactful, data-driven)
5. PILOT RESULTS — Post-cohort: "20 operators. 30 days. Here's what happened."
6. PE EXIT MATH — "Why franchise PE firms should care about FSM margins" thought leadership
Cadence: 3 posts/week from Mike's personal LinkedIn. Tag GPS Insight company page. Engage with target accounts' posts BEFORE reaching out (warm the relationship).</t>
        </is>
      </c>
    </row>
    <row r="96" ht="303.75" customHeight="1" s="435">
      <c r="A96" s="442" t="inlineStr">
        <is>
          <t>DM Outreach
Strategy</t>
        </is>
      </c>
      <c r="B96" s="418" t="inlineStr">
        <is>
          <t>Step 1: Follow + engage with 2-3 posts from target exec (like, thoughtful comment). Do this for 1-2 weeks.
Step 2: Connect request with personalized note referencing their content.
Step 3 (after connect): Short DM — "I pre-loaded [Network] data into our ROI model — would it be useful to share what it shows? Takes 5 minutes on a call."
DO NOT pitch in DM #1. The Insight Engine data is the hook — it shows you've done homework they haven't seen from any other vendor.
Target: 5 new connections/week across Top 9 franchisor exec teams = ~45 new exec relationships by end of May.</t>
        </is>
      </c>
    </row>
    <row r="98" ht="51.75" customHeight="1" s="435">
      <c r="A98" s="419" t="inlineStr">
        <is>
          <t>📍  SECTION 10 — WHERE OUR CLIENTS ARE GOING (Events Mike Should Attend)</t>
        </is>
      </c>
    </row>
    <row r="99" ht="345" customHeight="1" s="435">
      <c r="A99" s="442" t="inlineStr">
        <is>
          <t>Research Approach</t>
        </is>
      </c>
      <c r="B99" s="436" t="inlineStr">
        <is>
          <t>For each of our Top 9 franchisor targets, we need to identify:
1. Their annual franchise convention (where franchisees + leadership gather)
2. Trade association events their CEOs/COOs speak at or attend
3. PE portfolio company events (less public but worth researching)
4. Industry conferences (IFA, Franchise Times Forum, etc.)
SOURCES to check for each network:
• Company website → "Events" or "Convention" page
• LinkedIn events section for company page
• Google: "[Franchisor name] annual convention 2026"
• IFA.org events calendar
• FranchiseTimes.com events
• Each PE firm's portfolio company event announcements</t>
        </is>
      </c>
    </row>
    <row r="100" ht="32.25" customHeight="1" s="435">
      <c r="A100" s="420" t="inlineStr">
        <is>
          <t>HomeFront Homecoming 4</t>
        </is>
      </c>
      <c r="B100" s="511" t="inlineStr">
        <is>
          <t>HomeFront Brands</t>
        </is>
      </c>
      <c r="C100" s="511" t="inlineStr">
        <is>
          <t>November 2026</t>
        </is>
      </c>
      <c r="D100" s="511" t="inlineStr">
        <is>
          <t>Orlando, FL</t>
        </is>
      </c>
      <c r="E100" s="511" t="inlineStr">
        <is>
          <t>CONFIRMED — Annual franchise convention. Jeff Dudan founded event. Vendor floor opportunity. Register as exhibitor. All HomeFront franchisees attend.</t>
        </is>
      </c>
      <c r="O100" s="422" t="inlineStr">
        <is>
          <t>🔴 REGISTER NOW</t>
        </is>
      </c>
    </row>
    <row r="101" ht="63.75" customHeight="1" s="435">
      <c r="A101" s="420" t="inlineStr">
        <is>
          <t>BELFOR Annual Convention</t>
        </is>
      </c>
      <c r="B101" s="511" t="inlineStr">
        <is>
          <t>BELFOR / American Securities</t>
        </is>
      </c>
      <c r="C101" s="511" t="inlineStr">
        <is>
          <t>Feb 2027 (est.)</t>
        </is>
      </c>
      <c r="D101" s="511" t="inlineStr">
        <is>
          <t>TBD — verify</t>
        </is>
      </c>
      <c r="E101" s="511" t="inlineStr">
        <is>
          <t>BELFOR holds annual franchise conventions. GPS Insight warm intro via Charles = best path to vendor floor access. Contact Beth Toenies or Rusty Amarante to inquire about vendor participation.</t>
        </is>
      </c>
      <c r="O101" s="422" t="inlineStr">
        <is>
          <t>🔴 VERIFY DATE — Contact Beth Toenies</t>
        </is>
      </c>
    </row>
    <row r="102" ht="32.25" customHeight="1" s="435">
      <c r="A102" s="423" t="inlineStr">
        <is>
          <t>Five Star Franchisee Summit</t>
        </is>
      </c>
      <c r="B102" s="424" t="inlineStr">
        <is>
          <t>Five Star Franchising / Princeton</t>
        </is>
      </c>
      <c r="C102" s="424" t="inlineStr">
        <is>
          <t>Q1 2027 (est.)</t>
        </is>
      </c>
      <c r="D102" s="424" t="inlineStr">
        <is>
          <t>TBD — verify fivestarfranchising.com</t>
        </is>
      </c>
      <c r="E102" s="424" t="inlineStr">
        <is>
          <t>Princeton PE Year 5 exit window. Scott Abbott + franchisees attend. Vendor/sponsor inquiry via Scott Abbott or Michael Moorhouse intro.</t>
        </is>
      </c>
      <c r="O102" s="425" t="inlineStr">
        <is>
          <t>🟡 RESEARCH DATE</t>
        </is>
      </c>
    </row>
    <row r="103" ht="53.25" customHeight="1" s="435">
      <c r="A103" s="423" t="inlineStr">
        <is>
          <t>IFA Annual Convention</t>
        </is>
      </c>
      <c r="B103" s="424" t="inlineStr">
        <is>
          <t>International Franchise Association</t>
        </is>
      </c>
      <c r="C103" s="424" t="inlineStr">
        <is>
          <t>Feb 2027 (est.)</t>
        </is>
      </c>
      <c r="D103" s="424" t="inlineStr">
        <is>
          <t>Las Vegas (typical)</t>
        </is>
      </c>
      <c r="E103" s="424" t="inlineStr">
        <is>
          <t>Largest franchise industry event. All franchisor CEOs attend. Best place to build 5+ franchisor relationships in 2 days. Exhibitor booth or attendee.</t>
        </is>
      </c>
      <c r="O103" s="425" t="inlineStr">
        <is>
          <t>🟡 REGISTER AS ATTENDEE — 2027</t>
        </is>
      </c>
    </row>
    <row r="104" ht="53.25" customHeight="1" s="435">
      <c r="A104" s="423" t="inlineStr">
        <is>
          <t>Franchise Times Forum</t>
        </is>
      </c>
      <c r="B104" s="424" t="inlineStr">
        <is>
          <t>Industry — Franchise Times Magazine</t>
        </is>
      </c>
      <c r="C104" s="424" t="inlineStr">
        <is>
          <t>Oct 2026 (est.)</t>
        </is>
      </c>
      <c r="D104" s="424" t="inlineStr">
        <is>
          <t>TBD — franchisettimes.com</t>
        </is>
      </c>
      <c r="E104" s="424" t="inlineStr">
        <is>
          <t>Smaller, high-quality exec event. CEOs from PSB, Resibrands, HomeFront likely attend. Good for Tier 2 relationship building.</t>
        </is>
      </c>
      <c r="O104" s="425" t="inlineStr">
        <is>
          <t>🟡 CHECK DATE + REGISTRATION</t>
        </is>
      </c>
    </row>
    <row r="105" ht="53.25" customHeight="1" s="435">
      <c r="A105" s="423" t="inlineStr">
        <is>
          <t>Threshold Brands Convention</t>
        </is>
      </c>
      <c r="B105" s="424" t="inlineStr">
        <is>
          <t>Threshold Brands / Riverside</t>
        </is>
      </c>
      <c r="C105" s="424" t="inlineStr">
        <is>
          <t>Q1-Q2 2027 (est.)</t>
        </is>
      </c>
      <c r="D105" s="424" t="inlineStr">
        <is>
          <t>TBD</t>
        </is>
      </c>
      <c r="E105" s="424" t="inlineStr">
        <is>
          <t>Riverside PE Year 4. All Threshold brands (MaidPro, USA Insulation, Sir Grout, Pestmaster) franchisees attend. Vendor inquiry via Andrea Hohermuth (COO).</t>
        </is>
      </c>
      <c r="O105" s="425" t="inlineStr">
        <is>
          <t>🟡 RESEARCH DATE — Contact Andrea H.</t>
        </is>
      </c>
    </row>
    <row r="106" ht="63.75" customHeight="1" s="435">
      <c r="A106" s="423" t="inlineStr">
        <is>
          <t>PSB Annual Summit</t>
        </is>
      </c>
      <c r="B106" s="424" t="inlineStr">
        <is>
          <t>Premium Service Brands / Susquehanna</t>
        </is>
      </c>
      <c r="C106" s="424" t="inlineStr">
        <is>
          <t>Q2 2027 (est.)</t>
        </is>
      </c>
      <c r="D106" s="424" t="inlineStr">
        <is>
          <t>Charlottesville, VA area</t>
        </is>
      </c>
      <c r="E106" s="424" t="inlineStr">
        <is>
          <t>Paul Flick (Founder/CEO) runs a tight event. Requires relationship to get vendor access. Roxanne Conrad intro path.</t>
        </is>
      </c>
      <c r="O106" s="425" t="inlineStr">
        <is>
          <t>🟡 RESEARCH DATE — Contact Roxanne Conrad</t>
        </is>
      </c>
    </row>
    <row r="107" ht="53.25" customHeight="1" s="435">
      <c r="A107" s="426" t="inlineStr">
        <is>
          <t>Multi-Unit Franchising Conference</t>
        </is>
      </c>
      <c r="B107" s="427" t="inlineStr">
        <is>
          <t>Industry</t>
        </is>
      </c>
      <c r="C107" s="427" t="inlineStr">
        <is>
          <t>March/April 2027 (est.)</t>
        </is>
      </c>
      <c r="D107" s="427" t="inlineStr">
        <is>
          <t>Las Vegas (typical)</t>
        </is>
      </c>
      <c r="E107" s="427" t="inlineStr">
        <is>
          <t>Multi-unit operators (3+ locations) attend. Our exact target demographic — operators running 5-20 techs across multiple locations. Strong pilot-to-reference path.</t>
        </is>
      </c>
      <c r="O107" s="427" t="inlineStr">
        <is>
          <t>⚪ RESEARCH + CONSIDER</t>
        </is>
      </c>
    </row>
  </sheetData>
  <mergeCells count="61">
    <mergeCell ref="O87:P87"/>
    <mergeCell ref="B77:P77"/>
    <mergeCell ref="B11:P11"/>
    <mergeCell ref="O86:P86"/>
    <mergeCell ref="B14:P14"/>
    <mergeCell ref="B60:P60"/>
    <mergeCell ref="B67:P67"/>
    <mergeCell ref="B61:P61"/>
    <mergeCell ref="B57:P57"/>
    <mergeCell ref="B8:P8"/>
    <mergeCell ref="A62:P62"/>
    <mergeCell ref="A38:P38"/>
    <mergeCell ref="E91:N91"/>
    <mergeCell ref="A72:P72"/>
    <mergeCell ref="B73:P73"/>
    <mergeCell ref="B13:P13"/>
    <mergeCell ref="B82:P82"/>
    <mergeCell ref="O92:P92"/>
    <mergeCell ref="B69:P69"/>
    <mergeCell ref="B10:P10"/>
    <mergeCell ref="E93:N93"/>
    <mergeCell ref="B70:P70"/>
    <mergeCell ref="O88:P88"/>
    <mergeCell ref="A48:P48"/>
    <mergeCell ref="B65:P65"/>
    <mergeCell ref="O93:P93"/>
    <mergeCell ref="A64:P64"/>
    <mergeCell ref="B74:P74"/>
    <mergeCell ref="B9:P9"/>
    <mergeCell ref="B68:P68"/>
    <mergeCell ref="B15:P15"/>
    <mergeCell ref="E89:N89"/>
    <mergeCell ref="B6:P6"/>
    <mergeCell ref="A1:P1"/>
    <mergeCell ref="E92:N92"/>
    <mergeCell ref="B5:P5"/>
    <mergeCell ref="A79:P79"/>
    <mergeCell ref="B76:P76"/>
    <mergeCell ref="B80:P80"/>
    <mergeCell ref="E88:N88"/>
    <mergeCell ref="O89:P89"/>
    <mergeCell ref="B85:P85"/>
    <mergeCell ref="B4:P4"/>
    <mergeCell ref="E87:N87"/>
    <mergeCell ref="B75:P75"/>
    <mergeCell ref="B7:P7"/>
    <mergeCell ref="A84:P84"/>
    <mergeCell ref="B16:P16"/>
    <mergeCell ref="B81:P81"/>
    <mergeCell ref="O91:P91"/>
    <mergeCell ref="A18:P18"/>
    <mergeCell ref="A27:P27"/>
    <mergeCell ref="A56:P56"/>
    <mergeCell ref="B59:P59"/>
    <mergeCell ref="B66:P66"/>
    <mergeCell ref="O90:P90"/>
    <mergeCell ref="E90:N90"/>
    <mergeCell ref="A3:P3"/>
    <mergeCell ref="B12:P12"/>
    <mergeCell ref="E86:N86"/>
    <mergeCell ref="B58:P58"/>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P65"/>
  <sheetViews>
    <sheetView tabSelected="1" zoomScaleNormal="100" workbookViewId="0">
      <pane ySplit="2" topLeftCell="A23" activePane="bottomLeft" state="frozen"/>
      <selection activeCell="A1" sqref="A1:P1"/>
      <selection pane="bottomLeft" activeCell="A1" sqref="A1:P1"/>
    </sheetView>
  </sheetViews>
  <sheetFormatPr baseColWidth="10" defaultColWidth="8.6640625" defaultRowHeight="15"/>
  <cols>
    <col width="24" customWidth="1" style="435" min="1" max="1"/>
    <col width="96.1640625" customWidth="1" style="435" min="2" max="2"/>
    <col width="14" customWidth="1" style="435" min="3" max="16"/>
  </cols>
  <sheetData>
    <row r="1" ht="30" customHeight="1" s="435">
      <c r="A1" s="513" t="inlineStr">
        <is>
          <t>🇺🇸  AMERICA'S 250TH ANNIVERSARY CAMPAIGN — GPS Insight × ServiceBridge × America 250 (1776–2026)</t>
        </is>
      </c>
    </row>
    <row r="3" ht="24" customHeight="1" s="435">
      <c r="A3" s="516" t="inlineStr">
        <is>
          <t>🇺🇸  CAMPAIGN OVERVIEW</t>
        </is>
      </c>
    </row>
    <row r="4" ht="39.75" customHeight="1" s="435">
      <c r="A4" s="412" t="inlineStr">
        <is>
          <t>Campaign Name</t>
        </is>
      </c>
      <c r="B4" s="437" t="inlineStr">
        <is>
          <t>"Built to Last — 250 Years of American Trades"
GPS Insight × ServiceBridge × America 250</t>
        </is>
      </c>
    </row>
    <row r="5" ht="79.5" customHeight="1" s="435">
      <c r="A5" s="412" t="inlineStr">
        <is>
          <t>The Opportunity</t>
        </is>
      </c>
      <c r="B5" s="437" t="inlineStr">
        <is>
          <t>July 4, 2026 = America's 250th birthday (Semiquincentennial). White House Task Force 250 / Freedom 250 initiative is active. This is the most patriotic moment in a generation.
Our audience — franchise operators in the trades — are overwhelmingly patriotic, often military-adjacent, deeply connected to American small business culture. This is a genuine alignment between who they are and what we're celebrating.
America250.org is a bipartisan nonprofit supported by 350+ Congressional caucus members. Former Presidents Bush and Obama serve as Honorary Co-Chairs. This is not a partisan moment — it is a national one.</t>
        </is>
      </c>
    </row>
    <row r="6" ht="66" customHeight="1" s="435">
      <c r="A6" s="442" t="inlineStr">
        <is>
          <t>Core Message</t>
        </is>
      </c>
      <c r="B6" s="436" t="inlineStr">
        <is>
          <t>"The trades built America. For 250 years, the plumbers, electricians, painters, restoration crews and pest control operators have kept this country running. GPS Insight and ServiceBridge are proud to serve the people who keep America moving — on America's 250th birthday, we say thank you."</t>
        </is>
      </c>
    </row>
    <row r="7" ht="39.75" customHeight="1" s="435">
      <c r="A7" s="442" t="inlineStr">
        <is>
          <t>Campaign Window</t>
        </is>
      </c>
      <c r="B7" s="436" t="inlineStr">
        <is>
          <t>May 1, 2026 through July 4, 2026 (peak). Momentum extends through end of 2026 per America250.org celebration calendar.</t>
        </is>
      </c>
    </row>
    <row r="8" ht="39.75" customHeight="1" s="435">
      <c r="A8" s="442" t="inlineStr">
        <is>
          <t>Launch Date</t>
        </is>
      </c>
      <c r="B8" s="436" t="inlineStr">
        <is>
          <t>May 1, 2026 — aligned with outreach start date. Handwritten letters arrive last week of April. Challenge coins ship with Tier 1 FedEx packages.</t>
        </is>
      </c>
    </row>
    <row r="10" ht="24" customHeight="1" s="435">
      <c r="A10" s="512" t="inlineStr">
        <is>
          <t>✉️  HANDWRITTEN LETTER CAMPAIGN — Top 9 Franchisor Executives</t>
        </is>
      </c>
    </row>
    <row r="11" ht="93.75" customHeight="1" s="435">
      <c r="A11" s="442" t="inlineStr">
        <is>
          <t>Concept</t>
        </is>
      </c>
      <c r="B11" s="436" t="inlineStr">
        <is>
          <t>Personal, handwritten-style letter on premium letterhead delivered by FedEx to every CEO, COO, CFO, and VP Business Development at our Top 9 franchisor targets.
Arrives the week BEFORE our first outreach call — so when we call on May 1, they already have something physical from us in their hands.
NO vendor has done this. No SaaS company is sending handwritten letters to franchise CEOs. This is the differentiator.</t>
        </is>
      </c>
    </row>
    <row r="12" ht="93.75" customHeight="1" s="435">
      <c r="A12" s="442" t="inlineStr">
        <is>
          <t>Letter Themes</t>
        </is>
      </c>
      <c r="B12" s="436" t="inlineStr">
        <is>
          <t>1. Honor the trades on America's 250th birthday
2. Reference their specific network (BELFOR restores American homes, Five Star builds American bathrooms, etc.)
3. Tie GPS Insight + ServiceBridge to the American small business story
4. Close with a personal invitation to a conversation — not a pitch
5. One sentence about the Insight Engine: "We've already run your network numbers — I'd like to share what we found."</t>
        </is>
      </c>
    </row>
    <row r="13" ht="51.75" customHeight="1" s="435">
      <c r="A13" s="442" t="inlineStr">
        <is>
          <t>Signatories</t>
        </is>
      </c>
      <c r="B13" s="436" t="inlineStr">
        <is>
          <t>TIER 1 (BELFOR, Five Star, PSB): Signed by Mike Flynt + Charles Layne
TIER 2-3 (All others): Signed by Mike Flynt, Velocity GTM Co
⚠️ Charles Layne signature requires his approval and time — coordinate early.</t>
        </is>
      </c>
    </row>
    <row r="14" ht="135.75" customHeight="1" s="435">
      <c r="A14" s="442" t="inlineStr">
        <is>
          <t>Recipients &amp; Volume</t>
        </is>
      </c>
      <c r="B14" s="436" t="inlineStr">
        <is>
          <t>9 franchisors × 4 contacts (CEO, COO, CFO, VP BD) = ~36 letters
Top contacts by account:
• BELFOR: Rusty Amarante (President BFG) · Sheldon Yellen (CEO) · Dan Tarantin (COO) · Beth Toenies (VP FD)
• Five Star: Scott Abbott (CEO) · Steve White (CFO) · Chad Jones (COO) · Derek DeBenedetto (Princeton PE)
• Threshold: Hagan Kappler (CEO — verify) · Andrea Hohermuth (COO)
• PSB: Paul Flick (CEO) · Roxanne Conrad (COO) · Gabe Colon (EVP)
• Authority: Jay Caiafa (CEO) · Tij Bedi (CTO)
• HomeFront: Jeff Dudan (CEO) · Zack Dudan (CGO)
• Empower: Scott Zide (CEO)
• ResiBrands: Steven Montgomery (CEO)
• Neighborly: Charles → Accel-KKR → KKR → Felix Gernburd ONLY</t>
        </is>
      </c>
    </row>
    <row r="15" ht="39.75" customHeight="1" s="435">
      <c r="A15" s="442" t="inlineStr">
        <is>
          <t>Delivery Method</t>
        </is>
      </c>
      <c r="B15" s="436" t="inlineStr">
        <is>
          <t>FedEx Priority Overnight envelope. Arrive April 28-29, 2026 — 2-3 days before first call.
Budget: ~$200-300 (printing premium letterhead + FedEx × 36 packages)</t>
        </is>
      </c>
    </row>
    <row r="16" ht="39.75" customHeight="1" s="435">
      <c r="A16" s="442" t="inlineStr">
        <is>
          <t>Status</t>
        </is>
      </c>
      <c r="B16" s="436" t="inlineStr">
        <is>
          <t>📝 LETTER DRAFTS NEEDED — ready to write per account when approved</t>
        </is>
      </c>
    </row>
    <row r="18" ht="24" customHeight="1" s="435">
      <c r="A18" s="514" t="inlineStr">
        <is>
          <t>🪙  CHALLENGE COIN — Final Design v18 (LOCKED)</t>
        </is>
      </c>
    </row>
    <row r="19" ht="22" customHeight="1" s="435">
      <c r="A19" s="438" t="inlineStr">
        <is>
          <t>🪙  Challenge Coin v18 FINAL — Visual Reference (front &amp; back)</t>
        </is>
      </c>
    </row>
    <row r="20" ht="34" customHeight="1" s="435"/>
    <row r="21" ht="34" customHeight="1" s="435"/>
    <row r="22" ht="34" customHeight="1" s="435"/>
    <row r="23" ht="34" customHeight="1" s="435"/>
    <row r="24" ht="34" customHeight="1" s="435"/>
    <row r="25" ht="34" customHeight="1" s="435"/>
    <row r="26" ht="34" customHeight="1" s="435"/>
    <row r="27" ht="34" customHeight="1" s="435"/>
    <row r="28" ht="34" customHeight="1" s="435"/>
    <row r="29" ht="34" customHeight="1" s="435"/>
    <row r="30" ht="34" customHeight="1" s="435"/>
    <row r="31" ht="34" customHeight="1" s="435"/>
    <row r="32" ht="34" customHeight="1" s="435"/>
    <row r="33" ht="34" customHeight="1" s="435"/>
    <row r="34" ht="34" customHeight="1" s="435"/>
    <row r="35" ht="34" customHeight="1" s="435"/>
    <row r="36" ht="34" customHeight="1" s="435"/>
    <row r="37" ht="34" customHeight="1" s="435"/>
    <row r="38" ht="34" customHeight="1" s="435"/>
    <row r="39" ht="34" customHeight="1" s="435"/>
    <row r="40" ht="34" customHeight="1" s="435"/>
    <row r="41" ht="34" customHeight="1" s="435"/>
    <row r="42" ht="34" customHeight="1" s="435"/>
    <row r="43" ht="34" customHeight="1" s="435"/>
    <row r="44" ht="34" customHeight="1" s="435"/>
    <row r="45" ht="34" customHeight="1" s="435"/>
    <row r="46" ht="34" customHeight="1" s="435"/>
    <row r="47" ht="34" customHeight="1" s="435"/>
    <row r="48" ht="34" customHeight="1" s="435">
      <c r="A48" s="515" t="inlineStr">
        <is>
          <t>Concept</t>
        </is>
      </c>
      <c r="B48" s="510" t="inlineStr">
        <is>
          <t>GPS Insight / ServiceBridge Limited Edition Challenge Coin — America's 250th Anniversary
A die-struck antique silver challenge coin delivered with the handwritten letter to Tier 1 franchisor CEOs and PE operating partners. A challenge coin is something a person keeps. It sits on a desk. It gets picked up. It becomes a conversation starter.
This is not swag. This is a credibility artifact.</t>
        </is>
      </c>
    </row>
    <row r="49" ht="34" customHeight="1" s="435">
      <c r="A49" s="515" t="inlineStr">
        <is>
          <t>FRONT FACE
(v18 FINAL)</t>
        </is>
      </c>
      <c r="B49" s="510" t="inlineStr">
        <is>
          <t>• Outer ring: Polished silver with reeded tick marks (60 ticks)
• Wide rim band: Dark navy enamel (#1A2B3C) — WHITE raised lettering
  - Top arc: "CELEBRATING 250 YEARS" ★
  - Bottom arc: "SEMIQUINCENTENNIAL" ★
• Black enamel center field
• AMERICA — large serif (30pt), wide letter-spacing
• 250 — large italic serif (90pt), red/white/blue diagonal stripe fill, silver outline
• Divider line
• TRADES BUILT AMERICA · 1776 — 2026
• Micro-line: GPSInsight · ServiceBridge</t>
        </is>
      </c>
    </row>
    <row r="50" ht="24" customHeight="1" s="435">
      <c r="A50" s="515" t="inlineStr">
        <is>
          <t>BACK FACE
(v18 FINAL)</t>
        </is>
      </c>
    </row>
    <row r="51" ht="66" customHeight="1" s="435">
      <c r="A51" s="442" t="inlineStr">
        <is>
          <t>Production Specs</t>
        </is>
      </c>
      <c r="B51" s="436" t="inlineStr">
        <is>
          <t>• Size: 1.5 inch diameter · 3mm thick
• Finish: Antique silver outer + dark navy hard enamel rim + black hard enamel center
• Process: Die struck, hard enamel fill (not printed — die struck is the authentic standard)
• Quantity: ~150 coins
• Unit cost: $5-7 each = $750-1,050 total
• Vendors: ChallengeCoins4Less.com · CoinandPins.com
• Lead time: 3-4 weeks from approved artwork</t>
        </is>
      </c>
    </row>
    <row r="52" ht="79.5" customHeight="1" s="435">
      <c r="A52" s="442" t="inlineStr">
        <is>
          <t>Distribution Plan</t>
        </is>
      </c>
      <c r="B52" s="436" t="inlineStr">
        <is>
          <t>• Top 9 franchisor exec teams (CEO/COO/CFO/BD) = ~36 coins — delivered with FedEx letter
• PE operating partners in relationship map = ~14 coins (American Securities, Riverside, Princeton, MidOcean)
• Lunch &amp; Launch pilot participants = 20 coins × 3 cohorts = ~60 coins
• Charles Layne to distribute at his discretion = 20 coins
Total: ~130-150 coins</t>
        </is>
      </c>
    </row>
    <row r="53" ht="66" customHeight="1" s="435">
      <c r="A53" s="384" t="inlineStr">
        <is>
          <t>Pending Actions
⚠️ REQUIRED</t>
        </is>
      </c>
      <c r="B53" s="511" t="inlineStr">
        <is>
          <t>1. ⚠️ Charles Layne sign-off on full design (REQUIRED before ordering)
2. ⚠️ GPS Insight brand guidelines confirm co-branded coin is approved
3. ⚠️ America 250 trademark license — apply at america250.org/licensing
4. ⚠️ Confirm navy enamel rim + GPS Insight dot colors per brand standards
5. ⚠️ Determine final distribution list with Charles</t>
        </is>
      </c>
    </row>
    <row r="55" ht="51.75" customHeight="1" s="435">
      <c r="A55" s="417" t="inlineStr">
        <is>
          <t>💼  LINKEDIN CAMPAIGN — '250 Years of American Trades' Series</t>
        </is>
      </c>
    </row>
    <row r="56" ht="210" customHeight="1" s="435">
      <c r="A56" s="442" t="inlineStr">
        <is>
          <t>Post 1 — May 1</t>
        </is>
      </c>
      <c r="B56" s="436" t="inlineStr">
        <is>
          <t>"In 1776, someone had to fix the plumbing at Independence Hall. The trades have been keeping America running for 250 years. Today we start a conversation about the technology they deserve."
[Image: GPS Insight + America 250 logo]
[Tag: @GPSInsight company page]</t>
        </is>
      </c>
    </row>
    <row r="57" ht="199.5" customHeight="1" s="435">
      <c r="A57" s="442" t="inlineStr">
        <is>
          <t>Post 2 — May 15</t>
        </is>
      </c>
      <c r="B57" s="436" t="inlineStr">
        <is>
          <t>"BELFOR's 9,250 technicians responded to more American disasters last year than most people will ever see in a lifetime. These are the people we're proud to work with."
[Image: restoration crew at work — no faces]
[Tag: @BELFORFranchiseGroup if available]</t>
        </is>
      </c>
    </row>
    <row r="58" ht="137.25" customHeight="1" s="435">
      <c r="A58" s="442" t="inlineStr">
        <is>
          <t>Post 3 — June 1
(Post-pilot data)</t>
        </is>
      </c>
      <c r="B58" s="436" t="inlineStr">
        <is>
          <t>"First cohort results: 20 franchise operators. 30 days. [X] jobs dispatched. [X] paid. Here's what they said."
[Fill in after Cohort 1 closes]
[Link to anonymized Cohort Report]</t>
        </is>
      </c>
    </row>
    <row r="59" ht="168" customHeight="1" s="435">
      <c r="A59" s="442" t="inlineStr">
        <is>
          <t>Post 4 — July 4</t>
        </is>
      </c>
      <c r="B59" s="436" t="inlineStr">
        <is>
          <t>"Happy 250th Birthday, America. To every technician, operator, and franchise owner keeping this country running — this one's for you."
[Image: Challenge coin both sides]
[Tag: @GPSInsight @america250]</t>
        </is>
      </c>
    </row>
    <row r="60" ht="231" customHeight="1" s="435">
      <c r="A60" s="442" t="inlineStr">
        <is>
          <t>Cadence &amp; Approach</t>
        </is>
      </c>
      <c r="B60" s="436" t="inlineStr">
        <is>
          <t>3 posts/week organic from Mike's personal LinkedIn. Always tag GPS Insight company page.
Engage with target accounts' posts 2 weeks BEFORE reaching out — warm the relationship first.
Phase 2 (July+): $500-1K/mo LinkedIn paid ads targeting franchise CEOs/CFOs/CTOs and PE operating partners.</t>
        </is>
      </c>
    </row>
    <row r="62" ht="39" customHeight="1" s="435">
      <c r="A62" s="429" t="inlineStr">
        <is>
          <t>📍  WHERE TO BE — America 250 Events &amp; Activations</t>
        </is>
      </c>
    </row>
    <row r="63" ht="210" customHeight="1" s="435">
      <c r="A63" s="442" t="inlineStr">
        <is>
          <t>July 4, 2026
National Event</t>
        </is>
      </c>
      <c r="B63" s="436" t="inlineStr">
        <is>
          <t>America's official 250th birthday. Largest synchronized 4th of July celebration in US history per america250.org.
Opportunity: Post the challenge coin + "Trades Built America" campaign on July 4. Peak patriotic social media moment. GPS Insight + ServiceBridge associated with the moment nationally.</t>
        </is>
      </c>
    </row>
    <row r="64" ht="252" customHeight="1" s="435">
      <c r="A64" s="442" t="inlineStr">
        <is>
          <t>SBA Freedom 250
Main Street Tour</t>
        </is>
      </c>
      <c r="B64" s="436" t="inlineStr">
        <is>
          <t>The Small Business Administration is hosting the Freedom 250 Main Street and Small Business Tour throughout 2026, uniting local industries around a shared commitment to America's future.
Opportunity: Pitch GPS Insight + ServiceBridge as the technology backbone of Main Street trades businesses. Potential co-branding with SBA Freedom 250 tour stops.</t>
        </is>
      </c>
    </row>
    <row r="65" ht="241.5" customHeight="1" s="435">
      <c r="A65" s="442" t="inlineStr">
        <is>
          <t>America 250
Licensing Program</t>
        </is>
      </c>
      <c r="B65" s="436" t="inlineStr">
        <is>
          <t>America250.org has an official licensing program for commercial use of the America 250 trademark and logo.
URL: america250.org
ACTION: Apply for license before using the official "250" ribbon logo on the challenge coin or any marketing material.
⚠️ Do NOT use the official America 250 mark without a license.</t>
        </is>
      </c>
    </row>
  </sheetData>
  <mergeCells count="31">
    <mergeCell ref="B39:P39"/>
    <mergeCell ref="B11:P11"/>
    <mergeCell ref="B48:P48"/>
    <mergeCell ref="B14:P14"/>
    <mergeCell ref="B8:P8"/>
    <mergeCell ref="B13:P13"/>
    <mergeCell ref="A43:P43"/>
    <mergeCell ref="B53:P53"/>
    <mergeCell ref="B44:P44"/>
    <mergeCell ref="A19:P19"/>
    <mergeCell ref="A10:P10"/>
    <mergeCell ref="B38:P38"/>
    <mergeCell ref="B40:P40"/>
    <mergeCell ref="B15:P15"/>
    <mergeCell ref="B6:P6"/>
    <mergeCell ref="B51:P51"/>
    <mergeCell ref="B20:P20"/>
    <mergeCell ref="A1:P1"/>
    <mergeCell ref="B5:P5"/>
    <mergeCell ref="B45:P45"/>
    <mergeCell ref="B41:P41"/>
    <mergeCell ref="B4:P4"/>
    <mergeCell ref="B7:P7"/>
    <mergeCell ref="B47:P47"/>
    <mergeCell ref="B16:P16"/>
    <mergeCell ref="A18:P18"/>
    <mergeCell ref="B46:P46"/>
    <mergeCell ref="A50:P50"/>
    <mergeCell ref="A3:P3"/>
    <mergeCell ref="B12:P12"/>
    <mergeCell ref="B52:P52"/>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I601"/>
  <sheetViews>
    <sheetView workbookViewId="0">
      <pane ySplit="4" topLeftCell="A5" activePane="bottomLeft" state="frozen"/>
      <selection pane="bottomLeft" activeCell="A1" sqref="A1"/>
    </sheetView>
  </sheetViews>
  <sheetFormatPr baseColWidth="8" defaultRowHeight="15"/>
  <cols>
    <col width="22" customWidth="1" style="435" min="1" max="1"/>
    <col width="11" customWidth="1" style="435" min="2" max="2"/>
    <col width="22" customWidth="1" style="435" min="3" max="3"/>
    <col width="24" customWidth="1" style="435" min="4" max="4"/>
    <col width="18" customWidth="1" style="435" min="5" max="5"/>
    <col width="50" customWidth="1" style="435" min="6" max="6"/>
    <col width="12" customWidth="1" style="435" min="7" max="7"/>
    <col width="30" customWidth="1" style="435" min="8" max="8"/>
    <col width="35" customWidth="1" style="435" min="9" max="9"/>
  </cols>
  <sheetData>
    <row r="1">
      <c r="A1" s="553" t="inlineStr">
        <is>
          <t>SIGNAL INTEL — Track 2 Contact Activity Monitor</t>
        </is>
      </c>
    </row>
    <row r="2">
      <c r="A2" s="522" t="inlineStr">
        <is>
          <t>Signals tracked: FSM/telematics/tech adoption · Insurance/GPO programs · Industry conferences &amp; speaking engagements · Education (warm-intro angle)</t>
        </is>
      </c>
    </row>
    <row r="4" ht="28" customHeight="1" s="435">
      <c r="A4" s="554" t="inlineStr">
        <is>
          <t>Brand</t>
        </is>
      </c>
      <c r="B4" s="554" t="inlineStr">
        <is>
          <t>Role</t>
        </is>
      </c>
      <c r="C4" s="554" t="inlineStr">
        <is>
          <t>Name</t>
        </is>
      </c>
      <c r="D4" s="554" t="inlineStr">
        <is>
          <t>Education</t>
        </is>
      </c>
      <c r="E4" s="554" t="inlineStr">
        <is>
          <t>Signal Type</t>
        </is>
      </c>
      <c r="F4" s="554" t="inlineStr">
        <is>
          <t>Signal Detail</t>
        </is>
      </c>
      <c r="G4" s="554" t="inlineStr">
        <is>
          <t>Date</t>
        </is>
      </c>
      <c r="H4" s="554" t="inlineStr">
        <is>
          <t>Source URL</t>
        </is>
      </c>
      <c r="I4" s="554" t="inlineStr">
        <is>
          <t>Outreach Angle</t>
        </is>
      </c>
    </row>
    <row r="5" ht="60" customHeight="1" s="435">
      <c r="A5" s="555" t="inlineStr">
        <is>
          <t>BELFOR FG</t>
        </is>
      </c>
      <c r="B5" s="555" t="inlineStr">
        <is>
          <t>SVP FD</t>
        </is>
      </c>
      <c r="C5" s="555" t="inlineStr">
        <is>
          <t>Doug Smith</t>
        </is>
      </c>
      <c r="D5" s="555" t="inlineStr">
        <is>
          <t>Connect via FranchiseU! podcast (U. of Louisville College of Business)</t>
        </is>
      </c>
      <c r="E5" s="555" t="inlineStr">
        <is>
          <t>Conference/Podcast</t>
        </is>
      </c>
      <c r="F5" s="555" t="inlineStr">
        <is>
          <t>Featured on FranchiseU! Episode 82 podcast hosted by University of Louisville College of Business — discussed BELFOR portfolio expansion (now 14 brands)</t>
        </is>
      </c>
      <c r="G5" s="555" t="inlineStr">
        <is>
          <t>2024</t>
        </is>
      </c>
      <c r="H5" s="555" t="inlineStr">
        <is>
          <t>business.louisville.edu/franchiseu-ep82-doug-smith/</t>
        </is>
      </c>
      <c r="I5" s="555" t="inlineStr">
        <is>
          <t>University of Louisville connection — referenced his podcast appearance as conversation starter; both Doug and Mike value academic connections</t>
        </is>
      </c>
    </row>
    <row r="6" ht="60" customHeight="1" s="435">
      <c r="A6" s="555" t="inlineStr">
        <is>
          <t>BELFOR FG</t>
        </is>
      </c>
      <c r="B6" s="555" t="inlineStr">
        <is>
          <t>SVP FD</t>
        </is>
      </c>
      <c r="C6" s="555" t="inlineStr">
        <is>
          <t>Doug Smith</t>
        </is>
      </c>
      <c r="D6" s="555" t="inlineStr">
        <is>
          <t>See above</t>
        </is>
      </c>
      <c r="E6" s="555" t="inlineStr">
        <is>
          <t>Industry Event</t>
        </is>
      </c>
      <c r="F6" s="555" t="inlineStr">
        <is>
          <t>BELFOR brands typically present at The Experience Convention &amp; Trade Show — leading restoration/cleaning industry event (Sept 3-5, 2025 was at Caesars Forum Las Vegas)</t>
        </is>
      </c>
      <c r="G6" s="555" t="inlineStr">
        <is>
          <t>2025</t>
        </is>
      </c>
      <c r="H6" s="555" t="inlineStr">
        <is>
          <t>randrmagonline.com</t>
        </is>
      </c>
      <c r="I6" s="555" t="inlineStr">
        <is>
          <t>Restoration industry event — BELFOR FG always has presence; opportunity to meet at booth in 2026</t>
        </is>
      </c>
    </row>
    <row r="7" ht="60" customHeight="1" s="435">
      <c r="A7" s="556" t="inlineStr">
        <is>
          <t>BELFOR FG</t>
        </is>
      </c>
      <c r="B7" s="556" t="inlineStr">
        <is>
          <t>VP FD</t>
        </is>
      </c>
      <c r="C7" s="556" t="inlineStr">
        <is>
          <t>Beth Toenies</t>
        </is>
      </c>
      <c r="D7" s="556" t="inlineStr">
        <is>
          <t>Asbury University (BA Journalism 2006, varsity tennis, graduated with honors)</t>
        </is>
      </c>
      <c r="E7" s="556" t="inlineStr">
        <is>
          <t>FSM/Tech Adoption</t>
        </is>
      </c>
      <c r="F7" s="556" t="inlineStr">
        <is>
          <t>Direct quote (Nov 2025): "BELFOR's emphasis on using smarter tools, building shared services programs and giving franchise owners everything they need to succeed will ensure its continued growth." — explicit FSM/tools investment signal</t>
        </is>
      </c>
      <c r="G7" s="556" t="inlineStr">
        <is>
          <t>Nov 7, 2025</t>
        </is>
      </c>
      <c r="H7" s="556" t="inlineStr">
        <is>
          <t>franchisewire.com/belfor-franchise-group-promotes-beth-toenies/</t>
        </is>
      </c>
      <c r="I7" s="556" t="inlineStr">
        <is>
          <t>STRONG SIGNAL: Direct quote about "smarter tools" and "shared services programs" — opens door to ServiceBridge FSM + GPO conversation. Reference Sheldon Yellen relationship-first culture.</t>
        </is>
      </c>
    </row>
    <row r="8" ht="60" customHeight="1" s="435">
      <c r="A8" s="555" t="inlineStr">
        <is>
          <t>BELFOR FG</t>
        </is>
      </c>
      <c r="B8" s="555" t="inlineStr">
        <is>
          <t>VP FD</t>
        </is>
      </c>
      <c r="C8" s="555" t="inlineStr">
        <is>
          <t>Beth Toenies</t>
        </is>
      </c>
      <c r="D8" s="555" t="inlineStr">
        <is>
          <t>See above</t>
        </is>
      </c>
      <c r="E8" s="555" t="inlineStr">
        <is>
          <t>Industry Event</t>
        </is>
      </c>
      <c r="F8" s="555" t="inlineStr">
        <is>
          <t>Attended Fire-Rescue International Conference 2023 in Kansas City (FRI2023) at 1-800-BOARDUP Booth #1826 — Sheldon Yellen gave keynote</t>
        </is>
      </c>
      <c r="G8" s="555" t="inlineStr">
        <is>
          <t>2023</t>
        </is>
      </c>
      <c r="H8" s="555" t="inlineStr">
        <is>
          <t>linkedin.com/posts/bethtoenies (Apr 2023)</t>
        </is>
      </c>
      <c r="I8" s="555" t="inlineStr">
        <is>
          <t>1-800-BOARDUP shows up at FRI annually — opportunity at 2026 FRI conference (typically mid-August)</t>
        </is>
      </c>
    </row>
    <row r="9" ht="60" customHeight="1" s="435">
      <c r="A9" s="555" t="inlineStr">
        <is>
          <t>BELFOR FG</t>
        </is>
      </c>
      <c r="B9" s="555" t="inlineStr">
        <is>
          <t>VP FD</t>
        </is>
      </c>
      <c r="C9" s="555" t="inlineStr">
        <is>
          <t>Beth Toenies</t>
        </is>
      </c>
      <c r="D9" s="555" t="inlineStr">
        <is>
          <t>See above</t>
        </is>
      </c>
      <c r="E9" s="555" t="inlineStr">
        <is>
          <t>Recognition/Promotion</t>
        </is>
      </c>
      <c r="F9" s="555" t="inlineStr">
        <is>
          <t>Promoted to VP FD Sept 9, 2025 (overseeing 1-800-BOARDUP, 1-800 WATER DAMAGE, Blue Kangaroo Packoutz, DUCTZ); 2025 Stevie Bronze Winner; 2025 Woman of Inspiration (Universal Womens Network, Toronto ceremony Nov 20, 2025)</t>
        </is>
      </c>
      <c r="G9" s="555" t="inlineStr">
        <is>
          <t>Sept 9, 2025</t>
        </is>
      </c>
      <c r="H9" s="555" t="inlineStr">
        <is>
          <t>prnewswire/IFA</t>
        </is>
      </c>
      <c r="I9" s="555" t="inlineStr">
        <is>
          <t>NEW ROLE = greenfield window — congratulate on promotion as opener; she's expanding scope from 1 brand to 4+ brands across BELFOR FG = perfect timing for cross-brand FSM standardization conversation</t>
        </is>
      </c>
    </row>
    <row r="10">
      <c r="A10" s="557" t="inlineStr">
        <is>
          <t>═══ NEIGHBORLY (P1 — PE-GATED — KKR-backed) ═══</t>
        </is>
      </c>
    </row>
    <row r="11" ht="75" customHeight="1" s="435">
      <c r="A11" s="555" t="inlineStr">
        <is>
          <t>Neighborly Corp</t>
        </is>
      </c>
      <c r="B11" s="555" t="inlineStr">
        <is>
          <t>CEO</t>
        </is>
      </c>
      <c r="C11" s="555" t="inlineStr">
        <is>
          <t>Mike Davis</t>
        </is>
      </c>
      <c r="D11" s="555" t="inlineStr">
        <is>
          <t>(LinkedIn vanity URL: mcardavis — likely USC/UCLA based on LA history at UMG/Mathnasium; pending verification)</t>
        </is>
      </c>
      <c r="E11" s="555" t="inlineStr">
        <is>
          <t>Industry Event</t>
        </is>
      </c>
      <c r="F11" s="555" t="inlineStr">
        <is>
          <t>Spoke at Neighborly's 43rd Reunion to thousands of franchise owners; quoted: "We don't decide our future; we decide our habits, and our habits decide our future." Hosted Jesse Itzler at recent Top Gun owners summit (140 high-performers).</t>
        </is>
      </c>
      <c r="G11" s="555" t="inlineStr">
        <is>
          <t>2024-2025</t>
        </is>
      </c>
      <c r="H11" s="555" t="inlineStr">
        <is>
          <t>linkedin.com/in/mcardavis</t>
        </is>
      </c>
      <c r="I11" s="555" t="inlineStr">
        <is>
          <t>Mentions habits/excellence theme — could pair with Mike's quoted philosophy. 13 years at UMG (music) before franchising; uses "growing believers" language</t>
        </is>
      </c>
    </row>
    <row r="12" ht="75" customHeight="1" s="435">
      <c r="A12" s="556" t="inlineStr">
        <is>
          <t>Neighborly Corp</t>
        </is>
      </c>
      <c r="B12" s="556" t="inlineStr">
        <is>
          <t>CEO</t>
        </is>
      </c>
      <c r="C12" s="556" t="inlineStr">
        <is>
          <t>Mike Davis</t>
        </is>
      </c>
      <c r="D12" s="556" t="inlineStr">
        <is>
          <t>See above</t>
        </is>
      </c>
      <c r="E12" s="556" t="inlineStr">
        <is>
          <t>FSM/Tech Adoption</t>
        </is>
      </c>
      <c r="F12" s="556" t="inlineStr">
        <is>
          <t>KKR Board member Felix Gernburd publicly stated Davis would lead "the digital transformation in progress aimed to elevate Neighborly as a trusted provider to customers and an attractive investment for prospective franchise owners." Davis quoted: "So much of being amazing with consumers in today's world is rooted in technology"</t>
        </is>
      </c>
      <c r="G12" s="556" t="inlineStr">
        <is>
          <t>July 2024</t>
        </is>
      </c>
      <c r="H12" s="556" t="inlineStr">
        <is>
          <t>prnewswire.com (June 24, 2024)</t>
        </is>
      </c>
      <c r="I12" s="556" t="inlineStr">
        <is>
          <t>STRONG SIGNAL: PE side (KKR/Felix Gernburd) explicitly framing digital transformation as core value-creation thesis. Davis quoted on tech-rooted consumer engagement. Direct opening for ServiceBridge platform pitch.</t>
        </is>
      </c>
    </row>
    <row r="13" ht="75" customHeight="1" s="435">
      <c r="A13" s="556" t="inlineStr">
        <is>
          <t>Neighborly Corp</t>
        </is>
      </c>
      <c r="B13" s="556" t="inlineStr">
        <is>
          <t>CIO</t>
        </is>
      </c>
      <c r="C13" s="556" t="inlineStr">
        <is>
          <t>Gagan Sinha</t>
        </is>
      </c>
      <c r="D13" s="556" t="inlineStr">
        <is>
          <t>Harvard University (M.S. Management 2011-2013); Visvesvaraya Technological University (BS Computer Engineering)</t>
        </is>
      </c>
      <c r="E13" s="556" t="inlineStr">
        <is>
          <t>FSM/Tech Adoption</t>
        </is>
      </c>
      <c r="F13" s="556" t="inlineStr">
        <is>
          <t>STRONGEST signal in entire dataset. Direct quote on joining: "shift from primarily building systems in-house to ADOPTING AND INTEGRATING BEST-IN-CLASS PLATFORMS, allowing the organization to move faster and smarter." LinkedIn post Sept 2025: "30+ brands, 5,500+ franchise locations, surpassing $4.1B systemwide sales... technology will be at the heart of taking it even further."</t>
        </is>
      </c>
      <c r="G13" s="556" t="inlineStr">
        <is>
          <t>Sept 15, 2025</t>
        </is>
      </c>
      <c r="H13" s="556" t="inlineStr">
        <is>
          <t>neighborlybrands.com / linkedin.com/in/gagansinha</t>
        </is>
      </c>
      <c r="I13" s="556" t="inlineStr">
        <is>
          <t>🎯 PRIMARY TARGET. Gagan was at Bloomin' Brands (Outback/Carrabba's), Inspire Brands (Dunkin/Arby's/SONIC), Dunkin'. Explicitly looking for best-in-class platforms instead of building. ServiceBridge native FSM = perfect fit. 6 months in role = roadmap-setting moment. Atlanta-based.</t>
        </is>
      </c>
    </row>
    <row r="14" ht="75" customHeight="1" s="435">
      <c r="A14" s="555" t="inlineStr">
        <is>
          <t>Neighborly Corp</t>
        </is>
      </c>
      <c r="B14" s="555" t="inlineStr">
        <is>
          <t>CIO</t>
        </is>
      </c>
      <c r="C14" s="555" t="inlineStr">
        <is>
          <t>Gagan Sinha</t>
        </is>
      </c>
      <c r="D14" s="555" t="inlineStr">
        <is>
          <t>See above</t>
        </is>
      </c>
      <c r="E14" s="555" t="inlineStr">
        <is>
          <t>Industry Event</t>
        </is>
      </c>
      <c r="F14" s="555" t="inlineStr">
        <is>
          <t>Attended Neighborly Reunion 2025 in Nashville; recently traveled to UK and Germany visiting Rainbow Sanierungen owner — international expansion focus</t>
        </is>
      </c>
      <c r="G14" s="555" t="inlineStr">
        <is>
          <t>Oct-Nov 2025</t>
        </is>
      </c>
      <c r="H14" s="555" t="inlineStr">
        <is>
          <t>linkedin.com/in/gagansinha</t>
        </is>
      </c>
      <c r="I14" s="555" t="inlineStr">
        <is>
          <t>Nashville Reunion attendance + international travel = active in field; also working with India GCC team; conference presence high</t>
        </is>
      </c>
    </row>
    <row r="15" ht="75" customHeight="1" s="435">
      <c r="A15" s="555" t="inlineStr">
        <is>
          <t>Neighborly Corp</t>
        </is>
      </c>
      <c r="B15" s="555" t="inlineStr">
        <is>
          <t>CDO</t>
        </is>
      </c>
      <c r="C15" s="555" t="inlineStr">
        <is>
          <t>Brad Stevenson</t>
        </is>
      </c>
      <c r="D15" s="555" t="inlineStr">
        <is>
          <t>Texas A&amp;M University (BS Kinesiology, 1991-1996, College Station)</t>
        </is>
      </c>
      <c r="E15" s="555" t="inlineStr">
        <is>
          <t>Industry Event</t>
        </is>
      </c>
      <c r="F15" s="555" t="inlineStr">
        <is>
          <t>Speaking at Franchise Update Media and IFA Leadership Conference (Atlanta) on advisory board. 2025 Top 100 Global Influencers in Franchising. Board member of Titus Center for Franchising.</t>
        </is>
      </c>
      <c r="G15" s="555" t="inlineStr">
        <is>
          <t>2025</t>
        </is>
      </c>
      <c r="H15" s="555" t="inlineStr">
        <is>
          <t>linkedin.com/in/brad-stevenson-537387a/</t>
        </is>
      </c>
      <c r="I15" s="555" t="inlineStr">
        <is>
          <t>Texas A&amp;M alum — STRONG warm intro angle. Active IFA advocate. Frisco TX-based. Founding member of Military Thriving Action Coalition with ZeroMils — Mike's GTM consulting could resonate (BELFOR's Beth Toenies is also military spouse).</t>
        </is>
      </c>
    </row>
    <row r="16" ht="75" customHeight="1" s="435">
      <c r="A16" s="555" t="inlineStr">
        <is>
          <t>Neighborly Corp</t>
        </is>
      </c>
      <c r="B16" s="555" t="inlineStr">
        <is>
          <t>CDO</t>
        </is>
      </c>
      <c r="C16" s="555" t="inlineStr">
        <is>
          <t>Brad Stevenson</t>
        </is>
      </c>
      <c r="D16" s="555" t="inlineStr">
        <is>
          <t>See above</t>
        </is>
      </c>
      <c r="E16" s="555" t="inlineStr">
        <is>
          <t>PE/Tech Quote</t>
        </is>
      </c>
      <c r="F16" s="555" t="inlineStr">
        <is>
          <t>Direct LinkedIn post: "As the Chief Development Officer at Neighborly, I've witnessed firsthand the profound impact of private equity on the [franchise model]"</t>
        </is>
      </c>
      <c r="G16" s="555" t="inlineStr">
        <is>
          <t>2024</t>
        </is>
      </c>
      <c r="H16" s="555" t="inlineStr">
        <is>
          <t>linkedin.com/in/brad-stevenson-537387a/</t>
        </is>
      </c>
      <c r="I16" s="555" t="inlineStr">
        <is>
          <t>Talks PE openly — receptive to investment-thesis framing, exit math conversations</t>
        </is>
      </c>
    </row>
    <row r="17" ht="70" customHeight="1" s="435">
      <c r="A17" s="555" t="inlineStr">
        <is>
          <t>Neighborly Corp</t>
        </is>
      </c>
      <c r="B17" s="555" t="inlineStr">
        <is>
          <t>CMO</t>
        </is>
      </c>
      <c r="C17" s="555" t="inlineStr">
        <is>
          <t>Stacy Lynn Bourgeois</t>
        </is>
      </c>
      <c r="D17" s="555" t="inlineStr">
        <is>
          <t>Northwestern University (M.S. Integrated Marketing 2009-2010); Florida State University (BA Communications)</t>
        </is>
      </c>
      <c r="E17" s="555" t="inlineStr">
        <is>
          <t>FSM/Tech Adoption</t>
        </is>
      </c>
      <c r="F17" s="555" t="inlineStr">
        <is>
          <t>LinkedIn post Feb 2026: "AI is upending search as we know it, and brand and demand are now false delineations. Our space is changing in real time, and to adapt (or create a masterpiece), we must use both art and science." Member of Google CMO Advisory Council.</t>
        </is>
      </c>
      <c r="G17" s="555" t="inlineStr">
        <is>
          <t>Feb 2026</t>
        </is>
      </c>
      <c r="H17" s="555" t="inlineStr">
        <is>
          <t>linkedin.com/in/stacylynnbourgeois/</t>
        </is>
      </c>
      <c r="I17" s="555" t="inlineStr">
        <is>
          <t>Marketing tech stack experience (implemented new tech stack at Pizza Hut). Dallas-based. Talks tech adoption / AI / data science directly. Recent Cancun Leadership Summit attendee.</t>
        </is>
      </c>
    </row>
    <row r="18" ht="70" customHeight="1" s="435">
      <c r="A18" s="555" t="inlineStr">
        <is>
          <t>Neighborly Corp</t>
        </is>
      </c>
      <c r="B18" s="555" t="inlineStr">
        <is>
          <t>CMO</t>
        </is>
      </c>
      <c r="C18" s="555" t="inlineStr">
        <is>
          <t>Stacy Lynn Bourgeois</t>
        </is>
      </c>
      <c r="D18" s="555" t="inlineStr">
        <is>
          <t>See above</t>
        </is>
      </c>
      <c r="E18" s="555" t="inlineStr">
        <is>
          <t>Industry Event</t>
        </is>
      </c>
      <c r="F18" s="555" t="inlineStr">
        <is>
          <t>Just attended Neighborly Leadership Summit in Cancun (early 2026) with Jesse Itzler keynote. Also attended Google CMO Advisory Council event recently. Captured 3 takeaways on time as currency.</t>
        </is>
      </c>
      <c r="G18" s="555" t="inlineStr">
        <is>
          <t>Early 2026</t>
        </is>
      </c>
      <c r="H18" s="555" t="inlineStr">
        <is>
          <t>linkedin.com/in/stacylynnbourgeois/</t>
        </is>
      </c>
      <c r="I18" s="555" t="inlineStr">
        <is>
          <t>Active conference attendee. Cancun summit included Mike Davis + top owners — would have heard owner feedback on tools/tech firsthand</t>
        </is>
      </c>
    </row>
    <row r="19" ht="70" customHeight="1" s="435">
      <c r="A19" s="555" t="inlineStr">
        <is>
          <t>Neighborly Corp</t>
        </is>
      </c>
      <c r="B19" s="555" t="inlineStr">
        <is>
          <t>CFO</t>
        </is>
      </c>
      <c r="C19" s="555" t="inlineStr">
        <is>
          <t>Ben Lamb</t>
        </is>
      </c>
      <c r="D19" s="555" t="inlineStr">
        <is>
          <t>Baylor University (BBA in Finance, Economics, International Business)</t>
        </is>
      </c>
      <c r="E19" s="555" t="inlineStr">
        <is>
          <t>PE/Capital</t>
        </is>
      </c>
      <c r="F19" s="555" t="inlineStr">
        <is>
          <t>NEW HIRE May 19, 2025. Previously CFO at EnLink Midstream — managed $12B capital structure, led transformative acquisitions. Background in investment banking at Greenhill &amp; Co., UBS, Merrill Lynch advising on M&amp;A and capital markets.</t>
        </is>
      </c>
      <c r="G19" s="555" t="inlineStr">
        <is>
          <t>May 19, 2025</t>
        </is>
      </c>
      <c r="H19" s="555" t="inlineStr">
        <is>
          <t>neighborlybrands.com</t>
        </is>
      </c>
      <c r="I19" s="555" t="inlineStr">
        <is>
          <t>Built for PE-backed growth. Direct experience with M&amp;A and capital structures. CFO sweet-spot for ROI and capital-efficiency conversations. Irving TX-based. Reports to Mike Davis.</t>
        </is>
      </c>
    </row>
    <row r="20" ht="70" customHeight="1" s="435">
      <c r="A20" s="555" t="inlineStr">
        <is>
          <t>Neighborly Corp</t>
        </is>
      </c>
      <c r="B20" s="555" t="inlineStr">
        <is>
          <t>Group Pres - Specialty</t>
        </is>
      </c>
      <c r="C20" s="555" t="inlineStr">
        <is>
          <t>Matt Crowley</t>
        </is>
      </c>
      <c r="D20" s="555" t="inlineStr">
        <is>
          <t>USC Marshall School of Business (MBA Marketing &amp; Venture Management)</t>
        </is>
      </c>
      <c r="E20" s="555" t="inlineStr">
        <is>
          <t>Industry Event</t>
        </is>
      </c>
      <c r="F20" s="555" t="inlineStr">
        <is>
          <t>Attended Neighborly Reunion 2025 in Nashville. Visited Mr. Rooter Plumbing in Colorado and Portland Glass in Maine recently. Wrote about Reunion keynotes by Shep Hyken (10% more), Brittany Hodak (Super Fans), Jesse Cole (Savannah Bananas).</t>
        </is>
      </c>
      <c r="G20" s="555" t="inlineStr">
        <is>
          <t>Nov 2025</t>
        </is>
      </c>
      <c r="H20" s="555" t="inlineStr">
        <is>
          <t>linkedin.com/in/crowley-matt/</t>
        </is>
      </c>
      <c r="I20" s="555" t="inlineStr">
        <is>
          <t>USC alum. Oversees Portland Glass, Mr. Rooter Plumbing corp-owned, Lawn Pride, ShelfGenie, HouseMaster, Real Property Management. Yorba Linda CA based. Direct Valpak background — knows Mike Davis well from prior life.</t>
        </is>
      </c>
    </row>
    <row r="21" ht="70" customHeight="1" s="435">
      <c r="A21" s="555" t="inlineStr">
        <is>
          <t>Lawn Pride</t>
        </is>
      </c>
      <c r="B21" s="555" t="inlineStr">
        <is>
          <t>Brand Pres</t>
        </is>
      </c>
      <c r="C21" s="555" t="inlineStr">
        <is>
          <t>Susan McIntosh</t>
        </is>
      </c>
      <c r="D21" s="555" t="inlineStr">
        <is>
          <t>Cardinal Ritter High School (Indianapolis); ~30 years at Lawn Pride starting from landscape crew</t>
        </is>
      </c>
      <c r="E21" s="555" t="inlineStr">
        <is>
          <t>PE/Growth</t>
        </is>
      </c>
      <c r="F21" s="555" t="inlineStr">
        <is>
          <t>Quote July 2025: "The recurring revenue and high retention rates make this a compelling investment." Lawn Pride growth accelerated since joining Neighborly in 2022 — gained access to top-tier training, technology and marketing support.</t>
        </is>
      </c>
      <c r="G21" s="555" t="inlineStr">
        <is>
          <t>July 2025</t>
        </is>
      </c>
      <c r="H21" s="555" t="inlineStr">
        <is>
          <t>franchisewire.com (July 17, 2025)</t>
        </is>
      </c>
      <c r="I21" s="555" t="inlineStr">
        <is>
          <t>Indianapolis-based. Came up through every level. Talks growth/PE language naturally. Lawn Pride expected to reach $207.9B by 2030 (IBISWorld) — hot category. Recent participation in Lawn Pride Summit training session focused on 2026 business performance.</t>
        </is>
      </c>
    </row>
    <row r="22" ht="70" customHeight="1" s="435">
      <c r="A22" s="556" t="inlineStr">
        <is>
          <t>Molly Maid</t>
        </is>
      </c>
      <c r="B22" s="556" t="inlineStr">
        <is>
          <t>Brand Pres</t>
        </is>
      </c>
      <c r="C22" s="556" t="inlineStr">
        <is>
          <t>Michael Silva-Nash</t>
        </is>
      </c>
      <c r="D22" s="556" t="inlineStr">
        <is>
          <t>Started in family Molly Maid franchise in N. Little Rock at age 21; CFE designation</t>
        </is>
      </c>
      <c r="E22" s="556" t="inlineStr">
        <is>
          <t>FSM/Tech Adoption</t>
        </is>
      </c>
      <c r="F22" s="556" t="inlineStr">
        <is>
          <t>STRONG SIGNAL. Bio states he "spearheaded the launch of AI SMS Lead Management and other cognitive intelligence tools to strengthen lead conversion and operational efficiency across the brand." Former franchisee of the year (Molly Maid of Greater Little Rock 2017).</t>
        </is>
      </c>
      <c r="G22" s="556" t="inlineStr">
        <is>
          <t>2024-2025</t>
        </is>
      </c>
      <c r="H22" s="556" t="inlineStr">
        <is>
          <t>neighborlybrands.com/leadership</t>
        </is>
      </c>
      <c r="I22" s="556" t="inlineStr">
        <is>
          <t>Already implementing AI tools. Receptive to tech adoption discussions. Bilingual. Personal franchisee origin = empathy for owner pain points. Maumelle/Little Rock AR base.</t>
        </is>
      </c>
    </row>
    <row r="23" ht="70" customHeight="1" s="435">
      <c r="A23" s="555" t="inlineStr">
        <is>
          <t>Molly Maid</t>
        </is>
      </c>
      <c r="B23" s="555" t="inlineStr">
        <is>
          <t>Brand Pres</t>
        </is>
      </c>
      <c r="C23" s="555" t="inlineStr">
        <is>
          <t>Michael Silva-Nash</t>
        </is>
      </c>
      <c r="D23" s="555" t="inlineStr">
        <is>
          <t>See above</t>
        </is>
      </c>
      <c r="E23" s="555" t="inlineStr">
        <is>
          <t>Recognition</t>
        </is>
      </c>
      <c r="F23" s="555" t="inlineStr">
        <is>
          <t>Quote Apr 2026: "A clean home is expected, but how you get there is what builds loyalty." Launched "A Friend Like Molly" campaign April 2026. CFE designation.</t>
        </is>
      </c>
      <c r="G23" s="555" t="inlineStr">
        <is>
          <t>Apr 10, 2026</t>
        </is>
      </c>
      <c r="H23" s="555" t="inlineStr">
        <is>
          <t>franchisedictionarymagazine.com</t>
        </is>
      </c>
      <c r="I23" s="555" t="inlineStr">
        <is>
          <t>Recent campaign launch = active brand-building mode. Quote about "how you get there" — operations focus pairs with FSM pitch</t>
        </is>
      </c>
    </row>
    <row r="24" ht="70" customHeight="1" s="435">
      <c r="A24" s="555" t="inlineStr">
        <is>
          <t>Mr. Handyman</t>
        </is>
      </c>
      <c r="B24" s="555" t="inlineStr">
        <is>
          <t>Brand Pres</t>
        </is>
      </c>
      <c r="C24" s="555" t="inlineStr">
        <is>
          <t>Brian Meussner</t>
        </is>
      </c>
      <c r="D24" s="555" t="inlineStr">
        <is>
          <t>Central Michigan University (1999-2002)</t>
        </is>
      </c>
      <c r="E24" s="555" t="inlineStr">
        <is>
          <t>New Role</t>
        </is>
      </c>
      <c r="F24" s="555" t="inlineStr">
        <is>
          <t>Named Brand President January 2026 (just months ago). Previously VP of Operations at Mr. Handyman starting 2023. Hospitality industry background prior. 9 consecutive years on Entrepreneur Franchise 500. Spoke at Neighborly Reunion 2025 with Jon Gallagher (main stage).</t>
        </is>
      </c>
      <c r="G24" s="555" t="inlineStr">
        <is>
          <t>Jan 2026</t>
        </is>
      </c>
      <c r="H24" s="555" t="inlineStr">
        <is>
          <t>neighborlybrands.com/leadership</t>
        </is>
      </c>
      <c r="I24" s="555" t="inlineStr">
        <is>
          <t>Brand new role = roadmap-setting moment. Detroit MI based. Active speaking presence. Roadmap-setting = greenfield FSM conversation window.</t>
        </is>
      </c>
    </row>
    <row r="25" ht="70" customHeight="1" s="435">
      <c r="A25" s="555" t="inlineStr">
        <is>
          <t>Aire Serv</t>
        </is>
      </c>
      <c r="B25" s="555" t="inlineStr">
        <is>
          <t>Brand Pres (transition)</t>
        </is>
      </c>
      <c r="C25" s="555" t="inlineStr">
        <is>
          <t>Brad Roberson</t>
        </is>
      </c>
      <c r="D25" s="555" t="inlineStr">
        <is>
          <t>Background: Glass Doctor franchisee in Brookhaven, MS since 2003</t>
        </is>
      </c>
      <c r="E25" s="555" t="inlineStr">
        <is>
          <t>Career Change</t>
        </is>
      </c>
      <c r="F25" s="555" t="inlineStr">
        <is>
          <t>IMPORTANT: Just announced Jan 2026 — leaving Aire Serv to become President &amp; CEO at Fastest Labs! Was Aire Serv President since 2023, before that Glass Doctor President since 2019.</t>
        </is>
      </c>
      <c r="G25" s="555" t="inlineStr">
        <is>
          <t>Jan 2026</t>
        </is>
      </c>
      <c r="H25" s="555" t="inlineStr">
        <is>
          <t>linkedin.com/in/brad-roberson-1871a72b/</t>
        </is>
      </c>
      <c r="I25" s="555" t="inlineStr">
        <is>
          <t>Transition signal — Aire Serv has new President (Jay Jimenez announced 2 weeks ago). Brad is now at Fastest Labs (different brand opportunity).</t>
        </is>
      </c>
    </row>
    <row r="26" ht="70" customHeight="1" s="435">
      <c r="A26" s="555" t="inlineStr">
        <is>
          <t>Aire Serv</t>
        </is>
      </c>
      <c r="B26" s="555" t="inlineStr">
        <is>
          <t>Brand Pres</t>
        </is>
      </c>
      <c r="C26" s="555" t="inlineStr">
        <is>
          <t>Jay Jimenez</t>
        </is>
      </c>
      <c r="D26" s="555" t="inlineStr">
        <is>
          <t>Pending verification</t>
        </is>
      </c>
      <c r="E26" s="555" t="inlineStr">
        <is>
          <t>New Role</t>
        </is>
      </c>
      <c r="F26" s="555" t="inlineStr">
        <is>
          <t>NEWLY ANNOUNCED ~2 weeks ago: Joining Neighborly as President of Aire Serv. Described as "proven operator with deep experience building performance across multi-state service and HVAC businesses."</t>
        </is>
      </c>
      <c r="G26" s="555" t="inlineStr">
        <is>
          <t>~Apr 2026</t>
        </is>
      </c>
      <c r="H26" s="555" t="inlineStr">
        <is>
          <t>linkedin.com/posts/neighborly (Activity 7450905954415677440)</t>
        </is>
      </c>
      <c r="I26" s="555" t="inlineStr">
        <is>
          <t>Brand new role + HVAC/multi-state operator background = perfect FSM conversation moment. Roadmap-setting.</t>
        </is>
      </c>
    </row>
    <row r="27" ht="65" customHeight="1" s="435">
      <c r="A27" s="555" t="inlineStr">
        <is>
          <t>Mr. Electric</t>
        </is>
      </c>
      <c r="B27" s="555" t="inlineStr">
        <is>
          <t>Brand Pres</t>
        </is>
      </c>
      <c r="C27" s="555" t="inlineStr">
        <is>
          <t>Josh McCormick</t>
        </is>
      </c>
      <c r="D27" s="555" t="inlineStr">
        <is>
          <t>Baylor University (BBA Management 1999-2002)</t>
        </is>
      </c>
      <c r="E27" s="555" t="inlineStr">
        <is>
          <t>New Role</t>
        </is>
      </c>
      <c r="F27" s="555" t="inlineStr">
        <is>
          <t>Named Mr. Electric Brand President in August 2025 (~9 months ago). Previously HouseMaster President 2021-2025, before that VP of Operations at Mr. Electric. 18+ years at Neighborly. Recent LinkedIn post Nov 2025: "In Galveston with Mr. Electric's longest-running peer group—10 years strong." Brought team to Neighborly Reunion 2025 Nashville.</t>
        </is>
      </c>
      <c r="G27" s="555" t="inlineStr">
        <is>
          <t>Aug 2025</t>
        </is>
      </c>
      <c r="H27" s="555" t="inlineStr">
        <is>
          <t>linkedin.com/in/joshmccormickneighborly/</t>
        </is>
      </c>
      <c r="I27" s="555" t="inlineStr">
        <is>
          <t>Baylor alum (matches Ben Lamb CFO). Recent role transition (~9 months) = roadmap-setting moment. Active in peer-group culture.</t>
        </is>
      </c>
    </row>
    <row r="28" ht="65" customHeight="1" s="435">
      <c r="A28" s="555" t="inlineStr">
        <is>
          <t>Mr. Appliance</t>
        </is>
      </c>
      <c r="B28" s="555" t="inlineStr">
        <is>
          <t>Brand Pres</t>
        </is>
      </c>
      <c r="C28" s="555" t="inlineStr">
        <is>
          <t>Glenn Lewis</t>
        </is>
      </c>
      <c r="D28" s="555" t="inlineStr">
        <is>
          <t>Baylor University (1982-1985); CFE designation</t>
        </is>
      </c>
      <c r="E28" s="555" t="inlineStr">
        <is>
          <t>New Role</t>
        </is>
      </c>
      <c r="F28" s="555" t="inlineStr">
        <is>
          <t>Named Mr. Appliance President in May 2024. CFE-designated. Joined Neighborly 2013, history with Mr. Electric and Dwyer Service Solutions. Featured at Mr. Appliance 2023 Reunion as keynote speaker.</t>
        </is>
      </c>
      <c r="G28" s="555" t="inlineStr">
        <is>
          <t>May 2024</t>
        </is>
      </c>
      <c r="H28" s="555" t="inlineStr">
        <is>
          <t>linkedin.com/in/glenn-lewis-cfe-28347913/</t>
        </is>
      </c>
      <c r="I28" s="555" t="inlineStr">
        <is>
          <t>Baylor alum (3rd Baylor connection at Neighborly!). Long history with brand. Waco-based. Engaged in industry training/peer events.</t>
        </is>
      </c>
    </row>
    <row r="29" ht="65" customHeight="1" s="435">
      <c r="A29" s="555" t="inlineStr">
        <is>
          <t>Precision Garage Door</t>
        </is>
      </c>
      <c r="B29" s="555" t="inlineStr">
        <is>
          <t>Brand Pres</t>
        </is>
      </c>
      <c r="C29" s="555" t="inlineStr">
        <is>
          <t>Mike Brickner</t>
        </is>
      </c>
      <c r="D29" s="555" t="inlineStr">
        <is>
          <t>Columbia College (Bachelor's)</t>
        </is>
      </c>
      <c r="E29" s="555" t="inlineStr">
        <is>
          <t>Industry Event</t>
        </is>
      </c>
      <c r="F29" s="555" t="inlineStr">
        <is>
          <t>Active at IFA conferences (e.g., IFA 2022 San Diego). At Precision since 2011 (pre-acquisition). Quote Aug 2025: "Garage doors are more than just a functional part of the home, they can serve as an expression of a homeowner's unique personality." Notable: Previously was Director of 911 Center, Judicial Process and Accreditation at Brevard County Sheriff's Office.</t>
        </is>
      </c>
      <c r="G29" s="555" t="inlineStr">
        <is>
          <t>2022-2025</t>
        </is>
      </c>
      <c r="H29" s="555" t="inlineStr">
        <is>
          <t>linkedin.com/in/michael-brickner-24984682/</t>
        </is>
      </c>
      <c r="I29" s="555" t="inlineStr">
        <is>
          <t>911 Center operations background = fascinating systems mind. Titusville FL based. Pre-acquisition operator (joined as part of Precision's 2020 sale to Neighborly). Talks tech/innovation in IFA context.</t>
        </is>
      </c>
    </row>
    <row r="30" ht="65" customHeight="1" s="435">
      <c r="A30" s="555" t="inlineStr">
        <is>
          <t>Neighborly Corp</t>
        </is>
      </c>
      <c r="B30" s="555" t="inlineStr">
        <is>
          <t>Group Pres - Repair</t>
        </is>
      </c>
      <c r="C30" s="555" t="inlineStr">
        <is>
          <t>Jason Himber</t>
        </is>
      </c>
      <c r="D30" s="555" t="inlineStr">
        <is>
          <t>Pending verification</t>
        </is>
      </c>
      <c r="E30" s="555" t="inlineStr">
        <is>
          <t>New Role</t>
        </is>
      </c>
      <c r="F30" s="555" t="inlineStr">
        <is>
          <t>Recently joined as Group President - Repair (oversees Aire Serv, Glass Doctor, Mr. Electric, Mr. Handyman, Mr. Rooter, Precision Garage Door, Rainbow Restoration). Most recently CEO of MINA Group (restaurants) — led $50M revenue growth and $7M EBITDA increase. Spoke about "modernizing operations and technology systems."</t>
        </is>
      </c>
      <c r="G30" s="555" t="inlineStr">
        <is>
          <t>Recent (2025)</t>
        </is>
      </c>
      <c r="H30" s="555" t="inlineStr">
        <is>
          <t>neighborlybrands.com/leadership</t>
        </is>
      </c>
      <c r="I30" s="555" t="inlineStr">
        <is>
          <t>MINA Group CEO experience modernizing tech systems = direct FSM relevance. Oversees 7 of the most FSM-intensive brand categories. Roadmap-setting.</t>
        </is>
      </c>
    </row>
    <row r="31" ht="65" customHeight="1" s="435">
      <c r="A31" s="555" t="inlineStr">
        <is>
          <t>Neighborly Corp</t>
        </is>
      </c>
      <c r="B31" s="555" t="inlineStr">
        <is>
          <t>Group Pres - Maintain</t>
        </is>
      </c>
      <c r="C31" s="555" t="inlineStr">
        <is>
          <t>Georgeanne Erickson</t>
        </is>
      </c>
      <c r="D31" s="555" t="inlineStr">
        <is>
          <t>Pending verification</t>
        </is>
      </c>
      <c r="E31" s="555" t="inlineStr">
        <is>
          <t>New Role</t>
        </is>
      </c>
      <c r="F31" s="555" t="inlineStr">
        <is>
          <t>New Group President - Maintain (oversees Grounds Guys, Five Star Painting, Mr. Appliance, Mosquito Joe, Molly Maid, Dryer Vent Wizard, Junk King, Window Genie). Previously CMO at Fogo de Chão — led brand evolution and "launch of a new loyalty platform and expanded menu architecture."</t>
        </is>
      </c>
      <c r="G31" s="555" t="inlineStr">
        <is>
          <t>Recent (2025)</t>
        </is>
      </c>
      <c r="H31" s="555" t="inlineStr">
        <is>
          <t>neighborlybrands.com/leadership</t>
        </is>
      </c>
      <c r="I31" s="555" t="inlineStr">
        <is>
          <t>Loyalty platform launch experience = customer tech adoption signal. 8 brands across cleaning/lawn/painting/maintenance categories</t>
        </is>
      </c>
    </row>
    <row r="32">
      <c r="A32" s="557" t="inlineStr">
        <is>
          <t>═══ AUTHORITY BRANDS (P1 — DISPLACEMENT-READY — Apax-backed, ServiceTitan partnership) ═══</t>
        </is>
      </c>
    </row>
    <row r="33" ht="75" customHeight="1" s="435">
      <c r="A33" s="556" t="inlineStr">
        <is>
          <t>Authority Corp</t>
        </is>
      </c>
      <c r="B33" s="556" t="inlineStr">
        <is>
          <t>CEO</t>
        </is>
      </c>
      <c r="C33" s="556" t="inlineStr">
        <is>
          <t>Jay Caiafa</t>
        </is>
      </c>
      <c r="D33" s="556" t="inlineStr">
        <is>
          <t>United States Air Force Academy (USAFA, Captain rank); Duke University School of Law (JD); Duke Fuqua School of Business (MBA)</t>
        </is>
      </c>
      <c r="E33" s="556" t="inlineStr">
        <is>
          <t>FSM/Tech Adoption</t>
        </is>
      </c>
      <c r="F33" s="556" t="inlineStr">
        <is>
          <t>STRONGEST signal in Authority dataset. Prior IHG bio: "drove innovation through data and AI, and spearheaded transformations that improved operational efficiency" across 4,600 hotels in 26 countries. Joined Aug 18, 2025 (~9 months in role). Authority quote: "I look forward to working with the team, franchisees and our partners to build on these strong foundations to unlock future growth."</t>
        </is>
      </c>
      <c r="G33" s="556" t="inlineStr">
        <is>
          <t>Aug 18, 2025</t>
        </is>
      </c>
      <c r="H33" s="556" t="inlineStr">
        <is>
          <t>authoritybrands.com/leadership</t>
        </is>
      </c>
      <c r="I33" s="556" t="inlineStr">
        <is>
          <t>🎯 PRIMARY TARGET. Decorated USAFA pilot (military hook for Mike). Duke JD/MBA. Atlanta-based. IHG data/AI experience = direct FSM platform receptivity. New CEO + roadmap-setting moment + Apax PE pressure = perfect timing window. Wife Meredith, three sons (Enzo, Lincoln, Soren), Great Dane "Typo".</t>
        </is>
      </c>
    </row>
    <row r="34" ht="75" customHeight="1" s="435">
      <c r="A34" s="555" t="inlineStr">
        <is>
          <t>Authority Corp</t>
        </is>
      </c>
      <c r="B34" s="555" t="inlineStr">
        <is>
          <t>CEO</t>
        </is>
      </c>
      <c r="C34" s="555" t="inlineStr">
        <is>
          <t>Jay Caiafa</t>
        </is>
      </c>
      <c r="D34" s="555" t="inlineStr">
        <is>
          <t>See above</t>
        </is>
      </c>
      <c r="E34" s="555" t="inlineStr">
        <is>
          <t>PE Context</t>
        </is>
      </c>
      <c r="F34" s="555" t="inlineStr">
        <is>
          <t>Backed by Apax Partners (Ashish Karandikar, Partner, board member). Apax has explicit "next phase of growth" thesis. Authority added 210 new franchise owners in 2024 across 15 brands. Systemwide sales &gt;$2B.</t>
        </is>
      </c>
      <c r="G34" s="555" t="inlineStr">
        <is>
          <t>2025</t>
        </is>
      </c>
      <c r="H34" s="555" t="inlineStr">
        <is>
          <t>prnewswire.com (July 9, 2025)</t>
        </is>
      </c>
      <c r="I34" s="555" t="inlineStr">
        <is>
          <t>Apax partner Karandikar explicitly mentions "next phase of growth." Same playbook as Felix Gernburd at KKR/Neighborly = receptive to platform-led ROI thesis.</t>
        </is>
      </c>
    </row>
    <row r="35" ht="75" customHeight="1" s="435">
      <c r="A35" s="555" t="inlineStr">
        <is>
          <t>Authority Corp</t>
        </is>
      </c>
      <c r="B35" s="555" t="inlineStr">
        <is>
          <t>CFO</t>
        </is>
      </c>
      <c r="C35" s="555" t="inlineStr">
        <is>
          <t>Josh Greear</t>
        </is>
      </c>
      <c r="D35" s="555" t="inlineStr">
        <is>
          <t>University of Richmond (Bachelor's); Vanderbilt University (Master's)</t>
        </is>
      </c>
      <c r="E35" s="555" t="inlineStr">
        <is>
          <t>New Role</t>
        </is>
      </c>
      <c r="F35" s="555" t="inlineStr">
        <is>
          <t>Joined Authority Brands as CFO September 2025 (~8 months in role). Previously CFO of Primrose Schools. Before that: VP of Strategy and Business Development at Cracker Barrel; financial leadership at Home Depot.</t>
        </is>
      </c>
      <c r="G35" s="555" t="inlineStr">
        <is>
          <t>Sept 2025</t>
        </is>
      </c>
      <c r="H35" s="555" t="inlineStr">
        <is>
          <t>authoritybrands.com/leadership</t>
        </is>
      </c>
      <c r="I35" s="555" t="inlineStr">
        <is>
          <t>Atlanta-based. New CFO = roadmap-setting moment for ROI/financial-thesis conversations. Cracker Barrel + Home Depot + Primrose franchising background = multi-unit financial expertise. Wife + 4 kids.</t>
        </is>
      </c>
    </row>
    <row r="36" ht="75" customHeight="1" s="435">
      <c r="A36" s="556" t="inlineStr">
        <is>
          <t>Authority Corp</t>
        </is>
      </c>
      <c r="B36" s="556" t="inlineStr">
        <is>
          <t>CGTO</t>
        </is>
      </c>
      <c r="C36" s="556" t="inlineStr">
        <is>
          <t>Ryan Bowes</t>
        </is>
      </c>
      <c r="D36" s="556" t="inlineStr">
        <is>
          <t>Clemson University (BS + MS in Real Estate Development &amp; Finance)</t>
        </is>
      </c>
      <c r="E36" s="556" t="inlineStr">
        <is>
          <t>GPO/Procurement</t>
        </is>
      </c>
      <c r="F36" s="556" t="inlineStr">
        <is>
          <t>STRONG SIGNAL: Bowes oversees BuyMax — "the company's procurement platform" — direct GPO/insurance program signal! Just joined Feb 2, 2026 (3 months in role). Quote: "fortify the systems that drive performance, expand the right way, and keep raising the bar on the support we deliver to the field."</t>
        </is>
      </c>
      <c r="G36" s="556" t="inlineStr">
        <is>
          <t>Feb 2, 2026</t>
        </is>
      </c>
      <c r="H36" s="556" t="inlineStr">
        <is>
          <t>prnewswire.com (Feb 2, 2026)</t>
        </is>
      </c>
      <c r="I36" s="556" t="inlineStr">
        <is>
          <t>🎯 BUYMAX = AUTHORITY'S GPO PLATFORM. Bowes oversees franchise dev + call center operations + BuyMax. Direct angle for shared services/insurance/GPO conversations. Atlanta-based. Clemson alum. IHG/Marriott/Starwood + FirstKey Homes single-family rental scaling experience.</t>
        </is>
      </c>
    </row>
    <row r="37" ht="75" customHeight="1" s="435">
      <c r="A37" s="555" t="inlineStr">
        <is>
          <t>Authority Corp</t>
        </is>
      </c>
      <c r="B37" s="555" t="inlineStr">
        <is>
          <t>Pres/COO Trade Brands</t>
        </is>
      </c>
      <c r="C37" s="555" t="inlineStr">
        <is>
          <t>Steve Clemente</t>
        </is>
      </c>
      <c r="D37" s="555" t="inlineStr">
        <is>
          <t>Pending verification</t>
        </is>
      </c>
      <c r="E37" s="555" t="inlineStr">
        <is>
          <t>New Role</t>
        </is>
      </c>
      <c r="F37" s="555" t="inlineStr">
        <is>
          <t>Joined recently (per Feb 2026 announcement) as President and COO of Trade Brands at Authority. Part of expanded leadership team alongside Caiafa, Greear, Bowes.</t>
        </is>
      </c>
      <c r="G37" s="555" t="inlineStr">
        <is>
          <t>Late 2025</t>
        </is>
      </c>
      <c r="H37" s="555" t="inlineStr">
        <is>
          <t>authoritybrands.com/leadership</t>
        </is>
      </c>
      <c r="I37" s="555" t="inlineStr">
        <is>
          <t>COO of TRADE brands specifically (One Hour Heating, Benjamin Franklin Plumbing, Mister Sparky Electric, Mr. Rooter equivalents) — these are highest FSM-intensity Authority brands. New role = roadmap window.</t>
        </is>
      </c>
    </row>
    <row r="38" ht="75" customHeight="1" s="435">
      <c r="A38" s="555" t="inlineStr">
        <is>
          <t>Authority Corp</t>
        </is>
      </c>
      <c r="B38" s="555" t="inlineStr">
        <is>
          <t>CLO</t>
        </is>
      </c>
      <c r="C38" s="555" t="inlineStr">
        <is>
          <t>Farah Bhayani</t>
        </is>
      </c>
      <c r="D38" s="555" t="inlineStr">
        <is>
          <t>Southern Methodist University (BBA Real Estate Finance + JD)</t>
        </is>
      </c>
      <c r="E38" s="555" t="inlineStr">
        <is>
          <t>New Role</t>
        </is>
      </c>
      <c r="F38" s="555" t="inlineStr">
        <is>
          <t>Joined Authority May 2025 as Chief Legal Officer. Previously General Counsel at G6 Hospitality (Motel 6/Studio 6). 2024 Influential Women in Hospitality Honoree by Hotel Management Magazine, 2024 D CEO Corporate Counsel Awards Finalist, 2021 Texas General Counsel Forum Magna Stella Award.</t>
        </is>
      </c>
      <c r="G38" s="555" t="inlineStr">
        <is>
          <t>May 2025</t>
        </is>
      </c>
      <c r="H38" s="555" t="inlineStr">
        <is>
          <t>authoritybrands.com/leadership</t>
        </is>
      </c>
      <c r="I38" s="555" t="inlineStr">
        <is>
          <t>SMU alum. Hospitality background like Caiafa. Recognized in Texas legal/hospitality circles.</t>
        </is>
      </c>
    </row>
    <row r="39">
      <c r="A39" s="557" t="inlineStr">
        <is>
          <t>═══ EMPOWER BRANDS (P1 — GREENFIELD-LED — 10 brands across home services) ═══</t>
        </is>
      </c>
    </row>
    <row r="40" ht="75" customHeight="1" s="435">
      <c r="A40" s="556" t="inlineStr">
        <is>
          <t>Empower Corp</t>
        </is>
      </c>
      <c r="B40" s="556" t="inlineStr">
        <is>
          <t>CEO</t>
        </is>
      </c>
      <c r="C40" s="556" t="inlineStr">
        <is>
          <t>Scott Zide</t>
        </is>
      </c>
      <c r="D40" s="556" t="inlineStr">
        <is>
          <t>University of Kansas (Bachelor's)</t>
        </is>
      </c>
      <c r="E40" s="556" t="inlineStr">
        <is>
          <t>FSM/Tech Adoption</t>
        </is>
      </c>
      <c r="F40" s="556" t="inlineStr">
        <is>
          <t>STRONGEST signal in Empower dataset. Direct quote (Nov 2025): "Key to driving success across the portfolio are two things: technology investments and adapting to an evolving marketing landscape. The company's new data warehouse stores information across all its brands, providing better insight for analysis and informed decision making. To stay ahead of competition, technology automation is used to improve speed of response, proposal and service times across the portfolio."</t>
        </is>
      </c>
      <c r="G40" s="556" t="inlineStr">
        <is>
          <t>Nov 5, 2025</t>
        </is>
      </c>
      <c r="H40" s="556" t="inlineStr">
        <is>
          <t>franchisetimes.com (Nov 5, 2025)</t>
        </is>
      </c>
      <c r="I40" s="556" t="inlineStr">
        <is>
          <t>🎯 PRIMARY TARGET. Started as franchisee at age 23. CEO since 2022. Empower portfolio doubled to 10 brands under his watch. Data warehouse + tech automation already deployed = receptive to FSM platform. Richmond VA-based.</t>
        </is>
      </c>
    </row>
    <row r="41" ht="75" customHeight="1" s="435">
      <c r="A41" s="555" t="inlineStr">
        <is>
          <t>Empower Corp</t>
        </is>
      </c>
      <c r="B41" s="555" t="inlineStr">
        <is>
          <t>CEO</t>
        </is>
      </c>
      <c r="C41" s="555" t="inlineStr">
        <is>
          <t>Scott Zide</t>
        </is>
      </c>
      <c r="D41" s="555" t="inlineStr">
        <is>
          <t>See above</t>
        </is>
      </c>
      <c r="E41" s="555" t="inlineStr">
        <is>
          <t>Industry Event</t>
        </is>
      </c>
      <c r="F41" s="555" t="inlineStr">
        <is>
          <t>Spoke at ACG Richmond Breakfast November 2024. Featured in Franchise Times "Top CEOs in Franchising" Nov/Dec 2025 issue. 2024 IFA member panels.</t>
        </is>
      </c>
      <c r="G41" s="555" t="inlineStr">
        <is>
          <t>Nov 2024-2025</t>
        </is>
      </c>
      <c r="H41" s="555" t="inlineStr">
        <is>
          <t>acg.org/richmond / franchisetimes</t>
        </is>
      </c>
      <c r="I41" s="555" t="inlineStr">
        <is>
          <t>Active speaker on franchising. ACG (Association for Corporate Growth) speaking = PE investor audience. Receptive to investment-thesis framing.</t>
        </is>
      </c>
    </row>
    <row r="42" ht="75" customHeight="1" s="435">
      <c r="A42" s="555" t="inlineStr">
        <is>
          <t>Empower Corp</t>
        </is>
      </c>
      <c r="B42" s="555" t="inlineStr">
        <is>
          <t>CMO</t>
        </is>
      </c>
      <c r="C42" s="555" t="inlineStr">
        <is>
          <t>Felicia Reeves</t>
        </is>
      </c>
      <c r="D42" s="555" t="inlineStr">
        <is>
          <t>Pending verification</t>
        </is>
      </c>
      <c r="E42" s="555" t="inlineStr">
        <is>
          <t>New Role</t>
        </is>
      </c>
      <c r="F42" s="555" t="inlineStr">
        <is>
          <t>Joined Empower Brands as Chief Marketing Officer in early 2025. Active LinkedIn presence — recently shared post on "Brand President Justin Mayer's USMC values." Spoke at Empower Days events with CDO R. Scott Sutton. Recently engaged with WashU Chancellor Andrew D. Martin podcast content.</t>
        </is>
      </c>
      <c r="G42" s="555" t="inlineStr">
        <is>
          <t>Early 2025</t>
        </is>
      </c>
      <c r="H42" s="555" t="inlineStr">
        <is>
          <t>linkedin.com/in/felicia-reeves/</t>
        </is>
      </c>
      <c r="I42" s="555" t="inlineStr">
        <is>
          <t>New CMO = roadmap-setting moment. 15+ years prior background. Brand-builder and franchise growth strategist.</t>
        </is>
      </c>
    </row>
    <row r="43" ht="75" customHeight="1" s="435">
      <c r="A43" s="556" t="inlineStr">
        <is>
          <t>Outdoor Lighting Perspectives</t>
        </is>
      </c>
      <c r="B43" s="556" t="inlineStr">
        <is>
          <t>Brand Pres</t>
        </is>
      </c>
      <c r="C43" s="556" t="inlineStr">
        <is>
          <t>Justin Mayer</t>
        </is>
      </c>
      <c r="D43" s="556" t="inlineStr">
        <is>
          <t>United States Naval Academy (BS Economics, GPA 3.69, Honors, Dean's List); University of Virginia Darden Graduate School of Business Administration (MBA, Top 10 Academic Achievement)</t>
        </is>
      </c>
      <c r="E43" s="556" t="inlineStr">
        <is>
          <t>New Role</t>
        </is>
      </c>
      <c r="F43" s="556" t="inlineStr">
        <is>
          <t>STRONG SIGNAL. Joined as Brand President of OLP April 2025. USMC veteran. Prior career at DuPont as Global Sales Director (Retail Performance Building Solutions). Felicia Reeves LinkedIn post highlighted Mayer's USMC values — discipline, focus.</t>
        </is>
      </c>
      <c r="G43" s="556" t="inlineStr">
        <is>
          <t>April 2025</t>
        </is>
      </c>
      <c r="H43" s="556" t="inlineStr">
        <is>
          <t>prnewswire.com (Apr 30, 2025)</t>
        </is>
      </c>
      <c r="I43" s="556" t="inlineStr">
        <is>
          <t>🎯 STRONG TARGET. Naval Academy + Darden MBA = elite pedigree. USMC veteran (military hook for Mike). DuPont Global Sales Director = enterprise sales sophistication. New role (1 year in) = roadmap-setting moment.</t>
        </is>
      </c>
    </row>
    <row r="44" ht="75" customHeight="1" s="435">
      <c r="A44" s="555" t="inlineStr">
        <is>
          <t>Conserva Irrigation</t>
        </is>
      </c>
      <c r="B44" s="555" t="inlineStr">
        <is>
          <t>Brand Pres</t>
        </is>
      </c>
      <c r="C44" s="555" t="inlineStr">
        <is>
          <t>Heather Todd</t>
        </is>
      </c>
      <c r="D44" s="555" t="inlineStr">
        <is>
          <t>Pending verification</t>
        </is>
      </c>
      <c r="E44" s="555" t="inlineStr">
        <is>
          <t>New Role</t>
        </is>
      </c>
      <c r="F44" s="555" t="inlineStr">
        <is>
          <t>Promoted to Brand President of Conserva Irrigation February 2025 after serving as Director of Franchise Operations. Founder/long-time Brand President Russ Jundt transitioned to "President, National Accounts &amp; Residential Home" role at Empower.</t>
        </is>
      </c>
      <c r="G44" s="555" t="inlineStr">
        <is>
          <t>Feb 2025</t>
        </is>
      </c>
      <c r="H44" s="555" t="inlineStr">
        <is>
          <t>cleanlink.com / empowerfranchising.com</t>
        </is>
      </c>
      <c r="I44" s="555" t="inlineStr">
        <is>
          <t>Internal promotion, ~14 months in role. Conserva is a category leader in irrigation services. Lawn/water management = telematics-relevant FSM use case.</t>
        </is>
      </c>
    </row>
    <row r="45" ht="75" customHeight="1" s="435">
      <c r="A45" s="555" t="inlineStr">
        <is>
          <t>Koala Insulation / Wallaby Windows</t>
        </is>
      </c>
      <c r="B45" s="555" t="inlineStr">
        <is>
          <t>Group Pres</t>
        </is>
      </c>
      <c r="C45" s="555" t="inlineStr">
        <is>
          <t>Cory Lyons</t>
        </is>
      </c>
      <c r="D45" s="555" t="inlineStr">
        <is>
          <t>Pending verification</t>
        </is>
      </c>
      <c r="E45" s="555" t="inlineStr">
        <is>
          <t>Promotion</t>
        </is>
      </c>
      <c r="F45" s="555" t="inlineStr">
        <is>
          <t>Now serves as Brand President of BOTH Koala Insulation (since Aug 2023) AND Wallaby Windows (since mid-2025) = effectively Group President of two brands. Previously VP Franchise Development at Steele Brands Management and at Lift Brands (Anytime Fitness parent) for 13+ years.</t>
        </is>
      </c>
      <c r="G45" s="555" t="inlineStr">
        <is>
          <t>Mid-2025</t>
        </is>
      </c>
      <c r="H45" s="555" t="inlineStr">
        <is>
          <t>empowerfranchising.com/our-team</t>
        </is>
      </c>
      <c r="I45" s="555" t="inlineStr">
        <is>
          <t>Multi-brand scope = thinking systemically. Anytime Fitness scaling experience = high-growth franchise mindset.</t>
        </is>
      </c>
    </row>
    <row r="46" ht="75" customHeight="1" s="435">
      <c r="A46" s="555" t="inlineStr">
        <is>
          <t>JAN-PRO</t>
        </is>
      </c>
      <c r="B46" s="555" t="inlineStr">
        <is>
          <t>Brand Pres</t>
        </is>
      </c>
      <c r="C46" s="555" t="inlineStr">
        <is>
          <t>Gary Bauer</t>
        </is>
      </c>
      <c r="D46" s="555" t="inlineStr">
        <is>
          <t>Coe College (graduate)</t>
        </is>
      </c>
      <c r="E46" s="555" t="inlineStr">
        <is>
          <t>Tech/Operations</t>
        </is>
      </c>
      <c r="F46" s="555" t="inlineStr">
        <is>
          <t>Brand President of JAN-PRO. 30+ years at ServiceMaster (4 yrs as COO of multiple ServiceMaster franchise brands including ServiceMaster Clean and ServiceMaster Restore). 7+ yrs senior leader of ServiceMaster Clean. 15+ yrs total in ServiceMaster senior leadership.</t>
        </is>
      </c>
      <c r="G46" s="555" t="inlineStr">
        <is>
          <t>Current</t>
        </is>
      </c>
      <c r="H46" s="555" t="inlineStr">
        <is>
          <t>empowerfranchising.com/our-team</t>
        </is>
      </c>
      <c r="I46" s="555" t="inlineStr">
        <is>
          <t>JAN-PRO is Empower's largest brand by units. ServiceMaster background = franchise systems veteran. JAN-PRO commercial cleaning competes with Authority Brands' Cleaning Authority.</t>
        </is>
      </c>
    </row>
    <row r="47" ht="75" customHeight="1" s="435">
      <c r="A47" s="555" t="inlineStr">
        <is>
          <t>Archadeck Outdoor Living</t>
        </is>
      </c>
      <c r="B47" s="555" t="inlineStr">
        <is>
          <t>Brand Pres</t>
        </is>
      </c>
      <c r="C47" s="555" t="inlineStr">
        <is>
          <t>Jack O'Connell</t>
        </is>
      </c>
      <c r="D47" s="555" t="inlineStr">
        <is>
          <t>Pending verification</t>
        </is>
      </c>
      <c r="E47" s="555" t="inlineStr">
        <is>
          <t>Brand Pres</t>
        </is>
      </c>
      <c r="F47" s="555" t="inlineStr">
        <is>
          <t>Brand President of Archadeck Outdoor Living. Listed in ZoomInfo company profile.</t>
        </is>
      </c>
      <c r="G47" s="555" t="inlineStr">
        <is>
          <t>Current</t>
        </is>
      </c>
      <c r="H47" s="555" t="inlineStr">
        <is>
          <t>zoominfo.com/c/empower-brands</t>
        </is>
      </c>
      <c r="I47" s="555" t="inlineStr">
        <is>
          <t>Outdoor living/deck building = high-ticket projects, fewer trucks per franchisee, less FSM-intensive than HVAC/plumbing. Lower priority for ServiceBridge.</t>
        </is>
      </c>
    </row>
    <row r="48" ht="75" customHeight="1" s="435">
      <c r="A48" s="555" t="inlineStr">
        <is>
          <t>Bumble Roofing</t>
        </is>
      </c>
      <c r="B48" s="555" t="inlineStr">
        <is>
          <t>Brand Pres</t>
        </is>
      </c>
      <c r="C48" s="555" t="inlineStr">
        <is>
          <t>David Bitan</t>
        </is>
      </c>
      <c r="D48" s="555" t="inlineStr">
        <is>
          <t>Pending verification</t>
        </is>
      </c>
      <c r="E48" s="555" t="inlineStr">
        <is>
          <t>Brand Founder</t>
        </is>
      </c>
      <c r="F48" s="555" t="inlineStr">
        <is>
          <t>Driving force behind Bumble Roofing for past 5 years. Brand Pres bio: "passion lies in bringing fresh, innovative experiences to traditional industries and turning customers into lifelong raving fans."</t>
        </is>
      </c>
      <c r="G48" s="555" t="inlineStr">
        <is>
          <t>5+ years tenure</t>
        </is>
      </c>
      <c r="H48" s="555" t="inlineStr">
        <is>
          <t>empowerfranchising.com/our-team</t>
        </is>
      </c>
      <c r="I48" s="555" t="inlineStr">
        <is>
          <t>Bumble Roofing is newest Empower brand. "Fresh innovative experiences" = receptive to modern tech adoption. Founder energy.</t>
        </is>
      </c>
    </row>
    <row r="49" ht="70" customHeight="1" s="435">
      <c r="A49" s="556" t="inlineStr">
        <is>
          <t>Homewatch CareGivers</t>
        </is>
      </c>
      <c r="B49" s="556" t="inlineStr">
        <is>
          <t>Brand Pres</t>
        </is>
      </c>
      <c r="C49" s="556" t="inlineStr">
        <is>
          <t>Todd Houghton</t>
        </is>
      </c>
      <c r="D49" s="556" t="inlineStr">
        <is>
          <t>Illinois State University (BS Economics/Business)</t>
        </is>
      </c>
      <c r="E49" s="556" t="inlineStr">
        <is>
          <t>FSM/Tech Adoption</t>
        </is>
      </c>
      <c r="F49" s="556" t="inlineStr">
        <is>
          <t>STRONG SIGNAL: Direct quote from Home Health Care News (Jan/Feb 2026): "Houghton is leveraging technology to protect the company's margins – while aiming to grow." Aiming to add 40 offices/year over next 3 years (opened 42 in 2025). 302 offices across 43 states.</t>
        </is>
      </c>
      <c r="G49" s="556" t="inlineStr">
        <is>
          <t>Feb 2026</t>
        </is>
      </c>
      <c r="H49" s="556" t="inlineStr">
        <is>
          <t>homehealthcarenews.com (Feb 7, 2026)</t>
        </is>
      </c>
      <c r="I49" s="556" t="inlineStr">
        <is>
          <t>Greenwood Village, CO base. 30+ years franchising, 15 in homecare. Tech-leveraging mindset for margin protection. 2024 + 2025 Top 100 Franchise Influencer. 2024 + 2025 Colorado TITAN 100. Spoke at Authority Annual Conference Reno 2026.</t>
        </is>
      </c>
    </row>
    <row r="50" ht="70" customHeight="1" s="435">
      <c r="A50" s="555" t="inlineStr">
        <is>
          <t>Homewatch CareGivers</t>
        </is>
      </c>
      <c r="B50" s="555" t="inlineStr">
        <is>
          <t>Brand Pres</t>
        </is>
      </c>
      <c r="C50" s="555" t="inlineStr">
        <is>
          <t>Todd Houghton</t>
        </is>
      </c>
      <c r="D50" s="555" t="inlineStr">
        <is>
          <t>See above</t>
        </is>
      </c>
      <c r="E50" s="555" t="inlineStr">
        <is>
          <t>Industry Event</t>
        </is>
      </c>
      <c r="F50" s="555" t="inlineStr">
        <is>
          <t>Speaks regularly at industry events: Home Care Innovation Forum, NABR CEO Thought Leadership Series LinkedIn Live (with Jennifer Kluge). Also spoke at Authority Brands Annual Conference Reno 2026 alongside CEO Jay Caiafa and EVP Tom Swift.</t>
        </is>
      </c>
      <c r="G50" s="555" t="inlineStr">
        <is>
          <t>2025-2026</t>
        </is>
      </c>
      <c r="H50" s="555" t="inlineStr">
        <is>
          <t>homecareinnovationforum.com / corpmagazine.com</t>
        </is>
      </c>
      <c r="I50" s="555" t="inlineStr">
        <is>
          <t>Active conference circuit. Direct line to Caiafa via Authority annual conference. Open to thought-leadership conversations.</t>
        </is>
      </c>
    </row>
    <row r="51" ht="50" customHeight="1" s="435">
      <c r="A51" s="558" t="inlineStr">
        <is>
          <t>#1</t>
        </is>
      </c>
      <c r="B51" s="559" t="inlineStr">
        <is>
          <t>Gagan Sinha (Neighborly CIO)</t>
        </is>
      </c>
      <c r="E51" s="556" t="inlineStr">
        <is>
          <t>"shift from primarily building systems in-house to ADOPTING AND INTEGRATING BEST-IN-CLASS PLATFORMS"</t>
        </is>
      </c>
      <c r="H51" s="556" t="inlineStr">
        <is>
          <t>Sept 2025 hire — 6 months in role</t>
        </is>
      </c>
      <c r="I51" s="556" t="inlineStr">
        <is>
          <t>Harvard alum</t>
        </is>
      </c>
    </row>
    <row r="52">
      <c r="A52" s="561" t="inlineStr">
        <is>
          <t>TOP 5 HIGHEST-LEVERAGE SIGNALS — RANKED</t>
        </is>
      </c>
    </row>
    <row r="53" ht="50" customHeight="1" s="435">
      <c r="A53" s="558" t="inlineStr">
        <is>
          <t>#2</t>
        </is>
      </c>
      <c r="B53" s="559" t="inlineStr">
        <is>
          <t>Jay Caiafa (Authority CEO)</t>
        </is>
      </c>
      <c r="E53" s="556" t="inlineStr">
        <is>
          <t>IHG bio: "drove innovation through data and AI, spearheaded transformations" — 4,600 hotels, 26 countries</t>
        </is>
      </c>
      <c r="H53" s="556" t="inlineStr">
        <is>
          <t>Aug 2025 hire — 9 months in role</t>
        </is>
      </c>
      <c r="I53" s="556" t="inlineStr">
        <is>
          <t>USAFA + Duke Law + Duke MBA</t>
        </is>
      </c>
    </row>
    <row r="54" ht="50" customHeight="1" s="435">
      <c r="A54" s="558" t="inlineStr">
        <is>
          <t>#3</t>
        </is>
      </c>
      <c r="B54" s="559" t="inlineStr">
        <is>
          <t>Scott Zide (Empower CEO)</t>
        </is>
      </c>
      <c r="E54" s="556" t="inlineStr">
        <is>
          <t>"Key to driving success: technology investments... data warehouse stores info across all brands... technology automation improves speed of response, proposal and service times"</t>
        </is>
      </c>
      <c r="H54" s="556" t="inlineStr">
        <is>
          <t>Nov 2025 quote</t>
        </is>
      </c>
      <c r="I54" s="556" t="inlineStr">
        <is>
          <t>U. of Kansas alum</t>
        </is>
      </c>
    </row>
    <row r="55" ht="50" customHeight="1" s="435">
      <c r="A55" s="558" t="inlineStr">
        <is>
          <t>#4</t>
        </is>
      </c>
      <c r="B55" s="559" t="inlineStr">
        <is>
          <t>Ryan Bowes (Authority CGTO)</t>
        </is>
      </c>
      <c r="E55" s="556" t="inlineStr">
        <is>
          <t>Oversees BuyMax — "the company's procurement platform" = AUTHORITY'S GPO</t>
        </is>
      </c>
      <c r="H55" s="556" t="inlineStr">
        <is>
          <t>Feb 2026 hire — 3 months in role</t>
        </is>
      </c>
      <c r="I55" s="556" t="inlineStr">
        <is>
          <t>Clemson BS+MS Real Estate Finance</t>
        </is>
      </c>
    </row>
    <row r="56" ht="50" customHeight="1" s="435">
      <c r="A56" s="558" t="inlineStr">
        <is>
          <t>#5</t>
        </is>
      </c>
      <c r="B56" s="559" t="inlineStr">
        <is>
          <t>Justin Mayer (Empower OLP Brand Pres)</t>
        </is>
      </c>
      <c r="E56" s="556" t="inlineStr">
        <is>
          <t>USMC veteran + Naval Academy + Darden MBA. Prior DuPont Global Sales Director</t>
        </is>
      </c>
      <c r="H56" s="556" t="inlineStr">
        <is>
          <t>April 2025 hire — 1 year in role</t>
        </is>
      </c>
      <c r="I56" s="556" t="inlineStr">
        <is>
          <t>USNA + Darden — military hook</t>
        </is>
      </c>
    </row>
    <row r="57">
      <c r="A57" s="557" t="inlineStr">
        <is>
          <t>═══ RESIBRANDS (P1 #4 — FAST-CYCLE — Austin TX, Codie Sanchez Co-Owner) ═══</t>
        </is>
      </c>
    </row>
    <row r="58" ht="70" customHeight="1" s="435">
      <c r="A58" s="556" t="inlineStr">
        <is>
          <t>ResiBrands Corp</t>
        </is>
      </c>
      <c r="B58" s="556" t="inlineStr">
        <is>
          <t>Founder/CEO</t>
        </is>
      </c>
      <c r="C58" s="556" t="inlineStr">
        <is>
          <t>Steven Montgomery</t>
        </is>
      </c>
      <c r="D58" s="556" t="inlineStr">
        <is>
          <t>Calvary Chapel University (BA, completed 2017 while running company)</t>
        </is>
      </c>
      <c r="E58" s="556" t="inlineStr">
        <is>
          <t>Founder Story / FSM</t>
        </is>
      </c>
      <c r="F58" s="556" t="inlineStr">
        <is>
          <t>STRONG SIGNAL: Founder story — $12 in bank to $100M+ company. "We have built two of the fastest-growing and in my opinion greatest home service brands of all time. That 1 Painter and Pink's Window Services. We have two other brands picking up some good momentum! Not only that, brand 6 is coming soon! 4 1/2 years in franchising, 6 brands. About to hit 800 units." Active hiring "high-level operators."</t>
        </is>
      </c>
      <c r="G58" s="556" t="inlineStr">
        <is>
          <t>June 2024</t>
        </is>
      </c>
      <c r="H58" s="556" t="inlineStr">
        <is>
          <t>linkedin.com/in/steven-montgomery-7a452846/</t>
        </is>
      </c>
      <c r="I58" s="556" t="inlineStr">
        <is>
          <t>🎯 PRIMARY TARGET. Austin TX-based, son of professional painter. Coaches son's soccer team (Eagles, age 8). Wife Emily. Drove company from $12 to $100M. Recently took on Codie Sanchez as co-owner = strong PE/investor mindset. Fastest-growing home service franchise = needs FSM platform to scale.</t>
        </is>
      </c>
    </row>
    <row r="59" ht="70" customHeight="1" s="435">
      <c r="A59" s="555" t="inlineStr">
        <is>
          <t>ResiBrands Corp</t>
        </is>
      </c>
      <c r="B59" s="555" t="inlineStr">
        <is>
          <t>Founder/CEO</t>
        </is>
      </c>
      <c r="C59" s="555" t="inlineStr">
        <is>
          <t>Steven Montgomery</t>
        </is>
      </c>
      <c r="D59" s="555" t="inlineStr">
        <is>
          <t>See above</t>
        </is>
      </c>
      <c r="E59" s="555" t="inlineStr">
        <is>
          <t>Industry Event</t>
        </is>
      </c>
      <c r="F59" s="555" t="inlineStr">
        <is>
          <t>Hosts annual ResiCon at ACL Live Moody Theater in Austin. Speakers in 2025 included Brian Beers (Cash Flow Mgmt), Gary Occhiogrosso (Building a Team), Scott Greenberg (Blue Collar Culture). Conference includes Home Depot, Wooster, Behr, HCP, GoodLeap as major partners.</t>
        </is>
      </c>
      <c r="G59" s="555" t="inlineStr">
        <is>
          <t>2025</t>
        </is>
      </c>
      <c r="H59" s="555" t="inlineStr">
        <is>
          <t>resibrands.com/blog</t>
        </is>
      </c>
      <c r="I59" s="555" t="inlineStr">
        <is>
          <t>Annual ResiCon = key Austin-area event. Mike could attend ResiCon 2026 (likely summer at ACL Live Moody Theater) to engage Steven directly. Already has corporate partnership program structure.</t>
        </is>
      </c>
    </row>
    <row r="60" ht="70" customHeight="1" s="435">
      <c r="A60" s="555" t="inlineStr">
        <is>
          <t>ResiBrands Corp</t>
        </is>
      </c>
      <c r="B60" s="555" t="inlineStr">
        <is>
          <t>Co-Founder/President</t>
        </is>
      </c>
      <c r="C60" s="555" t="inlineStr">
        <is>
          <t>Allan Alarcon</t>
        </is>
      </c>
      <c r="D60" s="555" t="inlineStr">
        <is>
          <t>Pending verification</t>
        </is>
      </c>
      <c r="E60" s="555" t="inlineStr">
        <is>
          <t>Co-Founder</t>
        </is>
      </c>
      <c r="F60" s="555" t="inlineStr">
        <is>
          <t>Cousin of Steven Montgomery. Co-Founded ResiBrands in 2022. Responsible for daily operations and ensuring franchisees receive top-tier support.</t>
        </is>
      </c>
      <c r="G60" s="555" t="inlineStr">
        <is>
          <t>2022 founding</t>
        </is>
      </c>
      <c r="H60" s="555" t="inlineStr">
        <is>
          <t>thefranchiseinsiders.com</t>
        </is>
      </c>
      <c r="I60" s="555" t="inlineStr">
        <is>
          <t>Operations side of the leadership pair. Day-to-day runs the business. Strong family-loyalty bond with Steven.</t>
        </is>
      </c>
    </row>
    <row r="61" ht="70" customHeight="1" s="435">
      <c r="A61" s="555" t="inlineStr">
        <is>
          <t>ResiBrands Corp</t>
        </is>
      </c>
      <c r="B61" s="555" t="inlineStr">
        <is>
          <t>Co-Owner</t>
        </is>
      </c>
      <c r="C61" s="555" t="inlineStr">
        <is>
          <t>Codie Sanchez</t>
        </is>
      </c>
      <c r="D61" s="555" t="inlineStr">
        <is>
          <t>Multiple — pending verification (notable investment + finance background)</t>
        </is>
      </c>
      <c r="E61" s="555" t="inlineStr">
        <is>
          <t>Investor/Co-Owner</t>
        </is>
      </c>
      <c r="F61" s="555" t="inlineStr">
        <is>
          <t>Major entrepreneur and "Boring Businesses" investor. Joined as Co-Owner of ResiBrands in 2024. Known publicly for "buying boring businesses" thesis. Major social media following. ResiBrands quote: "biggest career investment in ResiBrands."</t>
        </is>
      </c>
      <c r="G61" s="555" t="inlineStr">
        <is>
          <t>2024</t>
        </is>
      </c>
      <c r="H61" s="555" t="inlineStr">
        <is>
          <t>kitcaster.com / cbinsights.com</t>
        </is>
      </c>
      <c r="I61" s="555" t="inlineStr">
        <is>
          <t>Investor/strategic partner — likely to be receptive to FSM platform thesis given her boring-business + tech-leverage approach. Public-facing personality = big megaphone.</t>
        </is>
      </c>
    </row>
    <row r="62" ht="70" customHeight="1" s="435">
      <c r="A62" s="555" t="inlineStr">
        <is>
          <t>That 1 Painter</t>
        </is>
      </c>
      <c r="B62" s="555" t="inlineStr">
        <is>
          <t>Brand Pres/Founder</t>
        </is>
      </c>
      <c r="C62" s="555" t="inlineStr">
        <is>
          <t>Steven Montgomery</t>
        </is>
      </c>
      <c r="D62" s="555" t="inlineStr">
        <is>
          <t>See Steven Montgomery row</t>
        </is>
      </c>
      <c r="E62" s="555" t="inlineStr">
        <is>
          <t>Founder/Brand</t>
        </is>
      </c>
      <c r="F62" s="555" t="inlineStr">
        <is>
          <t>Started 2011, originally just Steven and a few hired friends painting homes. Now 15+ crews in Austin and expanding nationwide. PVP/Wrapmate vehicle wrap customer = visual brand investment.</t>
        </is>
      </c>
      <c r="G62" s="555" t="inlineStr">
        <is>
          <t>Founded 2011</t>
        </is>
      </c>
      <c r="H62" s="555" t="inlineStr">
        <is>
          <t>that1painter.com/first-coast/about-us</t>
        </is>
      </c>
      <c r="I62" s="555" t="inlineStr">
        <is>
          <t>Heaviest fleet brand in ResiBrands portfolio. Painting franchises = high vehicle utilization = strong telematics ROI case.</t>
        </is>
      </c>
    </row>
    <row r="63">
      <c r="A63" s="557" t="inlineStr">
        <is>
          <t>═══ FIVE STAR FRANCHISING (P1 #5 — WEDGE-BRAND — Princeton Equity-backed, Springville UT) ═══</t>
        </is>
      </c>
    </row>
    <row r="64" ht="70" customHeight="1" s="435">
      <c r="A64" s="556" t="inlineStr">
        <is>
          <t>Five Star Franchising</t>
        </is>
      </c>
      <c r="B64" s="556" t="inlineStr">
        <is>
          <t>CEO/Co-Founder</t>
        </is>
      </c>
      <c r="C64" s="556" t="inlineStr">
        <is>
          <t>Scott Abbott</t>
        </is>
      </c>
      <c r="D64" s="556" t="inlineStr">
        <is>
          <t>Pending verification</t>
        </is>
      </c>
      <c r="E64" s="556" t="inlineStr">
        <is>
          <t>PE/Tech Adoption</t>
        </is>
      </c>
      <c r="F64" s="556" t="inlineStr">
        <is>
          <t>STRONG SIGNAL: Co-Founder/CEO of Five Star Franchising. Princeton Equity Group partnered 2021 — 5 years in. Active speaker at IFA, IFPG, ACG events. Built ProNexis (24/7 sales support tool) in-house. Direct quote on M&amp;A: "partnering with strong, profitable home services brands that align with our commitment to operational excellence." Just acquired Five Star Flooring (April 2026) targeting $75B flooring industry.</t>
        </is>
      </c>
      <c r="G64" s="556" t="inlineStr">
        <is>
          <t>2021-2026</t>
        </is>
      </c>
      <c r="H64" s="556" t="inlineStr">
        <is>
          <t>linkedin.com/in/dscottabbott</t>
        </is>
      </c>
      <c r="I64" s="556" t="inlineStr">
        <is>
          <t>🎯 PRIMARY TARGET. Empowers franchisees through technology (ProNexis = their internal tool). Princeton Equity-backed = sophisticated PE thesis. Veterans focus (10% of franchises). Springville UT-based.</t>
        </is>
      </c>
    </row>
    <row r="65" ht="70" customHeight="1" s="435">
      <c r="A65" s="555" t="inlineStr">
        <is>
          <t>Five Star Franchising</t>
        </is>
      </c>
      <c r="B65" s="555" t="inlineStr">
        <is>
          <t>CEO/Co-Founder</t>
        </is>
      </c>
      <c r="C65" s="555" t="inlineStr">
        <is>
          <t>Scott Abbott</t>
        </is>
      </c>
      <c r="D65" s="555" t="inlineStr">
        <is>
          <t>See above</t>
        </is>
      </c>
      <c r="E65" s="555" t="inlineStr">
        <is>
          <t>Industry Event</t>
        </is>
      </c>
      <c r="F65" s="555" t="inlineStr">
        <is>
          <t>Five Star hosts annual Home Services Summit (HSS) at Caesars Palace Las Vegas (Jan 14-17 2026 had ~1,000 attendees). Keynote speaker at 2024 IFPG Summit. Spoke with Marlene Star of Mergermarket on M&amp;A strategy. ACG Richmond keynote.</t>
        </is>
      </c>
      <c r="G65" s="555" t="inlineStr">
        <is>
          <t>Jan 14-17, 2026</t>
        </is>
      </c>
      <c r="H65" s="555" t="inlineStr">
        <is>
          <t>fivestarfranchising.com/blog</t>
        </is>
      </c>
      <c r="I65" s="555" t="inlineStr">
        <is>
          <t>HSS = Five Star's annual everyone-together event. Mike could request invite via PE network connections. Multiple speaking platforms.</t>
        </is>
      </c>
    </row>
    <row r="66" ht="70" customHeight="1" s="435">
      <c r="A66" s="555" t="inlineStr">
        <is>
          <t>Five Star Franchising</t>
        </is>
      </c>
      <c r="B66" s="555" t="inlineStr">
        <is>
          <t>Co-Founder/COO</t>
        </is>
      </c>
      <c r="C66" s="555" t="inlineStr">
        <is>
          <t>Chad Jones</t>
        </is>
      </c>
      <c r="D66" s="555" t="inlineStr">
        <is>
          <t>Pending verification</t>
        </is>
      </c>
      <c r="E66" s="555" t="inlineStr">
        <is>
          <t>Co-Founder</t>
        </is>
      </c>
      <c r="F66" s="555" t="inlineStr">
        <is>
          <t>Co-founded Five Star with Scott Abbott (originally as Five Star Painting). Oversees day-to-day operations and system performance. "track record of guiding exponential expansion."</t>
        </is>
      </c>
      <c r="G66" s="555" t="inlineStr">
        <is>
          <t>Co-Founder</t>
        </is>
      </c>
      <c r="H66" s="555" t="inlineStr">
        <is>
          <t>fivestarfranchising.com/about</t>
        </is>
      </c>
      <c r="I66" s="555" t="inlineStr">
        <is>
          <t>Operations counterpart to Scott's CEO role. Painting industry roots — Five Star Painting was sold to Neighborly while founders stayed at Five Star Franchising.</t>
        </is>
      </c>
    </row>
    <row r="67" ht="70" customHeight="1" s="435">
      <c r="A67" s="555" t="inlineStr">
        <is>
          <t>Five Star Franchising</t>
        </is>
      </c>
      <c r="B67" s="555" t="inlineStr">
        <is>
          <t>CTO</t>
        </is>
      </c>
      <c r="C67" s="555" t="inlineStr">
        <is>
          <t>Shane</t>
        </is>
      </c>
      <c r="D67" s="555" t="inlineStr">
        <is>
          <t>Pending verification</t>
        </is>
      </c>
      <c r="E67" s="555" t="inlineStr">
        <is>
          <t>Tech Leadership</t>
        </is>
      </c>
      <c r="F67" s="555" t="inlineStr">
        <is>
          <t>Drives innovation by developing and refining the technology systems that power Five Star brands. Focus on efficiency and scalability — creates tools that help franchise owners "streamline operations, improve customer experience, and compete with confidence in a digital-first world."</t>
        </is>
      </c>
      <c r="G67" s="555" t="inlineStr">
        <is>
          <t>Current</t>
        </is>
      </c>
      <c r="H67" s="555" t="inlineStr">
        <is>
          <t>fivestarfranchising.com/about</t>
        </is>
      </c>
      <c r="I67" s="555" t="inlineStr">
        <is>
          <t>Direct technology counterpart for FSM platform conversation. Owns ProNexis development.</t>
        </is>
      </c>
    </row>
    <row r="68" ht="70" customHeight="1" s="435">
      <c r="A68" s="555" t="inlineStr">
        <is>
          <t>Five Star Bath Solutions</t>
        </is>
      </c>
      <c r="B68" s="555" t="inlineStr">
        <is>
          <t>Brand Pres</t>
        </is>
      </c>
      <c r="C68" s="555" t="inlineStr">
        <is>
          <t>Dean Hartley</t>
        </is>
      </c>
      <c r="D68" s="555" t="inlineStr">
        <is>
          <t>Multi-unit operator background</t>
        </is>
      </c>
      <c r="E68" s="555" t="inlineStr">
        <is>
          <t>Top Performer</t>
        </is>
      </c>
      <c r="F68" s="555" t="inlineStr">
        <is>
          <t>Named "Brand President of the Year" at HSS 2026. Five Star Bath Solutions named "Fastest-Growing Brand of the Year" — approaching 400 locations. Also named Brand President of new Five Star Flooring (April 2026). Quote: "We didn't invent flooring... we're solving a problem for homeowners and offering a revenue operations machine for our future franchise owners."</t>
        </is>
      </c>
      <c r="G68" s="555" t="inlineStr">
        <is>
          <t>2026</t>
        </is>
      </c>
      <c r="H68" s="555" t="inlineStr">
        <is>
          <t>utahbusiness.com (Apr 2026)</t>
        </is>
      </c>
      <c r="I68" s="555" t="inlineStr">
        <is>
          <t>Trusted by Scott Abbott to lead second brand. Multi-unit operator origin = high empathy for franchisee tech needs. Franchise scaling expertise.</t>
        </is>
      </c>
    </row>
    <row r="69" ht="70" customHeight="1" s="435">
      <c r="A69" s="555" t="inlineStr">
        <is>
          <t>Mosquito Shield</t>
        </is>
      </c>
      <c r="B69" s="555" t="inlineStr">
        <is>
          <t>Brand Pres</t>
        </is>
      </c>
      <c r="C69" s="555" t="inlineStr">
        <is>
          <t>Michael Moorhouse</t>
        </is>
      </c>
      <c r="D69" s="555" t="inlineStr">
        <is>
          <t>Pending verification</t>
        </is>
      </c>
      <c r="E69" s="555" t="inlineStr">
        <is>
          <t>Brand Recognition</t>
        </is>
      </c>
      <c r="F69" s="555" t="inlineStr">
        <is>
          <t>#1 ranked pest control franchise in U.S. by Entrepreneur 2023, 2024, 2025 (3 consecutive years). 400+ territories. Featured on Business RadioX podcast. Heavy fleet/route-based operations.</t>
        </is>
      </c>
      <c r="G69" s="555" t="inlineStr">
        <is>
          <t>2023-2025</t>
        </is>
      </c>
      <c r="H69" s="555" t="inlineStr">
        <is>
          <t>fivestarfranchising.com / businessradiox.com</t>
        </is>
      </c>
      <c r="I69" s="555" t="inlineStr">
        <is>
          <t>Pest control = high-frequency, route-based service = strong telematics ROI case. Heavy fleet brand. 3-year #1 ranking shows sophisticated ops.</t>
        </is>
      </c>
    </row>
    <row r="70">
      <c r="A70" s="557" t="inlineStr">
        <is>
          <t>═══ PREMIUM SERVICE BRANDS / PSB (P1 #6 — GREENFIELD-OPEN — Charlottesville VA, 9-brand platform) ═══</t>
        </is>
      </c>
    </row>
    <row r="71" ht="70" customHeight="1" s="435">
      <c r="A71" s="555" t="inlineStr">
        <is>
          <t>PSB Corp</t>
        </is>
      </c>
      <c r="B71" s="555" t="inlineStr">
        <is>
          <t>Founder/CEO</t>
        </is>
      </c>
      <c r="C71" s="555" t="inlineStr">
        <is>
          <t>Paul Flick</t>
        </is>
      </c>
      <c r="D71" s="555" t="inlineStr">
        <is>
          <t>Pending verification</t>
        </is>
      </c>
      <c r="E71" s="555" t="inlineStr">
        <is>
          <t>Founder/PE</t>
        </is>
      </c>
      <c r="F71" s="555" t="inlineStr">
        <is>
          <t>Founder/CEO Premium Service Brands. 117 new franchise agreements signed in 2025, 400+ total locations. Quote: "2025 reaffirmed that Premium Service Brands is a platform designed for long-term success... Our franchisees aren't just opening businesses; they're building trusted local brands that customers return to year after year. That loyalty is becoming one of the most valuable currencies in today's economy."</t>
        </is>
      </c>
      <c r="G71" s="555" t="inlineStr">
        <is>
          <t>Feb 2026</t>
        </is>
      </c>
      <c r="H71" s="555" t="inlineStr">
        <is>
          <t>prnewswire.com (Feb 18, 2026)</t>
        </is>
      </c>
      <c r="I71" s="555" t="inlineStr">
        <is>
          <t>Charlottesville VA based. Long-running annual Thanksgiving and Christmas meal donations in Charlottesville (community hook). Built PSB to 9 brands.</t>
        </is>
      </c>
    </row>
    <row r="72" ht="70" customHeight="1" s="435">
      <c r="A72" s="555" t="inlineStr">
        <is>
          <t>PSB Corp</t>
        </is>
      </c>
      <c r="B72" s="555" t="inlineStr">
        <is>
          <t>COO</t>
        </is>
      </c>
      <c r="C72" s="555" t="inlineStr">
        <is>
          <t>Roxanne Conrad</t>
        </is>
      </c>
      <c r="D72" s="555" t="inlineStr">
        <is>
          <t>Pending verification (former 360 Painting franchisee = practitioner background)</t>
        </is>
      </c>
      <c r="E72" s="555" t="inlineStr">
        <is>
          <t>Promotion</t>
        </is>
      </c>
      <c r="F72" s="555" t="inlineStr">
        <is>
          <t>Promoted from SVP Operations to COO 2024. Former 360 Painting franchisee = field operator origin. Named one of "The Top 50 Women Chief Operating Officers of 2025" by The Women We Admire. Quote (Feb 2026): "Everything we did in 2025 was about developing durable businesses for our franchisees and for the homeowners who rely on them."</t>
        </is>
      </c>
      <c r="G72" s="555" t="inlineStr">
        <is>
          <t>2024-2025</t>
        </is>
      </c>
      <c r="H72" s="555" t="inlineStr">
        <is>
          <t>franchise.org (May 2025)</t>
        </is>
      </c>
      <c r="I72" s="555" t="inlineStr">
        <is>
          <t>STRONG SIGNAL: Owner-operator origin = perfect empathy for FSM tools at the franchisee level. National recognition. Roadmap-setting (~16 months in COO role). Direct line to Paul Flick.</t>
        </is>
      </c>
    </row>
    <row r="73" ht="70" customHeight="1" s="435">
      <c r="A73" s="555" t="inlineStr">
        <is>
          <t>PSB Corp</t>
        </is>
      </c>
      <c r="B73" s="555" t="inlineStr">
        <is>
          <t>VP</t>
        </is>
      </c>
      <c r="C73" s="555" t="inlineStr">
        <is>
          <t>Vivi Nellen</t>
        </is>
      </c>
      <c r="D73" s="555" t="inlineStr">
        <is>
          <t>Pending verification</t>
        </is>
      </c>
      <c r="E73" s="555" t="inlineStr">
        <is>
          <t>Leadership</t>
        </is>
      </c>
      <c r="F73" s="555" t="inlineStr">
        <is>
          <t>Vice President of Premium Service Brands. Quote on Kids-Lift: "Strong businesses should empower the communities they serve."</t>
        </is>
      </c>
      <c r="G73" s="555" t="inlineStr">
        <is>
          <t>Current</t>
        </is>
      </c>
      <c r="H73" s="555" t="inlineStr">
        <is>
          <t>prnewswire.com (Feb 2026)</t>
        </is>
      </c>
      <c r="I73" s="555" t="inlineStr">
        <is>
          <t>PSB leadership team member. Charlottesville-based.</t>
        </is>
      </c>
    </row>
    <row r="74" ht="70" customHeight="1" s="435">
      <c r="A74" s="555" t="inlineStr">
        <is>
          <t>PSB Corp</t>
        </is>
      </c>
      <c r="B74" s="555" t="inlineStr">
        <is>
          <t>EVP Performance</t>
        </is>
      </c>
      <c r="C74" s="555" t="inlineStr">
        <is>
          <t>Gabe Colon</t>
        </is>
      </c>
      <c r="D74" s="555" t="inlineStr">
        <is>
          <t>Pending verification</t>
        </is>
      </c>
      <c r="E74" s="555" t="inlineStr">
        <is>
          <t>Promotion</t>
        </is>
      </c>
      <c r="F74" s="555" t="inlineStr">
        <is>
          <t>Promoted to EVP of Performance in 2024. Played pivotal role in revamping franchisee training program for streamlined operations and support.</t>
        </is>
      </c>
      <c r="G74" s="555" t="inlineStr">
        <is>
          <t>2024</t>
        </is>
      </c>
      <c r="H74" s="555" t="inlineStr">
        <is>
          <t>franchise.org (Feb 2025)</t>
        </is>
      </c>
      <c r="I74" s="555" t="inlineStr">
        <is>
          <t>Direct training and operational systems owner = direct FSM rollout counterpart for any platform pitch.</t>
        </is>
      </c>
    </row>
    <row r="75" ht="70" customHeight="1" s="435">
      <c r="A75" s="555" t="inlineStr">
        <is>
          <t>PSB Corp</t>
        </is>
      </c>
      <c r="B75" s="555" t="inlineStr">
        <is>
          <t>VP FD Maid Right + Window Gang</t>
        </is>
      </c>
      <c r="C75" s="555" t="inlineStr">
        <is>
          <t>Brad Knieriem</t>
        </is>
      </c>
      <c r="D75" s="555" t="inlineStr">
        <is>
          <t>Pending verification</t>
        </is>
      </c>
      <c r="E75" s="555" t="inlineStr">
        <is>
          <t>New Hire</t>
        </is>
      </c>
      <c r="F75" s="555" t="inlineStr">
        <is>
          <t>Joined as VP of Franchise Development for Maid Right and Window Gang in 2024. Industry experience driving growth for home service brands.</t>
        </is>
      </c>
      <c r="G75" s="555" t="inlineStr">
        <is>
          <t>2024</t>
        </is>
      </c>
      <c r="H75" s="555" t="inlineStr">
        <is>
          <t>franchise.org (Feb 2025)</t>
        </is>
      </c>
      <c r="I75" s="555" t="inlineStr">
        <is>
          <t>New role = roadmap-setting moment. Two brands span cleaning + window cleaning = comparison points.</t>
        </is>
      </c>
    </row>
    <row r="76" ht="70" customHeight="1" s="435">
      <c r="A76" s="555" t="inlineStr">
        <is>
          <t>PSB Corp</t>
        </is>
      </c>
      <c r="B76" s="555" t="inlineStr">
        <is>
          <t>VP FD ProLift + Rubbish Works</t>
        </is>
      </c>
      <c r="C76" s="555" t="inlineStr">
        <is>
          <t>Kyle Christie</t>
        </is>
      </c>
      <c r="D76" s="555" t="inlineStr">
        <is>
          <t>Pending verification</t>
        </is>
      </c>
      <c r="E76" s="555" t="inlineStr">
        <is>
          <t>New Hire</t>
        </is>
      </c>
      <c r="F76" s="555" t="inlineStr">
        <is>
          <t>Named VP of Franchise Development for ProLift Garage Doors and Rubbish Works Junk Removal in 2024.</t>
        </is>
      </c>
      <c r="G76" s="555" t="inlineStr">
        <is>
          <t>2024</t>
        </is>
      </c>
      <c r="H76" s="555" t="inlineStr">
        <is>
          <t>franchise.org (Feb 2025)</t>
        </is>
      </c>
      <c r="I76" s="555" t="inlineStr">
        <is>
          <t>Two trade brands overseen — garage doors + junk removal. Both fleet-heavy categories.</t>
        </is>
      </c>
    </row>
    <row r="77" ht="70" customHeight="1" s="435">
      <c r="A77" s="555" t="inlineStr">
        <is>
          <t>PSB Corp</t>
        </is>
      </c>
      <c r="B77" s="555" t="inlineStr">
        <is>
          <t>Marketing Director</t>
        </is>
      </c>
      <c r="C77" s="555" t="inlineStr">
        <is>
          <t>Bertie Allen</t>
        </is>
      </c>
      <c r="D77" s="555" t="inlineStr">
        <is>
          <t>Pending verification</t>
        </is>
      </c>
      <c r="E77" s="555" t="inlineStr">
        <is>
          <t>New Hire</t>
        </is>
      </c>
      <c r="F77" s="555" t="inlineStr">
        <is>
          <t>Joined as Marketing Director in 2024. Marketing expertise across various industries.</t>
        </is>
      </c>
      <c r="G77" s="555" t="inlineStr">
        <is>
          <t>2024</t>
        </is>
      </c>
      <c r="H77" s="555" t="inlineStr">
        <is>
          <t>franchise.org</t>
        </is>
      </c>
      <c r="I77" s="555" t="inlineStr">
        <is>
          <t>Marketing org leader.</t>
        </is>
      </c>
    </row>
    <row r="78" ht="70" customHeight="1" s="435">
      <c r="A78" s="556" t="inlineStr">
        <is>
          <t>PSB Corp</t>
        </is>
      </c>
      <c r="B78" s="556" t="inlineStr">
        <is>
          <t>Platform Tech</t>
        </is>
      </c>
      <c r="C78" s="556" t="inlineStr">
        <is>
          <t>Nesto (platform, not person)</t>
        </is>
      </c>
      <c r="D78" s="556" t="inlineStr">
        <is>
          <t>N/A</t>
        </is>
      </c>
      <c r="E78" s="556" t="inlineStr">
        <is>
          <t>COMPETITIVE FLAG</t>
        </is>
      </c>
      <c r="F78" s="556" t="inlineStr">
        <is>
          <t>CRITICAL COMPETITIVE INTEL: Nesto is PSB's own multi-brand operating platform — "designed to allow franchisees to efficiently run multiple service concepts" with brand stacking. Launched in Augusta GA and Denver CO. PSB doubling down on Nesto as core 2026 strategy.</t>
        </is>
      </c>
      <c r="G78" s="556" t="inlineStr">
        <is>
          <t>2024-2026</t>
        </is>
      </c>
      <c r="H78" s="556" t="inlineStr">
        <is>
          <t>franchise.org</t>
        </is>
      </c>
      <c r="I78" s="556" t="inlineStr">
        <is>
          <t>⚠️ Direct competitor signal: PSB has built its own internal platform, not third-party. May be defensive about FSM displacement. Approach: position ServiceBridge as complement, not replacement, OR target individual brand-level FSM gaps Nesto doesn't address (e.g., dispatch/routing/telematics specifically).</t>
        </is>
      </c>
    </row>
    <row r="79" ht="65" customHeight="1" s="435">
      <c r="A79" s="555" t="inlineStr">
        <is>
          <t>Pink's Window Services</t>
        </is>
      </c>
      <c r="B79" s="555" t="inlineStr">
        <is>
          <t>Co-Founder</t>
        </is>
      </c>
      <c r="C79" s="555" t="inlineStr">
        <is>
          <t>Carter Smith</t>
        </is>
      </c>
      <c r="D79" s="555" t="inlineStr">
        <is>
          <t>Baylor University (led Baylor's largest mens service organization, 170 members; orchestrated $20K annual fundraise to Mission Waco)</t>
        </is>
      </c>
      <c r="E79" s="555" t="inlineStr">
        <is>
          <t>Brand Founder</t>
        </is>
      </c>
      <c r="F79" s="555" t="inlineStr">
        <is>
          <t>Co-founded Pink's Window Services 2020 in Austin TX after being laid off from corporate role. Focuses on branding and marketing with creative flair. "Classic milkman style" uniforms (high-waisted pants, white polo). Acquired by ResiBrands 2023.</t>
        </is>
      </c>
      <c r="G79" s="555" t="inlineStr">
        <is>
          <t>2020 founding</t>
        </is>
      </c>
      <c r="H79" s="555" t="inlineStr">
        <is>
          <t>linkedin.com/in/carter-smith-5756b1b2/</t>
        </is>
      </c>
      <c r="I79" s="555" t="inlineStr">
        <is>
          <t>Baylor alum (4th Baylor connection in dataset). Service-org leadership background. Brand-builder energy. Austin-based — same town as Steven Montgomery.</t>
        </is>
      </c>
    </row>
    <row r="80" ht="65" customHeight="1" s="435">
      <c r="A80" s="555" t="inlineStr">
        <is>
          <t>Pink's Window Services</t>
        </is>
      </c>
      <c r="B80" s="555" t="inlineStr">
        <is>
          <t>Co-Founder</t>
        </is>
      </c>
      <c r="C80" s="555" t="inlineStr">
        <is>
          <t>Brandon Downer</t>
        </is>
      </c>
      <c r="D80" s="555" t="inlineStr">
        <is>
          <t>Finance background — pending verification</t>
        </is>
      </c>
      <c r="E80" s="555" t="inlineStr">
        <is>
          <t>Brand Founder</t>
        </is>
      </c>
      <c r="F80" s="555" t="inlineStr">
        <is>
          <t>Co-founded Pink's with Carter Smith. Quote: "We wanted to flip the script on the traditional blue collar service business industry." Brings finance discipline to the partnership.</t>
        </is>
      </c>
      <c r="G80" s="555" t="inlineStr">
        <is>
          <t>2020 founding</t>
        </is>
      </c>
      <c r="H80" s="555" t="inlineStr">
        <is>
          <t>franchisetimes.com (Sep 2023)</t>
        </is>
      </c>
      <c r="I80" s="555" t="inlineStr">
        <is>
          <t>Finance background = ROI-conversation-ready. Operates the numbers side of partnership.</t>
        </is>
      </c>
    </row>
    <row r="81" ht="65" customHeight="1" s="435">
      <c r="A81" s="556" t="inlineStr">
        <is>
          <t>ResiBrands Corp</t>
        </is>
      </c>
      <c r="B81" s="556" t="inlineStr">
        <is>
          <t>Internal Tool</t>
        </is>
      </c>
      <c r="C81" s="556" t="inlineStr">
        <is>
          <t>ResiConnect (platform, not person)</t>
        </is>
      </c>
      <c r="D81" s="556" t="inlineStr">
        <is>
          <t>N/A</t>
        </is>
      </c>
      <c r="E81" s="556" t="inlineStr">
        <is>
          <t>COMPETITIVE FLAG</t>
        </is>
      </c>
      <c r="F81" s="556" t="inlineStr">
        <is>
          <t>CRITICAL: ResiBrands has built ResiConnect (in-house appointment center) + ResiCreative (full-service creative agency: SEO, graphic design, videography, web dev, social media). Pink's franchisees use ResiConnect for "appointment scheduling and customer communication."</t>
        </is>
      </c>
      <c r="G81" s="556" t="inlineStr">
        <is>
          <t>Active</t>
        </is>
      </c>
      <c r="H81" s="556" t="inlineStr">
        <is>
          <t>resibrands.com</t>
        </is>
      </c>
      <c r="I81" s="556" t="inlineStr">
        <is>
          <t>⚠️ Like PSB's Nesto, ResiBrands has internal tooling. But ResiConnect = appointment center only (intake/scheduling), NOT full FSM (dispatch, routing, technician management, telematics). Direct gap for ServiceBridge to fill at the franchisee level.</t>
        </is>
      </c>
    </row>
    <row r="82" ht="65" customHeight="1" s="435">
      <c r="A82" s="555" t="inlineStr">
        <is>
          <t>House Doctors</t>
        </is>
      </c>
      <c r="B82" s="555" t="inlineStr">
        <is>
          <t>Brand Pres</t>
        </is>
      </c>
      <c r="C82" s="555" t="inlineStr">
        <is>
          <t>(Pending — Aging-in-Place focus)</t>
        </is>
      </c>
      <c r="D82" s="555" t="inlineStr">
        <is>
          <t>TBD</t>
        </is>
      </c>
      <c r="E82" s="555" t="inlineStr">
        <is>
          <t>Brand Initiative</t>
        </is>
      </c>
      <c r="F82" s="555" t="inlineStr">
        <is>
          <t>PSB launched national Certified Aging-in-Place Services through House Doctors in 2024 — caters to growing demand for accessible, senior-friendly home modifications.</t>
        </is>
      </c>
      <c r="G82" s="555" t="inlineStr">
        <is>
          <t>2024</t>
        </is>
      </c>
      <c r="H82" s="555" t="inlineStr">
        <is>
          <t>franchise.org (Feb 2025)</t>
        </is>
      </c>
      <c r="I82" s="555" t="inlineStr">
        <is>
          <t>Senior demographic = growth category. Lower fleet intensity than HVAC/plumbing brands.</t>
        </is>
      </c>
    </row>
    <row r="83" ht="65" customHeight="1" s="435">
      <c r="A83" s="555" t="inlineStr">
        <is>
          <t>RooterMan</t>
        </is>
      </c>
      <c r="B83" s="555" t="inlineStr">
        <is>
          <t>Brand Pres</t>
        </is>
      </c>
      <c r="C83" s="555" t="inlineStr">
        <is>
          <t>(Pending verification)</t>
        </is>
      </c>
      <c r="D83" s="555" t="inlineStr">
        <is>
          <t>TBD</t>
        </is>
      </c>
      <c r="E83" s="555" t="inlineStr">
        <is>
          <t>Top Performer</t>
        </is>
      </c>
      <c r="F83" s="555" t="inlineStr">
        <is>
          <t>RooterMan ranked #298 on Entrepreneur 2025 Franchise 500 list (also #231 in 2024). Plumbing services brand under PSB.</t>
        </is>
      </c>
      <c r="G83" s="555" t="inlineStr">
        <is>
          <t>2024-2025</t>
        </is>
      </c>
      <c r="H83" s="555" t="inlineStr">
        <is>
          <t>franchise.org</t>
        </is>
      </c>
      <c r="I83" s="555" t="inlineStr">
        <is>
          <t>Plumbing = high FSM intensity (truck rolls, dispatch, parts). Top-performing PSB brand. Direct competitor to Mr. Rooter (Neighborly) and Benjamin Franklin (Authority).</t>
        </is>
      </c>
    </row>
    <row r="84" ht="65" customHeight="1" s="435">
      <c r="A84" s="555" t="inlineStr">
        <is>
          <t>360 Painting</t>
        </is>
      </c>
      <c r="B84" s="555" t="inlineStr">
        <is>
          <t>Brand Pres</t>
        </is>
      </c>
      <c r="C84" s="555" t="inlineStr">
        <is>
          <t>(Pending — Roxanne Conrad came up through 360)</t>
        </is>
      </c>
      <c r="D84" s="555" t="inlineStr">
        <is>
          <t>TBD</t>
        </is>
      </c>
      <c r="E84" s="555" t="inlineStr">
        <is>
          <t>Brand Origin</t>
        </is>
      </c>
      <c r="F84" s="555" t="inlineStr">
        <is>
          <t>Roxanne Conrad (now PSB COO) was a former 360 Painting franchisee. PSB's first/legacy brand.</t>
        </is>
      </c>
      <c r="G84" s="555" t="inlineStr">
        <is>
          <t>Founding brand</t>
        </is>
      </c>
      <c r="H84" s="555" t="inlineStr">
        <is>
          <t>franchise.org</t>
        </is>
      </c>
      <c r="I84" s="555" t="inlineStr">
        <is>
          <t>Connection point: Conrad understands 360 Painting franchisees inside out. Easy bridge for any 360-specific FSM conversation.</t>
        </is>
      </c>
    </row>
    <row r="85" ht="50" customHeight="1" s="435">
      <c r="A85" s="558" t="inlineStr">
        <is>
          <t>#1</t>
        </is>
      </c>
      <c r="B85" s="559" t="inlineStr">
        <is>
          <t>Steven Montgomery (ResiBrands CEO)</t>
        </is>
      </c>
      <c r="E85" s="556" t="inlineStr">
        <is>
          <t>Founder $12 → $100M company; just took on Codie Sanchez as Co-Owner; needs FSM to scale 800 territories</t>
        </is>
      </c>
      <c r="I85" s="556" t="inlineStr">
        <is>
          <t>Calvary Chapel BA; Austin TX; coaches son's soccer team (Eagles)</t>
        </is>
      </c>
    </row>
    <row r="86">
      <c r="A86" s="561" t="inlineStr">
        <is>
          <t>WAVE 2 — TOP 5 ADDITIONS (Top Targets across ResiBrands, Five Star, PSB)</t>
        </is>
      </c>
    </row>
    <row r="87" ht="50" customHeight="1" s="435">
      <c r="A87" s="558" t="inlineStr">
        <is>
          <t>#2</t>
        </is>
      </c>
      <c r="B87" s="559" t="inlineStr">
        <is>
          <t>Scott Abbott (Five Star CEO)</t>
        </is>
      </c>
      <c r="E87" s="556" t="inlineStr">
        <is>
          <t>Princeton Equity-backed; built ProNexis internal tool; veteran-friendly culture; just acquired Five Star Flooring</t>
        </is>
      </c>
      <c r="I87" s="556" t="inlineStr">
        <is>
          <t>Springville UT; speaks at IFA, IFPG, ACG, HSS</t>
        </is>
      </c>
    </row>
    <row r="88" ht="50" customHeight="1" s="435">
      <c r="A88" s="558" t="inlineStr">
        <is>
          <t>#3</t>
        </is>
      </c>
      <c r="B88" s="559" t="inlineStr">
        <is>
          <t>Roxanne Conrad (PSB COO)</t>
        </is>
      </c>
      <c r="E88" s="556" t="inlineStr">
        <is>
          <t>Former 360 Painting franchisee → COO; Top 50 Women COOs 2025; field-operator empathy</t>
        </is>
      </c>
      <c r="I88" s="556" t="inlineStr">
        <is>
          <t>PSB Charlottesville VA</t>
        </is>
      </c>
    </row>
    <row r="89" ht="50" customHeight="1" s="435">
      <c r="A89" s="558" t="inlineStr">
        <is>
          <t>#4</t>
        </is>
      </c>
      <c r="B89" s="559" t="inlineStr">
        <is>
          <t>Dean Hartley (Five Star Bath Solutions Brand Pres)</t>
        </is>
      </c>
      <c r="E89" s="556" t="inlineStr">
        <is>
          <t>HSS 2026 "Brand President of the Year"; multi-unit operator origin; trusted to launch Five Star Flooring</t>
        </is>
      </c>
      <c r="I89" s="556" t="inlineStr">
        <is>
          <t>Approaching 400 locations</t>
        </is>
      </c>
    </row>
    <row r="90" ht="50" customHeight="1" s="435">
      <c r="A90" s="558" t="inlineStr">
        <is>
          <t>#5</t>
        </is>
      </c>
      <c r="B90" s="559" t="inlineStr">
        <is>
          <t>Codie Sanchez (ResiBrands Co-Owner)</t>
        </is>
      </c>
      <c r="E90" s="556" t="inlineStr">
        <is>
          <t>Major investor/podcaster/Contrarian Thinking founder; "boring businesses" thesis aligns with FSM platform investment</t>
        </is>
      </c>
      <c r="I90" s="556" t="inlineStr">
        <is>
          <t>Big public megaphone</t>
        </is>
      </c>
    </row>
    <row r="91" ht="30" customHeight="1" s="435">
      <c r="A91" s="562" t="inlineStr">
        <is>
          <t>Five Star</t>
        </is>
      </c>
      <c r="B91" s="562" t="inlineStr">
        <is>
          <t>ProNexis</t>
        </is>
      </c>
      <c r="D91" s="564" t="inlineStr">
        <is>
          <t>24/7 sales support / lead management — NOT FSM. Gap: dispatch, routing, telematics.</t>
        </is>
      </c>
    </row>
    <row r="92">
      <c r="A92" s="565" t="inlineStr">
        <is>
          <t>⚠️ COMPETITIVE PLATFORM FLAGS — Internal tools at Track 2 franchisors</t>
        </is>
      </c>
    </row>
    <row r="93" ht="30" customHeight="1" s="435">
      <c r="A93" s="562" t="inlineStr">
        <is>
          <t>PSB</t>
        </is>
      </c>
      <c r="B93" s="562" t="inlineStr">
        <is>
          <t>Nesto</t>
        </is>
      </c>
      <c r="D93" s="564" t="inlineStr">
        <is>
          <t>Multi-brand operating platform (Augusta GA + Denver CO pilot) — brand stacking. May overlap.</t>
        </is>
      </c>
    </row>
    <row r="94" ht="30" customHeight="1" s="435">
      <c r="A94" s="562" t="inlineStr">
        <is>
          <t>ResiBrands</t>
        </is>
      </c>
      <c r="B94" s="562" t="inlineStr">
        <is>
          <t>ResiConnect + ResiCreative</t>
        </is>
      </c>
      <c r="D94" s="564" t="inlineStr">
        <is>
          <t>Appointment center + creative agency — NOT FSM. Gap: dispatch, routing, telematics.</t>
        </is>
      </c>
    </row>
    <row r="95" ht="30" customHeight="1" s="435">
      <c r="A95" s="562" t="inlineStr">
        <is>
          <t>Authority</t>
        </is>
      </c>
      <c r="B95" s="562" t="inlineStr">
        <is>
          <t>BuyMax</t>
        </is>
      </c>
      <c r="D95" s="564" t="inlineStr">
        <is>
          <t>Procurement/GPO platform — NOT FSM. Aligned partner opportunity.</t>
        </is>
      </c>
    </row>
    <row r="96" ht="30" customHeight="1" s="435">
      <c r="A96" s="562" t="inlineStr">
        <is>
          <t>Neighborly</t>
        </is>
      </c>
      <c r="B96" s="562" t="inlineStr">
        <is>
          <t>HUB Team systems</t>
        </is>
      </c>
      <c r="D96" s="564" t="inlineStr">
        <is>
          <t>Internal franchise systems — Sinha now leading shift to "best-in-class platforms" (= ServiceBridge opportunity)</t>
        </is>
      </c>
    </row>
    <row r="97">
      <c r="A97" s="557" t="inlineStr">
        <is>
          <t>═══ HOMEFRONT BRANDS (P1 #7 — MONITOR-MODE — Charlotte NC, Dudan family-led, Founded 2022) ═══</t>
        </is>
      </c>
    </row>
    <row r="98" ht="65" customHeight="1" s="435">
      <c r="A98" s="556" t="inlineStr">
        <is>
          <t>HomeFront Corp</t>
        </is>
      </c>
      <c r="B98" s="556" t="inlineStr">
        <is>
          <t>CEO/Chairman</t>
        </is>
      </c>
      <c r="C98" s="556" t="inlineStr">
        <is>
          <t>Jeff Dudan</t>
        </is>
      </c>
      <c r="D98" s="556" t="inlineStr">
        <is>
          <t>Schaumburg High School (per RocketReach 1982-1986); college athlete background</t>
        </is>
      </c>
      <c r="E98" s="556" t="inlineStr">
        <is>
          <t>Founder/PE</t>
        </is>
      </c>
      <c r="F98" s="556" t="inlineStr">
        <is>
          <t>STRONG SIGNAL: Founded AdvantaClean 1994 (post-Hurricane Andrew rebuild), grew to 240 locations, sold to Home Franchise Concepts. Chairman of Dudan Group (capital partner). Author of "Discernment" book. Forbes contributor. Appeared Season 8 of Undercover Boss (2017). Active speaker at IFA Annual Convention. CSP-certified (Certified Speaking Professional, National Speakers Association). Built HomeFront Brands 2022 with vision for "100-year company."</t>
        </is>
      </c>
      <c r="G98" s="556" t="inlineStr">
        <is>
          <t>2022-2026</t>
        </is>
      </c>
      <c r="H98" s="556" t="inlineStr">
        <is>
          <t>linkedin.com/in/jeffdudan / homefrontbrands.com</t>
        </is>
      </c>
      <c r="I98" s="556" t="inlineStr">
        <is>
          <t>🎯 PRIMARY TARGET. Active YPO Southern Sands chapter member. IFA Franchisor Forum leadership. Annual "Homecoming" conference. Strong veteran-philanthropy focus (partners with Operation Homefront, Carson Scholars Fund). C.A.R.E.S. culture (Community/Accountability/Respect/Excellence/Service). Direct franchising operator vs PE-backed.</t>
        </is>
      </c>
    </row>
    <row r="99" ht="65" customHeight="1" s="435">
      <c r="A99" s="555" t="inlineStr">
        <is>
          <t>HomeFront Corp</t>
        </is>
      </c>
      <c r="B99" s="555" t="inlineStr">
        <is>
          <t>CGO</t>
        </is>
      </c>
      <c r="C99" s="555" t="inlineStr">
        <is>
          <t>Zack Dudan</t>
        </is>
      </c>
      <c r="D99" s="555" t="inlineStr">
        <is>
          <t>Pending verification (Jeff's son)</t>
        </is>
      </c>
      <c r="E99" s="555" t="inlineStr">
        <is>
          <t>Family Leadership</t>
        </is>
      </c>
      <c r="F99" s="555" t="inlineStr">
        <is>
          <t>Chief Growth Officer of HomeFront Brands. Quote: "When we built HomeFront in 2022, we weren't just looking at the numbers. We wanted to create businesses that are good for people." Hosts "Meet the Team" days for franchise candidates. Direct contact: info@homefrontbrands.com / 704-918-8578.</t>
        </is>
      </c>
      <c r="G99" s="555" t="inlineStr">
        <is>
          <t>2022-2026</t>
        </is>
      </c>
      <c r="H99" s="555" t="inlineStr">
        <is>
          <t>franchisewire.com (Sept 2025)</t>
        </is>
      </c>
      <c r="I99" s="555" t="inlineStr">
        <is>
          <t>Father-son leadership pair. Direct franchise development line. Family values culture.</t>
        </is>
      </c>
    </row>
    <row r="100" ht="65" customHeight="1" s="435">
      <c r="A100" s="555" t="inlineStr">
        <is>
          <t>HomeFront Corp</t>
        </is>
      </c>
      <c r="B100" s="555" t="inlineStr">
        <is>
          <t>CFO</t>
        </is>
      </c>
      <c r="C100" s="555" t="inlineStr">
        <is>
          <t>Mike Dudan</t>
        </is>
      </c>
      <c r="D100" s="555" t="inlineStr">
        <is>
          <t>Pending verification (Jeff's relative)</t>
        </is>
      </c>
      <c r="E100" s="555" t="inlineStr">
        <is>
          <t>Family Leadership</t>
        </is>
      </c>
      <c r="F100" s="555" t="inlineStr">
        <is>
          <t>CFO of HomeFront Brands. Quote: "We work tirelessly to enhance the customer experience, identify and penetrate whitespace opportunity, grow average unit sales volume, and increase efficiency of the platform via accretive acquisition of like-minded companies."</t>
        </is>
      </c>
      <c r="G100" s="555" t="inlineStr">
        <is>
          <t>2022</t>
        </is>
      </c>
      <c r="H100" s="555" t="inlineStr">
        <is>
          <t>dudangroup.com</t>
        </is>
      </c>
      <c r="I100" s="555" t="inlineStr">
        <is>
          <t>Third Dudan family member in C-suite. Acquisition-focused mindset = receptive to M&amp;A roll-up thesis.</t>
        </is>
      </c>
    </row>
    <row r="101" ht="65" customHeight="1" s="435">
      <c r="A101" s="555" t="inlineStr">
        <is>
          <t>HomeFront Corp</t>
        </is>
      </c>
      <c r="B101" s="555" t="inlineStr">
        <is>
          <t>COO</t>
        </is>
      </c>
      <c r="C101" s="555" t="inlineStr">
        <is>
          <t>Michael O'Driscoll</t>
        </is>
      </c>
      <c r="D101" s="555" t="inlineStr">
        <is>
          <t>Pending verification</t>
        </is>
      </c>
      <c r="E101" s="555" t="inlineStr">
        <is>
          <t>Operations</t>
        </is>
      </c>
      <c r="F101" s="555" t="inlineStr">
        <is>
          <t>Chief Operating Officer of HomeFront Brands.</t>
        </is>
      </c>
      <c r="G101" s="555" t="inlineStr">
        <is>
          <t>Current</t>
        </is>
      </c>
      <c r="H101" s="555" t="inlineStr">
        <is>
          <t>franchisewire.com</t>
        </is>
      </c>
      <c r="I101" s="555" t="inlineStr">
        <is>
          <t>Operations counterpart for FSM rollout conversation.</t>
        </is>
      </c>
    </row>
    <row r="102" ht="65" customHeight="1" s="435">
      <c r="A102" s="555" t="inlineStr">
        <is>
          <t>HomeFront Corp</t>
        </is>
      </c>
      <c r="B102" s="555" t="inlineStr">
        <is>
          <t>CMO</t>
        </is>
      </c>
      <c r="C102" s="555" t="inlineStr">
        <is>
          <t>Carrie Beeman</t>
        </is>
      </c>
      <c r="D102" s="555" t="inlineStr">
        <is>
          <t>Pending verification</t>
        </is>
      </c>
      <c r="E102" s="555" t="inlineStr">
        <is>
          <t>Marketing</t>
        </is>
      </c>
      <c r="F102" s="555" t="inlineStr">
        <is>
          <t>Chief Marketing Officer of HomeFront Brands.</t>
        </is>
      </c>
      <c r="G102" s="555" t="inlineStr">
        <is>
          <t>Current</t>
        </is>
      </c>
      <c r="H102" s="555" t="inlineStr">
        <is>
          <t>franchisewire.com</t>
        </is>
      </c>
      <c r="I102" s="555" t="inlineStr">
        <is>
          <t>Marketing org leader.</t>
        </is>
      </c>
    </row>
    <row r="103" ht="65" customHeight="1" s="435">
      <c r="A103" s="555" t="inlineStr">
        <is>
          <t>HomeFront Corp</t>
        </is>
      </c>
      <c r="B103" s="555" t="inlineStr">
        <is>
          <t>CLO</t>
        </is>
      </c>
      <c r="C103" s="555" t="inlineStr">
        <is>
          <t>John Haraldson</t>
        </is>
      </c>
      <c r="D103" s="555" t="inlineStr">
        <is>
          <t>Pending verification</t>
        </is>
      </c>
      <c r="E103" s="555" t="inlineStr">
        <is>
          <t>Legal</t>
        </is>
      </c>
      <c r="F103" s="555" t="inlineStr">
        <is>
          <t>Chief Legal Officer of HomeFront Brands.</t>
        </is>
      </c>
      <c r="G103" s="555" t="inlineStr">
        <is>
          <t>Current</t>
        </is>
      </c>
      <c r="H103" s="555" t="inlineStr">
        <is>
          <t>franchisewire.com</t>
        </is>
      </c>
      <c r="I103" s="555" t="inlineStr">
        <is>
          <t>Legal/contracts counterpart.</t>
        </is>
      </c>
    </row>
    <row r="104" ht="65" customHeight="1" s="435">
      <c r="A104" s="555" t="inlineStr">
        <is>
          <t>Window Hero</t>
        </is>
      </c>
      <c r="B104" s="555" t="inlineStr">
        <is>
          <t>Brand Pres/Founder</t>
        </is>
      </c>
      <c r="C104" s="555" t="inlineStr">
        <is>
          <t>Tyler Kirk</t>
        </is>
      </c>
      <c r="D104" s="555" t="inlineStr">
        <is>
          <t>Pending verification</t>
        </is>
      </c>
      <c r="E104" s="555" t="inlineStr">
        <is>
          <t>Founder</t>
        </is>
      </c>
      <c r="F104" s="555" t="inlineStr">
        <is>
          <t>Founder of Window Hero (HomeFront's first acquisition, 2022). Quote on partnership: "The decision to select Jeff Dudan and his leadership team to power the growth of my regional brand was simple. They've done this before, and they've worked with humility and authenticity in guiding our brand forward." Founded SE US 2003.</t>
        </is>
      </c>
      <c r="G104" s="555" t="inlineStr">
        <is>
          <t>2003 founded</t>
        </is>
      </c>
      <c r="H104" s="555" t="inlineStr">
        <is>
          <t>dudangroup.com</t>
        </is>
      </c>
      <c r="I104" s="555" t="inlineStr">
        <is>
          <t>Heavy fleet brand (window cleaning, pressure washing, gutter cleaning). Long-time founder = practitioner depth.</t>
        </is>
      </c>
    </row>
    <row r="105">
      <c r="A105" s="557" t="inlineStr">
        <is>
          <t>═══ THRESHOLD BRANDS (Wave 3 +1 — Riverside Capital-backed, Boston-based, ~10 brands) ═══</t>
        </is>
      </c>
    </row>
    <row r="106" ht="70" customHeight="1" s="435">
      <c r="A106" s="556" t="inlineStr">
        <is>
          <t>Threshold Corp</t>
        </is>
      </c>
      <c r="B106" s="556" t="inlineStr">
        <is>
          <t>CEO</t>
        </is>
      </c>
      <c r="C106" s="556" t="inlineStr">
        <is>
          <t>Hagan Kappler</t>
        </is>
      </c>
      <c r="D106" s="556" t="inlineStr">
        <is>
          <t>Pending verification</t>
        </is>
      </c>
      <c r="E106" s="556" t="inlineStr">
        <is>
          <t>PE/Brand Builder</t>
        </is>
      </c>
      <c r="F106" s="556" t="inlineStr">
        <is>
          <t>STRONG SIGNAL: CEO of Threshold Brands since early 2022. Previously led Merry Maids and ServiceMaster Clean until their sale to Roark Capital in 2020. Quote: "Our growth enables Threshold Brands to invest in our franchise brands to help our franchise owners across the country to pursue their dreams." Executed 84 new franchise agreements first year. Featured in Franchise Times "Why the CEO of Threshold Brands Uses Data, Founder DNA to Propel Growth" (Nov 2022).</t>
        </is>
      </c>
      <c r="G106" s="556" t="inlineStr">
        <is>
          <t>2022-2025</t>
        </is>
      </c>
      <c r="H106" s="556" t="inlineStr">
        <is>
          <t>franchisetimes.com (Nov 2022)</t>
        </is>
      </c>
      <c r="I106" s="556" t="inlineStr">
        <is>
          <t>🎯 PRIMARY TARGET. Riverside Capital-backed (key context: Riverside was previous backer of Neighborly/Dwyer Group, so deep franchise PE relationships). Boston-based. ServiceMaster/Roark exit experience.</t>
        </is>
      </c>
    </row>
    <row r="107" ht="70" customHeight="1" s="435">
      <c r="A107" s="555" t="inlineStr">
        <is>
          <t>Threshold Corp</t>
        </is>
      </c>
      <c r="B107" s="555" t="inlineStr">
        <is>
          <t>PE Backer</t>
        </is>
      </c>
      <c r="C107" s="555" t="inlineStr">
        <is>
          <t>Riverside Company - Steve Rice (Partner)</t>
        </is>
      </c>
      <c r="D107" s="555" t="inlineStr">
        <is>
          <t>N/A</t>
        </is>
      </c>
      <c r="E107" s="555" t="inlineStr">
        <is>
          <t>PE Context</t>
        </is>
      </c>
      <c r="F107" s="555" t="inlineStr">
        <is>
          <t>Riverside Partner Steve Rice in charge of Threshold Brands. Other Riverside team: Schlachet, Brian Sauer, Caroline Peck, Sarah Jensen, Ervin Cash, Mark Cohen, Bart Thielen. Quote: "We remain firmly in buy mode... All we do is work with entrepreneurs. We've become the best home for small businesses in the world." Riverside also previously owned Neighborly (Dwyer Group) for two stretches.</t>
        </is>
      </c>
      <c r="G107" s="555" t="inlineStr">
        <is>
          <t>2021-2025</t>
        </is>
      </c>
      <c r="H107" s="555" t="inlineStr">
        <is>
          <t>riversidecompany.com</t>
        </is>
      </c>
      <c r="I107" s="555" t="inlineStr">
        <is>
          <t>Riverside has Neighborly history = potential warm-intro path through Charles Layne / Accel-KKR network if any cross-PE connections exist.</t>
        </is>
      </c>
    </row>
    <row r="108" ht="70" customHeight="1" s="435">
      <c r="A108" s="555" t="inlineStr">
        <is>
          <t>MaidPro</t>
        </is>
      </c>
      <c r="B108" s="555" t="inlineStr">
        <is>
          <t>Founder (legacy)</t>
        </is>
      </c>
      <c r="C108" s="555" t="inlineStr">
        <is>
          <t>Mark Kushinsky</t>
        </is>
      </c>
      <c r="D108" s="555" t="inlineStr">
        <is>
          <t>Pending</t>
        </is>
      </c>
      <c r="E108" s="555" t="inlineStr">
        <is>
          <t>Founder</t>
        </is>
      </c>
      <c r="F108" s="555" t="inlineStr">
        <is>
          <t>Founder of MaidPro. ~270 franchised locations. Investment range $77,560-$102,800. Largest brand in Threshold portfolio (~half of locations).</t>
        </is>
      </c>
      <c r="G108" s="555" t="inlineStr">
        <is>
          <t>Founder</t>
        </is>
      </c>
      <c r="H108" s="555" t="inlineStr">
        <is>
          <t>franchisetimes.com</t>
        </is>
      </c>
      <c r="I108" s="555" t="inlineStr">
        <is>
          <t>Founder may still be involved or be a warm-intro path.</t>
        </is>
      </c>
    </row>
    <row r="109" ht="70" customHeight="1" s="435">
      <c r="A109" s="555" t="inlineStr">
        <is>
          <t>Pestmaster Services</t>
        </is>
      </c>
      <c r="B109" s="555" t="inlineStr">
        <is>
          <t>Founder (legacy)</t>
        </is>
      </c>
      <c r="C109" s="555" t="inlineStr">
        <is>
          <t>Jeff van Diepen</t>
        </is>
      </c>
      <c r="D109" s="555" t="inlineStr">
        <is>
          <t>Pending</t>
        </is>
      </c>
      <c r="E109" s="555" t="inlineStr">
        <is>
          <t>Founder</t>
        </is>
      </c>
      <c r="F109" s="555" t="inlineStr">
        <is>
          <t>Founder of Pestmaster. 35 franchised locations at time of sale. Cost of investment $43,210-$88,710.</t>
        </is>
      </c>
      <c r="G109" s="555" t="inlineStr">
        <is>
          <t>Founder</t>
        </is>
      </c>
      <c r="H109" s="555" t="inlineStr">
        <is>
          <t>franchisetimes.com</t>
        </is>
      </c>
      <c r="I109" s="555" t="inlineStr">
        <is>
          <t>Pest control = high-frequency route-based service = strong telematics ROI case.</t>
        </is>
      </c>
    </row>
    <row r="110" ht="70" customHeight="1" s="435">
      <c r="A110" s="555" t="inlineStr">
        <is>
          <t>USA Insulation</t>
        </is>
      </c>
      <c r="B110" s="555" t="inlineStr">
        <is>
          <t>CEO/Leader (legacy)</t>
        </is>
      </c>
      <c r="C110" s="555" t="inlineStr">
        <is>
          <t>Pat Pitrone</t>
        </is>
      </c>
      <c r="D110" s="555" t="inlineStr">
        <is>
          <t>Pending (father founded the brand)</t>
        </is>
      </c>
      <c r="E110" s="555" t="inlineStr">
        <is>
          <t>Founder/Family</t>
        </is>
      </c>
      <c r="F110" s="555" t="inlineStr">
        <is>
          <t>Pat Pitrone leads USA Insulation (founded by his father). 70-unit concept providing residential insulation. Hagan Kappler quote about USA Insulation: "seeing tremendous growth with an unparalleled product. They're entrepreneurial and they're excited about growth."</t>
        </is>
      </c>
      <c r="G110" s="555" t="inlineStr">
        <is>
          <t>Family-founded</t>
        </is>
      </c>
      <c r="H110" s="555" t="inlineStr">
        <is>
          <t>franchisetimes.com</t>
        </is>
      </c>
      <c r="I110" s="555" t="inlineStr">
        <is>
          <t>Family franchise legacy = practitioner mentality.</t>
        </is>
      </c>
    </row>
    <row r="111" ht="70" customHeight="1" s="435">
      <c r="A111" s="556" t="inlineStr">
        <is>
          <t>Maid Brigade</t>
        </is>
      </c>
      <c r="B111" s="556" t="inlineStr">
        <is>
          <t>Brand Pres</t>
        </is>
      </c>
      <c r="C111" s="556" t="inlineStr">
        <is>
          <t>Danessa Itaya</t>
        </is>
      </c>
      <c r="D111" s="556" t="inlineStr">
        <is>
          <t>Pending verification</t>
        </is>
      </c>
      <c r="E111" s="556" t="inlineStr">
        <is>
          <t>Cross-Portfolio Hire</t>
        </is>
      </c>
      <c r="F111" s="556" t="inlineStr">
        <is>
          <t>STRONG CROSS-PORTFOLIO SIGNAL: Joined Maid Brigade (separate company, not Threshold) Nov 12, 2025 as Brand President. Previously President of Bio-One (Five Star Franchising brand, 135+ locations) — led "system modernization, CRM implementation, and national account expansion." Before that President of Property Management Inc. (grew 233→380 franchises). 25+ years in franchising. Atlanta-based.</t>
        </is>
      </c>
      <c r="G111" s="556" t="inlineStr">
        <is>
          <t>Nov 12, 2025</t>
        </is>
      </c>
      <c r="H111" s="556" t="inlineStr">
        <is>
          <t>prnewswire.com (Nov 12, 2025)</t>
        </is>
      </c>
      <c r="I111" s="556" t="inlineStr">
        <is>
          <t>⭐ CRM IMPLEMENTATION + SYSTEM MODERNIZATION background = HUGE FSM signal. Cross-pollination between Five Star + Maid Brigade. New role (~6 months) = roadmap window. Direct receptivity to platform conversation.</t>
        </is>
      </c>
    </row>
    <row r="112">
      <c r="A112" s="557" t="inlineStr">
        <is>
          <t>═══ HORSEPOWER BRANDS (Wave 3 +2 — Omaha NE, Skolnick + Beutler founded 2019/2020, $100M+ capital) ═══</t>
        </is>
      </c>
    </row>
    <row r="113" ht="75" customHeight="1" s="435">
      <c r="A113" s="556" t="inlineStr">
        <is>
          <t>HorsePower Corp</t>
        </is>
      </c>
      <c r="B113" s="556" t="inlineStr">
        <is>
          <t>Co-Founder/Chair</t>
        </is>
      </c>
      <c r="C113" s="556" t="inlineStr">
        <is>
          <t>Josh Skolnick</t>
        </is>
      </c>
      <c r="D113" s="556" t="inlineStr">
        <is>
          <t>Self-taught entrepreneur (started first business in elementary school, mowing lawns)</t>
        </is>
      </c>
      <c r="E113" s="556" t="inlineStr">
        <is>
          <t>BELFOR Connection</t>
        </is>
      </c>
      <c r="F113" s="556" t="inlineStr">
        <is>
          <t>🎯🎯 STRONGEST CONNECTION SIGNAL IN ENTIRE DATASET: Skolnick SOLD MONSTER TREE SERVICE TO AUTHORITY BRANDS (Sept 2020, 240 territories) AND SOLD REDBOX+ TO BELFOR FRANCHISE GROUP (June 2021). Direct sale relationship with BELFOR leadership = ideal warm-intro path to Doug Smith / Sheldon Yellen via shared M&amp;A history.</t>
        </is>
      </c>
      <c r="G113" s="556" t="inlineStr">
        <is>
          <t>Sept 2020 (Authority); June 2021 (BELFOR)</t>
        </is>
      </c>
      <c r="H113" s="556" t="inlineStr">
        <is>
          <t>franchisetimes.com / themiddlemarket.com</t>
        </is>
      </c>
      <c r="I113" s="556" t="inlineStr">
        <is>
          <t>🎯 PRIMARY TARGET. Skolnick has direct Rolodex access to BELFOR FG leadership (Mike's #1 P1 target!). HorsePower currently exploring exit (IPO or PE partnership). Open to FSM platform conversations as exit-prep value driver. Co-founded HorsePower 2019 with $100M capital deployed.</t>
        </is>
      </c>
    </row>
    <row r="114" ht="75" customHeight="1" s="435">
      <c r="A114" s="555" t="inlineStr">
        <is>
          <t>HorsePower Corp</t>
        </is>
      </c>
      <c r="B114" s="555" t="inlineStr">
        <is>
          <t>Co-Founder/CDO</t>
        </is>
      </c>
      <c r="C114" s="555" t="inlineStr">
        <is>
          <t>Zach Beutler</t>
        </is>
      </c>
      <c r="D114" s="555" t="inlineStr">
        <is>
          <t>Pending verification (Nebraska-based, multi-unit franchise owner)</t>
        </is>
      </c>
      <c r="E114" s="555" t="inlineStr">
        <is>
          <t>Co-Founder</t>
        </is>
      </c>
      <c r="F114" s="555" t="inlineStr">
        <is>
          <t>Met Skolnick at franchise conference in Cancún 2017. Hired by Skolnick as CDO of Monster Tree Service. Owns a cattle company in Nebraska. "Together they have $100M of capital." Quote on franchise systems: "we have to pull back on what we know it will be, because it gets very unrealistic to the average person."</t>
        </is>
      </c>
      <c r="G114" s="555" t="inlineStr">
        <is>
          <t>2019 founding</t>
        </is>
      </c>
      <c r="H114" s="555" t="inlineStr">
        <is>
          <t>franchisetimes.com (Apr 2022)</t>
        </is>
      </c>
      <c r="I114" s="555" t="inlineStr">
        <is>
          <t>Multi-unit franchise owner background = empathy for franchisee tools. Operations side of partnership.</t>
        </is>
      </c>
    </row>
    <row r="115" ht="75" customHeight="1" s="435">
      <c r="A115" s="555" t="inlineStr">
        <is>
          <t>HorsePower Corp</t>
        </is>
      </c>
      <c r="B115" s="555" t="inlineStr">
        <is>
          <t>CEO</t>
        </is>
      </c>
      <c r="C115" s="555" t="inlineStr">
        <is>
          <t>Tony Hulbert</t>
        </is>
      </c>
      <c r="D115" s="555" t="inlineStr">
        <is>
          <t>Pending verification</t>
        </is>
      </c>
      <c r="E115" s="555" t="inlineStr">
        <is>
          <t>New CEO</t>
        </is>
      </c>
      <c r="F115" s="555" t="inlineStr">
        <is>
          <t>NEW CEO of HorsePower Brands (appears to have transitioned from Skolnick as CEO recently — Skolnick now Chair). Featured on Close The Deal Podcast with host Ewell Smith.</t>
        </is>
      </c>
      <c r="G115" s="555" t="inlineStr">
        <is>
          <t>Recent (2025)</t>
        </is>
      </c>
      <c r="H115" s="555" t="inlineStr">
        <is>
          <t>horsepowerbrands.com/news</t>
        </is>
      </c>
      <c r="I115" s="555" t="inlineStr">
        <is>
          <t>New CEO = roadmap-setting moment. Operates day-to-day while Skolnick focuses on M&amp;A/strategic.</t>
        </is>
      </c>
    </row>
    <row r="116" ht="75" customHeight="1" s="435">
      <c r="A116" s="555" t="inlineStr">
        <is>
          <t>HorsePower Corp</t>
        </is>
      </c>
      <c r="B116" s="555" t="inlineStr">
        <is>
          <t>Group President</t>
        </is>
      </c>
      <c r="C116" s="555" t="inlineStr">
        <is>
          <t>Don Schneider</t>
        </is>
      </c>
      <c r="D116" s="555" t="inlineStr">
        <is>
          <t>Pending verification</t>
        </is>
      </c>
      <c r="E116" s="555" t="inlineStr">
        <is>
          <t>Brand Operations</t>
        </is>
      </c>
      <c r="F116" s="555" t="inlineStr">
        <is>
          <t>Group President at HorsePower Brands. Mentioned in Roofing Contractor magazine feature on Mighty Dog Roofing (#20 of Top 100 Roofing Contractors 2025).</t>
        </is>
      </c>
      <c r="G116" s="555" t="inlineStr">
        <is>
          <t>Current</t>
        </is>
      </c>
      <c r="H116" s="555" t="inlineStr">
        <is>
          <t>horsepowerbrands.com/news</t>
        </is>
      </c>
      <c r="I116" s="555" t="inlineStr">
        <is>
          <t>Operations leader for the brands portfolio.</t>
        </is>
      </c>
    </row>
    <row r="117" ht="75" customHeight="1" s="435">
      <c r="A117" s="556" t="inlineStr">
        <is>
          <t>HorsePower Corp</t>
        </is>
      </c>
      <c r="B117" s="556" t="inlineStr">
        <is>
          <t>Internal Platform</t>
        </is>
      </c>
      <c r="C117" s="556" t="inlineStr">
        <is>
          <t>ZeeServices (platform, not person)</t>
        </is>
      </c>
      <c r="D117" s="556" t="inlineStr">
        <is>
          <t>N/A</t>
        </is>
      </c>
      <c r="E117" s="556" t="inlineStr">
        <is>
          <t>COMPETITIVE FLAG</t>
        </is>
      </c>
      <c r="F117" s="556" t="inlineStr">
        <is>
          <t>CRITICAL: HorsePower has built ZeeServices internal platform with 6+ verticals: ZeeMarketing (Google/Meta ads, SEO), ZeeContact (lead communications), ZeeRecruit (talent acquisition), ZeeBooks (bookkeeping), ZeeLogic (IT/dashboards/automation), ZeeFleet (vehicle purchasing/uplifts/equipment).</t>
        </is>
      </c>
      <c r="G117" s="556" t="inlineStr">
        <is>
          <t>Active</t>
        </is>
      </c>
      <c r="H117" s="556" t="inlineStr">
        <is>
          <t>horsepowerbrands.com</t>
        </is>
      </c>
      <c r="I117" s="556" t="inlineStr">
        <is>
          <t>⚠️ ZeeFleet specifically targets vehicle/fleet category = direct overlap with telematics/FSM. Position ServiceBridge as complementary at ZeeLogic+ZeeFleet intersection (dispatch, routing, technician management). Or target individual brand-level FSM gaps.</t>
        </is>
      </c>
    </row>
    <row r="118" ht="75" customHeight="1" s="435">
      <c r="A118" s="555" t="inlineStr">
        <is>
          <t>Stand Strong Fencing</t>
        </is>
      </c>
      <c r="B118" s="555" t="inlineStr">
        <is>
          <t>Brand Event</t>
        </is>
      </c>
      <c r="C118" s="555" t="inlineStr">
        <is>
          <t>(Conference signal)</t>
        </is>
      </c>
      <c r="D118" s="555" t="inlineStr">
        <is>
          <t>N/A</t>
        </is>
      </c>
      <c r="E118" s="555" t="inlineStr">
        <is>
          <t>Industry Event</t>
        </is>
      </c>
      <c r="F118" s="555" t="inlineStr">
        <is>
          <t>Stand Strong Fencing 2026 Conference recently held — Skolnick LinkedIn quote: "This system is on the Fast Track to being the largest fencing brand in 🇺🇸!!!"</t>
        </is>
      </c>
      <c r="G118" s="555" t="inlineStr">
        <is>
          <t>Early 2026</t>
        </is>
      </c>
      <c r="H118" s="555" t="inlineStr">
        <is>
          <t>linkedin.com/in/josh-skolnick-71a10834/</t>
        </is>
      </c>
      <c r="I118" s="555" t="inlineStr">
        <is>
          <t>Active brand-level conferences = engaged ownership culture.</t>
        </is>
      </c>
    </row>
    <row r="119" ht="75" customHeight="1" s="435">
      <c r="A119" s="555" t="inlineStr">
        <is>
          <t>Mighty Dog Roofing</t>
        </is>
      </c>
      <c r="B119" s="555" t="inlineStr">
        <is>
          <t>Brand Recognition</t>
        </is>
      </c>
      <c r="C119" s="555" t="inlineStr">
        <is>
          <t>(Brand signal)</t>
        </is>
      </c>
      <c r="D119" s="555" t="inlineStr">
        <is>
          <t>N/A</t>
        </is>
      </c>
      <c r="E119" s="555" t="inlineStr">
        <is>
          <t>Top Performer</t>
        </is>
      </c>
      <c r="F119" s="555" t="inlineStr">
        <is>
          <t>Mighty Dog Roofing #20 on Top 100 Roofing Contractors 2025 (Roofing Contractor magazine). #275 on 2025 Franchise Times Top 400. First HorsePower acquisition in 2020 — went from 1 corp + 1 franchise unit to 200+ territories under HorsePower system.</t>
        </is>
      </c>
      <c r="G119" s="555" t="inlineStr">
        <is>
          <t>2025</t>
        </is>
      </c>
      <c r="H119" s="555" t="inlineStr">
        <is>
          <t>horsepowerbrands.com/news</t>
        </is>
      </c>
      <c r="I119" s="555" t="inlineStr">
        <is>
          <t>Highest-volume HorsePower brand. Heavy fleet (roofing trucks). Strong FSM ROI case.</t>
        </is>
      </c>
    </row>
    <row r="120" ht="60" customHeight="1" s="435">
      <c r="A120" s="558" t="inlineStr">
        <is>
          <t>#1</t>
        </is>
      </c>
      <c r="B120" s="559" t="inlineStr">
        <is>
          <t>Josh Skolnick (HorsePower Co-Founder/Chair)</t>
        </is>
      </c>
      <c r="E120" s="556" t="inlineStr">
        <is>
          <t>SOLD REDBOX+ TO BELFOR FG (June 2021) + sold Monster Tree to Authority (Sept 2020). DIRECT BELFOR leadership relationship = warm-intro to Mike's #1 P1 target. HorsePower exploring exit (IPO/PE).</t>
        </is>
      </c>
      <c r="I120" s="556" t="inlineStr">
        <is>
          <t>Omaha NE; $100M capital</t>
        </is>
      </c>
    </row>
    <row r="121">
      <c r="A121" s="561" t="inlineStr">
        <is>
          <t>WAVE 3 — TOP 5 ADDITIONS (HomeFront, Threshold, HorsePower)</t>
        </is>
      </c>
    </row>
    <row r="122" ht="60" customHeight="1" s="435">
      <c r="A122" s="558" t="inlineStr">
        <is>
          <t>#2</t>
        </is>
      </c>
      <c r="B122" s="559" t="inlineStr">
        <is>
          <t>Jeff Dudan (HomeFront CEO)</t>
        </is>
      </c>
      <c r="E122" s="556" t="inlineStr">
        <is>
          <t>Founded AdvantaClean (240 locations, sold). Author Discernment book. Forbes contributor. Undercover Boss S8. CSP. Active YPO + IFA Franchisor Forum.</t>
        </is>
      </c>
      <c r="I122" s="556" t="inlineStr">
        <is>
          <t>Charlotte NC; family-led with sons Zack + Mike Dudan</t>
        </is>
      </c>
    </row>
    <row r="123" ht="60" customHeight="1" s="435">
      <c r="A123" s="558" t="inlineStr">
        <is>
          <t>#3</t>
        </is>
      </c>
      <c r="B123" s="559" t="inlineStr">
        <is>
          <t>Hagan Kappler (Threshold CEO)</t>
        </is>
      </c>
      <c r="E123" s="556" t="inlineStr">
        <is>
          <t>Previously led Merry Maids + ServiceMaster Clean (sold to Roark Capital 2020). Riverside Capital-backed. 84 new franchise agreements year 1.</t>
        </is>
      </c>
      <c r="I123" s="556" t="inlineStr">
        <is>
          <t>Boston-based</t>
        </is>
      </c>
    </row>
    <row r="124" ht="60" customHeight="1" s="435">
      <c r="A124" s="558" t="inlineStr">
        <is>
          <t>#4</t>
        </is>
      </c>
      <c r="B124" s="559" t="inlineStr">
        <is>
          <t>Danessa Itaya (Maid Brigade Brand Pres)</t>
        </is>
      </c>
      <c r="E124" s="556" t="inlineStr">
        <is>
          <t>25+ yrs franchising. Just joined Nov 12, 2025. Previously led "system modernization, CRM implementation, and national account expansion" at Bio-One (Five Star). Cross-portfolio movement.</t>
        </is>
      </c>
      <c r="I124" s="556" t="inlineStr">
        <is>
          <t>Atlanta</t>
        </is>
      </c>
    </row>
    <row r="125" ht="60" customHeight="1" s="435">
      <c r="A125" s="558" t="inlineStr">
        <is>
          <t>#5</t>
        </is>
      </c>
      <c r="B125" s="559" t="inlineStr">
        <is>
          <t>Tony Hulbert (HorsePower CEO)</t>
        </is>
      </c>
      <c r="E125" s="556" t="inlineStr">
        <is>
          <t>New CEO (Skolnick now Chair). Featured Close The Deal Podcast. Day-to-day operator while Skolnick handles strategic/M&amp;A.</t>
        </is>
      </c>
      <c r="I125" s="556" t="inlineStr">
        <is>
          <t>Omaha NE</t>
        </is>
      </c>
    </row>
    <row r="126">
      <c r="A126" s="557" t="inlineStr">
        <is>
          <t>═══ APEX SERVICE PARTNERS (Wave 4 — Alpine + Partners Group, Tampa FL, $2B revenue, 107 brands, 8000 employees) ═══</t>
        </is>
      </c>
    </row>
    <row r="127">
      <c r="A127" s="565" t="inlineStr">
        <is>
          <t>⚠️ WAVE 4 NOTE — PE ROLLUPS (NOT FRANCHISORS): Apex + Wrench buy &amp; own brands directly. Different sales motion than franchisors.</t>
        </is>
      </c>
    </row>
    <row r="128" ht="75" customHeight="1" s="435">
      <c r="A128" s="556" t="inlineStr">
        <is>
          <t>Apex Corp</t>
        </is>
      </c>
      <c r="B128" s="556" t="inlineStr">
        <is>
          <t>CEO</t>
        </is>
      </c>
      <c r="C128" s="556" t="inlineStr">
        <is>
          <t>AJ Brown</t>
        </is>
      </c>
      <c r="D128" s="556" t="inlineStr">
        <is>
          <t>Northwestern Kellogg MBA; Goldman Sachs analyst origin; D1 soccer player (former captain); Fort Myers FL native</t>
        </is>
      </c>
      <c r="E128" s="556" t="inlineStr">
        <is>
          <t>PE Rollup CEO</t>
        </is>
      </c>
      <c r="F128" s="556" t="inlineStr">
        <is>
          <t>STRONG SIGNAL: Founded Apex 2019. Alpine CEO-in-Residence program graduate. Previously CFO of construction software company Avitru (Alpine portfolio). Quote: "Plumbing and HVAC is a great industry, really big, and really fragmented. I knew the role would play to my M&amp;A skills, while still allowing me to build a team and have a bunch of shots on goal." First job at age 13 working at father's Budweiser distributorship in Fort Myers. Quote on tech: "Give me people who can do things well and let me add technology to improve the experience." 4-year build to $2B revenue.</t>
        </is>
      </c>
      <c r="G128" s="556" t="inlineStr">
        <is>
          <t>2019-2026</t>
        </is>
      </c>
      <c r="H128" s="556" t="inlineStr">
        <is>
          <t>alpineinvestors.com / pitchbook.com</t>
        </is>
      </c>
      <c r="I128" s="556" t="inlineStr">
        <is>
          <t>🎯 PRIMARY TARGET. SOFTWARE-FRIENDLY mindset (came from construction software). Kellogg MBA + Goldman Sachs/Deloitte = rigorous financial framing required. Tampa FL base. Note: Apex is a PE ROLLUP not a franchisor — sales motion is direct platform sale to Apex corporate (single decision-maker for 107 brands), NOT franchisee-by-franchisee.</t>
        </is>
      </c>
    </row>
    <row r="129" ht="75" customHeight="1" s="435">
      <c r="A129" s="555" t="inlineStr">
        <is>
          <t>Apex Corp</t>
        </is>
      </c>
      <c r="B129" s="555" t="inlineStr">
        <is>
          <t>President/Head of M&amp;A/CFO</t>
        </is>
      </c>
      <c r="C129" s="555" t="inlineStr">
        <is>
          <t>Will Matson</t>
        </is>
      </c>
      <c r="D129" s="555" t="inlineStr">
        <is>
          <t>Pending (Alpine CEO-in-Training program graduate)</t>
        </is>
      </c>
      <c r="E129" s="555" t="inlineStr">
        <is>
          <t>M&amp;A Leader</t>
        </is>
      </c>
      <c r="F129" s="555" t="inlineStr">
        <is>
          <t>President + Head of M&amp;A + CFO of Apex. Hired through Alpine's CEO-in-Training program. Direct M&amp;A contact: Wmatson@apexservicepartners.com / 817-614-1242 (per Alpine launch announcement). Has driven 100+ acquisitions to date (most recent: We Care Plumbing Heating &amp; Air, Dec 2025).</t>
        </is>
      </c>
      <c r="G129" s="555" t="inlineStr">
        <is>
          <t>2019-2026</t>
        </is>
      </c>
      <c r="H129" s="555" t="inlineStr">
        <is>
          <t>alpineinvestors.com</t>
        </is>
      </c>
      <c r="I129" s="555" t="inlineStr">
        <is>
          <t>M&amp;A engine = constantly integrating new brands = every brand integration is an FSM platform decision. Direct platform sales conversation point.</t>
        </is>
      </c>
    </row>
    <row r="130" ht="75" customHeight="1" s="435">
      <c r="A130" s="555" t="inlineStr">
        <is>
          <t>Apex Corp</t>
        </is>
      </c>
      <c r="B130" s="555" t="inlineStr">
        <is>
          <t>Group VP Marketing</t>
        </is>
      </c>
      <c r="C130" s="555" t="inlineStr">
        <is>
          <t>Akrit Malik</t>
        </is>
      </c>
      <c r="D130" s="555" t="inlineStr">
        <is>
          <t>Pending verification</t>
        </is>
      </c>
      <c r="E130" s="555" t="inlineStr">
        <is>
          <t>Marketing</t>
        </is>
      </c>
      <c r="F130" s="555" t="inlineStr">
        <is>
          <t>Group Vice President of Marketing. Hired after Alpine playbook team analyzed marketing channels and customer acquisition costs across regions. Oversees marketing across all 107 brands.</t>
        </is>
      </c>
      <c r="G130" s="555" t="inlineStr">
        <is>
          <t>2022-current</t>
        </is>
      </c>
      <c r="H130" s="555" t="inlineStr">
        <is>
          <t>alpineinvestors.com (Aug 2025)</t>
        </is>
      </c>
      <c r="I130" s="555" t="inlineStr">
        <is>
          <t>Cross-brand marketing = needs unified data platform = adjacent FSM conversation. Knows the data infrastructure pain.</t>
        </is>
      </c>
    </row>
    <row r="131" ht="75" customHeight="1" s="435">
      <c r="A131" s="555" t="inlineStr">
        <is>
          <t>Apex Corp</t>
        </is>
      </c>
      <c r="B131" s="555" t="inlineStr">
        <is>
          <t>PE Backers</t>
        </is>
      </c>
      <c r="C131" s="555" t="inlineStr">
        <is>
          <t>Alpine Investors + Partners Group</t>
        </is>
      </c>
      <c r="D131" s="555" t="inlineStr">
        <is>
          <t>N/A</t>
        </is>
      </c>
      <c r="E131" s="555" t="inlineStr">
        <is>
          <t>PE Context</t>
        </is>
      </c>
      <c r="F131" s="555" t="inlineStr">
        <is>
          <t>Alpine Investors (Graham Weaver, Founder/CEO; Daniel Cohen, VP) led foundation investment 2019. $3.4B continuation fund Oct 2023 with Partners Group (Swiss $150B+ AuM). Generational hold thesis. Total raised: $6.01B per PitchBook. Quote (Weaver): "Apex creates outstanding experiences for its customers and continues to experience explosive growth. We believe the extraordinary people at Apex have only begun to scratch the surface of the market opportunity ahead of them." LP commitments include Blackstone Strategic Partners, HarbourVest, Lexington, Pantheon.</t>
        </is>
      </c>
      <c r="G131" s="555" t="inlineStr">
        <is>
          <t>2019-2025</t>
        </is>
      </c>
      <c r="H131" s="555" t="inlineStr">
        <is>
          <t>alpineinvestors.com (May 2025)</t>
        </is>
      </c>
      <c r="I131" s="555" t="inlineStr">
        <is>
          <t>Long-duration ownership = patient capital deployment. Apex viewed as enduring asset, not 3-5 year exit. Strong tech-investment thesis. Alpine has separate franchise rollup thesis (Camp Bow Wow, etc).</t>
        </is>
      </c>
    </row>
    <row r="132" ht="75" customHeight="1" s="435">
      <c r="A132" s="555" t="inlineStr">
        <is>
          <t>Apex - Best Home Services</t>
        </is>
      </c>
      <c r="B132" s="555" t="inlineStr">
        <is>
          <t>Co-CEOs</t>
        </is>
      </c>
      <c r="C132" s="555" t="inlineStr">
        <is>
          <t>Chad + Keegan Hodges (brothers)</t>
        </is>
      </c>
      <c r="D132" s="555" t="inlineStr">
        <is>
          <t>Pending verification</t>
        </is>
      </c>
      <c r="E132" s="555" t="inlineStr">
        <is>
          <t>Family Brand</t>
        </is>
      </c>
      <c r="F132" s="555" t="inlineStr">
        <is>
          <t>Co-CEOs of Best Home Services (Naples FL, foundational Apex brand). Family-owned electrical services business since 1980, expanded to HVAC + plumbing. ~300 full-time employees. Operates Naples + Sarasota + Fort Myers.</t>
        </is>
      </c>
      <c r="G132" s="555" t="inlineStr">
        <is>
          <t>1980 founding, joined Apex 2019</t>
        </is>
      </c>
      <c r="H132" s="555" t="inlineStr">
        <is>
          <t>alpineinvestors.com / hvacinsider.com</t>
        </is>
      </c>
      <c r="I132" s="555" t="inlineStr">
        <is>
          <t>Brother-led family operators. Naples FL base. Each Apex brand still has individual leadership = brand-level FSM conversations are real.</t>
        </is>
      </c>
    </row>
    <row r="133" ht="75" customHeight="1" s="435">
      <c r="A133" s="555" t="inlineStr">
        <is>
          <t>Apex - Frank Gay Services</t>
        </is>
      </c>
      <c r="B133" s="555" t="inlineStr">
        <is>
          <t>Founder (legacy)</t>
        </is>
      </c>
      <c r="C133" s="555" t="inlineStr">
        <is>
          <t>Frank Gay</t>
        </is>
      </c>
      <c r="D133" s="555" t="inlineStr">
        <is>
          <t>Pending</t>
        </is>
      </c>
      <c r="E133" s="555" t="inlineStr">
        <is>
          <t>Founder</t>
        </is>
      </c>
      <c r="F133" s="555" t="inlineStr">
        <is>
          <t>Founder of Frank Gay Services (Orlando FL, foundational Apex brand). Founded 1981 as one-man plumbing operation. Quote on Alpine partnership: "Alpine's strong focus on people and relationships makes it stand out among financial firms, positioning Apex well to succeed in a competitive, high-touch industry like ours."</t>
        </is>
      </c>
      <c r="G133" s="555" t="inlineStr">
        <is>
          <t>1981 founding, joined Apex 2019</t>
        </is>
      </c>
      <c r="H133" s="555" t="inlineStr">
        <is>
          <t>alpineinvestors.com</t>
        </is>
      </c>
      <c r="I133" s="555" t="inlineStr">
        <is>
          <t>Multi-decade founder legacy. Orlando FL base. Plumbing/HVAC/electrical/mechanical = high FSM utilization.</t>
        </is>
      </c>
    </row>
    <row r="134" ht="75" customHeight="1" s="435">
      <c r="A134" s="556" t="inlineStr">
        <is>
          <t>Apex Sales Motion</t>
        </is>
      </c>
      <c r="B134" s="556" t="inlineStr">
        <is>
          <t>Approach Note</t>
        </is>
      </c>
      <c r="C134" s="556" t="inlineStr">
        <is>
          <t>(Strategic note, not person)</t>
        </is>
      </c>
      <c r="D134" s="556" t="inlineStr">
        <is>
          <t>N/A</t>
        </is>
      </c>
      <c r="E134" s="556" t="inlineStr">
        <is>
          <t>GTM STRATEGY</t>
        </is>
      </c>
      <c r="F134" s="556" t="inlineStr">
        <is>
          <t>CRITICAL CONTEXT: Apex is a TRUE BUY-AND-OWN platform (NOT franchise model). Acquires majority control. Integrates brands into shared services for recruiting, training, marketing, finance, procurement, AND TECHNOLOGY. Local brands keep names + leadership but use centralized platforms. ~38 corporate staff support 107 brand teams.</t>
        </is>
      </c>
      <c r="G134" s="556" t="inlineStr">
        <is>
          <t>Current model</t>
        </is>
      </c>
      <c r="H134" s="556" t="inlineStr">
        <is>
          <t>craft.co</t>
        </is>
      </c>
      <c r="I134" s="556" t="inlineStr">
        <is>
          <t>⚠️ Sales approach must target CORPORATE TECH/OPS leadership at Apex HQ (Tampa) for platform-level decision, NOT individual brand presidents. ROI math = 107 brands × $300/tech × ~70 techs/brand = $2.2M ARR potential at single signed deal. Position as "post-acquisition tech integration platform."</t>
        </is>
      </c>
    </row>
    <row r="135">
      <c r="A135" s="557" t="inlineStr">
        <is>
          <t>═══ WRENCH GROUP (Wave 4 — Leonard Green + TSG + Oak Hill, Atlanta GA, 25 brands, 7300 employees, 1.75M customers/yr) ═══</t>
        </is>
      </c>
    </row>
    <row r="136" ht="70" customHeight="1" s="435">
      <c r="A136" s="556" t="inlineStr">
        <is>
          <t>Wrench Corp</t>
        </is>
      </c>
      <c r="B136" s="556" t="inlineStr">
        <is>
          <t>CEO</t>
        </is>
      </c>
      <c r="C136" s="556" t="inlineStr">
        <is>
          <t>Ken Haines</t>
        </is>
      </c>
      <c r="D136" s="556" t="inlineStr">
        <is>
          <t>Pending verification</t>
        </is>
      </c>
      <c r="E136" s="556" t="inlineStr">
        <is>
          <t>PE Rollup CEO</t>
        </is>
      </c>
      <c r="F136" s="556" t="inlineStr">
        <is>
          <t>STRONG SIGNAL: CEO of Wrench Group since 2016. Previously CEO of Coolray (Atlanta) since 2003 — 40+ years industry experience. Built Wrench from 4 founding brands to 25 brands across 27 markets in 14 states. Investcorp quote (2019): "Ken has built an executive team that supports the field operations and is well positioned to complement their efforts to achieve the next evolution of Wrench's growth." Quote (Haines): "We've greatly enjoyed the experience working with their dedicated team to expand our services and national footprint."</t>
        </is>
      </c>
      <c r="G136" s="556" t="inlineStr">
        <is>
          <t>2016-2026</t>
        </is>
      </c>
      <c r="H136" s="556" t="inlineStr">
        <is>
          <t>leonardgreen.com / wrenchgroup.com</t>
        </is>
      </c>
      <c r="I136" s="556" t="inlineStr">
        <is>
          <t>🎯 PRIMARY TARGET. Atlanta-based — same metro as Authority Brands. 40+ years industry depth = practitioner mindset. Multi-PE history (Investcorp 2016-2019 → Leonard Green 2019-current → TSG/Oak Hill minority 2022).</t>
        </is>
      </c>
    </row>
    <row r="137" ht="70" customHeight="1" s="435">
      <c r="A137" s="555" t="inlineStr">
        <is>
          <t>Wrench Corp</t>
        </is>
      </c>
      <c r="B137" s="555" t="inlineStr">
        <is>
          <t>COO</t>
        </is>
      </c>
      <c r="C137" s="555" t="inlineStr">
        <is>
          <t>Dennis Laliberte</t>
        </is>
      </c>
      <c r="D137" s="555" t="inlineStr">
        <is>
          <t>Pending verification</t>
        </is>
      </c>
      <c r="E137" s="555" t="inlineStr">
        <is>
          <t>New Promotion</t>
        </is>
      </c>
      <c r="F137" s="555" t="inlineStr">
        <is>
          <t>Promoted to COO May 2025. Joined Wrench Group as regional executive for Central US region in 2022.</t>
        </is>
      </c>
      <c r="G137" s="555" t="inlineStr">
        <is>
          <t>May 2025 promotion</t>
        </is>
      </c>
      <c r="H137" s="555" t="inlineStr">
        <is>
          <t>phcppros.com (May 2025)</t>
        </is>
      </c>
      <c r="I137" s="555" t="inlineStr">
        <is>
          <t>Recent promotion (~12 months) = roadmap-setting moment. Operations counterpart for FSM rollout conversation.</t>
        </is>
      </c>
    </row>
    <row r="138" ht="70" customHeight="1" s="435">
      <c r="A138" s="555" t="inlineStr">
        <is>
          <t>Wrench Corp</t>
        </is>
      </c>
      <c r="B138" s="555" t="inlineStr">
        <is>
          <t>PE Backers</t>
        </is>
      </c>
      <c r="C138" s="555" t="inlineStr">
        <is>
          <t>Leonard Green &amp; Partners (Tim Flynn, Partner)</t>
        </is>
      </c>
      <c r="D138" s="555" t="inlineStr">
        <is>
          <t>N/A</t>
        </is>
      </c>
      <c r="E138" s="555" t="inlineStr">
        <is>
          <t>PE Context</t>
        </is>
      </c>
      <c r="F138" s="555" t="inlineStr">
        <is>
          <t>Leonard Green acquired Wrench from Investcorp April 2019. TSG Consumer Partners + Oak Hill Capital made significant minority investment Nov 2022; LGP retained majority. Tim Flynn = LGP Partner on the deal. Quote: "We look forward to working with TSG and Oak Hill to help Wrench Group accelerate its growth and further solidify its position as the market leading home services platform."</t>
        </is>
      </c>
      <c r="G138" s="555" t="inlineStr">
        <is>
          <t>2019-current</t>
        </is>
      </c>
      <c r="H138" s="555" t="inlineStr">
        <is>
          <t>leonardgreen.com</t>
        </is>
      </c>
      <c r="I138" s="555" t="inlineStr">
        <is>
          <t>LGP = top-tier PE firm. Multi-investor cap table = sophisticated governance. Long-running PE relationship (5+ years) = exit-ready or late-cycle.</t>
        </is>
      </c>
    </row>
    <row r="139" ht="70" customHeight="1" s="435">
      <c r="A139" s="555" t="inlineStr">
        <is>
          <t>Wrench - Coolray</t>
        </is>
      </c>
      <c r="B139" s="555" t="inlineStr">
        <is>
          <t>Founder (legacy)</t>
        </is>
      </c>
      <c r="C139" s="555" t="inlineStr">
        <is>
          <t>Coolray (Ken Haines' origin brand)</t>
        </is>
      </c>
      <c r="D139" s="555" t="inlineStr">
        <is>
          <t>N/A</t>
        </is>
      </c>
      <c r="E139" s="555" t="inlineStr">
        <is>
          <t>Founder Brand</t>
        </is>
      </c>
      <c r="F139" s="555" t="inlineStr">
        <is>
          <t>Coolray (Atlanta) is Wrench's anchor brand — Ken Haines was CEO 2003-2016 before becoming Wrench CEO. Atlanta GA market. Other Wrench markets: Dallas, Denver, Houston, Phoenix, Sarasota, Tampa.</t>
        </is>
      </c>
      <c r="G139" s="555" t="inlineStr">
        <is>
          <t>Founder brand</t>
        </is>
      </c>
      <c r="H139" s="555" t="inlineStr">
        <is>
          <t>craft.co</t>
        </is>
      </c>
      <c r="I139" s="555" t="inlineStr">
        <is>
          <t>Atlanta = Wrench HQ + biggest brand. Geographic concentration in Sun Belt = strong fleet utilization angle.</t>
        </is>
      </c>
    </row>
    <row r="140" ht="70" customHeight="1" s="435">
      <c r="A140" s="556" t="inlineStr">
        <is>
          <t>Wrench Corp</t>
        </is>
      </c>
      <c r="B140" s="556" t="inlineStr">
        <is>
          <t>Scale Stats</t>
        </is>
      </c>
      <c r="C140" s="556" t="inlineStr">
        <is>
          <t>(Stats summary, not person)</t>
        </is>
      </c>
      <c r="D140" s="556" t="inlineStr">
        <is>
          <t>N/A</t>
        </is>
      </c>
      <c r="E140" s="556" t="inlineStr">
        <is>
          <t>TARGET MATH</t>
        </is>
      </c>
      <c r="F140" s="556" t="inlineStr">
        <is>
          <t>Wrench scale: 7,300 employees, 25 brands, 27 markets in 14 states, 400,000+ service agreements, 1.75 million customers/year. Raised $1.2B total. 15+ acquisitions in HVAC/plumbing/electrical/water management.</t>
        </is>
      </c>
      <c r="G140" s="556" t="inlineStr">
        <is>
          <t>2025-2026</t>
        </is>
      </c>
      <c r="H140" s="556" t="inlineStr">
        <is>
          <t>craft.co</t>
        </is>
      </c>
      <c r="I140" s="556" t="inlineStr">
        <is>
          <t>📊 TARGET MATH: 7,300 employees ÷ ~3 (back-office) = ~5,000 field techs. At $300/tech/yr = $1.5M ARR potential. Multi-brand single decision-maker.</t>
        </is>
      </c>
    </row>
    <row r="141">
      <c r="A141" s="557" t="inlineStr">
        <is>
          <t>═══ HAPPINEST BRANDS (Wave 4 — CNL Strategic Capital, Holmdel NJ, ~1000 units across 5 brands, founded 2018) ═══</t>
        </is>
      </c>
    </row>
    <row r="142" ht="75" customHeight="1" s="435">
      <c r="A142" s="556" t="inlineStr">
        <is>
          <t>Happinest Corp</t>
        </is>
      </c>
      <c r="B142" s="556" t="inlineStr">
        <is>
          <t>CEO Lawn Doctor + Happinest Group leadership</t>
        </is>
      </c>
      <c r="C142" s="556" t="inlineStr">
        <is>
          <t>Scott Frith</t>
        </is>
      </c>
      <c r="D142" s="556" t="inlineStr">
        <is>
          <t>17+ years Lawn Doctor career (manufacturing, consumer marketing, franchise development); succeeded father Russell Frith as CEO</t>
        </is>
      </c>
      <c r="E142" s="556" t="inlineStr">
        <is>
          <t>Family Legacy CEO</t>
        </is>
      </c>
      <c r="F142" s="556" t="inlineStr">
        <is>
          <t>STRONG SIGNAL: CEO of Lawn Doctor since 2011 (Chairman as well). Quote: "Our vision is to drive significant growth by providing the best customer experience through a highly efficient franchise model that is fun to operate. This will help us fully seize on opportunities to consolidate a highly fragmented industry with less nimble competitors and favorable macro demographic trends." Board member of Project Evergreen. Quote on franchisee relationships: "If you veer off of that course of really building deep relationships with franchisees and being extremely collaborative in everything that you do — if you leave that course it's not going to lead to a good outcome."</t>
        </is>
      </c>
      <c r="G142" s="556" t="inlineStr">
        <is>
          <t>2011-2026</t>
        </is>
      </c>
      <c r="H142" s="556" t="inlineStr">
        <is>
          <t>lawndoctorfranchise.com / lawnandlandscape.com</t>
        </is>
      </c>
      <c r="I142" s="556" t="inlineStr">
        <is>
          <t>🎯 PRIMARY TARGET. Father-to-son legacy CEO. 450-700 Lawn Doctor units alone. CONSOLIDATION thesis explicitly stated. Holmdel NJ-based. 17+ years in seat = deep franchise relationships.</t>
        </is>
      </c>
    </row>
    <row r="143" ht="75" customHeight="1" s="435">
      <c r="A143" s="555" t="inlineStr">
        <is>
          <t>Happinest Corp</t>
        </is>
      </c>
      <c r="B143" s="555" t="inlineStr">
        <is>
          <t>SVP Franchise Development</t>
        </is>
      </c>
      <c r="C143" s="555" t="inlineStr">
        <is>
          <t>Eric Martin</t>
        </is>
      </c>
      <c r="D143" s="555" t="inlineStr">
        <is>
          <t>Pending verification</t>
        </is>
      </c>
      <c r="E143" s="555" t="inlineStr">
        <is>
          <t>FD Leader</t>
        </is>
      </c>
      <c r="F143" s="555" t="inlineStr">
        <is>
          <t>Senior Vice President of Franchise Development for Happinest Brands. Quote: "Our team has attracted several new A-players in key leadership roles across the organization; as a system, we have over 4,000 collective years of franchising experience. And our model of centralizing certain aspects of the business to free up owners to focus on local, ground-game activities gives local teams a distinct advantage on the customer service and retention fronts."</t>
        </is>
      </c>
      <c r="G143" s="555" t="inlineStr">
        <is>
          <t>Current</t>
        </is>
      </c>
      <c r="H143" s="555" t="inlineStr">
        <is>
          <t>prnewswire.com (Oct 2025)</t>
        </is>
      </c>
      <c r="I143" s="555" t="inlineStr">
        <is>
          <t>Centralization thesis = direct alignment with FSM platform value prop. "Free up owners to focus on local, ground-game activities" = TRANSLATE to "let ServiceBridge run the back office."</t>
        </is>
      </c>
    </row>
    <row r="144" ht="75" customHeight="1" s="435">
      <c r="A144" s="555" t="inlineStr">
        <is>
          <t>Happinest Corp</t>
        </is>
      </c>
      <c r="B144" s="555" t="inlineStr">
        <is>
          <t>PE Backer</t>
        </is>
      </c>
      <c r="C144" s="555" t="inlineStr">
        <is>
          <t>CNL Strategic Capital Management</t>
        </is>
      </c>
      <c r="D144" s="555" t="inlineStr">
        <is>
          <t>N/A</t>
        </is>
      </c>
      <c r="E144" s="555" t="inlineStr">
        <is>
          <t>PE Context</t>
        </is>
      </c>
      <c r="F144" s="555" t="inlineStr">
        <is>
          <t>CNL Strategic Capital Management acquired majority interest in Lawn Doctor in 2018 (which became Happinest Brands platform). Prior owner: Levine Leichtman Capital Partners (2012-2018). Public BDC structure ($1B+ AuM).</t>
        </is>
      </c>
      <c r="G144" s="555" t="inlineStr">
        <is>
          <t>2018-current</t>
        </is>
      </c>
      <c r="H144" s="555" t="inlineStr">
        <is>
          <t>sharpsheets.io</t>
        </is>
      </c>
      <c r="I144" s="555" t="inlineStr">
        <is>
          <t>CNL = public BDC with patient capital approach. Different governance model than typical PE.</t>
        </is>
      </c>
    </row>
    <row r="145" ht="75" customHeight="1" s="435">
      <c r="A145" s="555" t="inlineStr">
        <is>
          <t>Happinest Corp</t>
        </is>
      </c>
      <c r="B145" s="555" t="inlineStr">
        <is>
          <t>Director of Operations - Hunters-Humbug</t>
        </is>
      </c>
      <c r="C145" s="555" t="inlineStr">
        <is>
          <t>Miguel Diaz</t>
        </is>
      </c>
      <c r="D145" s="555" t="inlineStr">
        <is>
          <t>20 years pest control experience</t>
        </is>
      </c>
      <c r="E145" s="555" t="inlineStr">
        <is>
          <t>New Hire</t>
        </is>
      </c>
      <c r="F145" s="555" t="inlineStr">
        <is>
          <t>Joined as Director of Operations for Hunters-Humbug brand 2025. Per franchise development manager Pam Murdoch: "As someone who has 20 years of experience and both indoor and outdoor pest control knowledge, he brings a lot of valuable experience to our system. He has been pivotal to incorporating these additional services and supporting our franchisees throughout the process."</t>
        </is>
      </c>
      <c r="G145" s="555" t="inlineStr">
        <is>
          <t>2025</t>
        </is>
      </c>
      <c r="H145" s="555" t="inlineStr">
        <is>
          <t>streetinsider.com</t>
        </is>
      </c>
      <c r="I145" s="555" t="inlineStr">
        <is>
          <t>New hire = roadmap-setting moment. Pest control + holiday lighting hybrid model = unique service mix.</t>
        </is>
      </c>
    </row>
    <row r="146" ht="75" customHeight="1" s="435">
      <c r="A146" s="556" t="inlineStr">
        <is>
          <t>Happinest Corp</t>
        </is>
      </c>
      <c r="B146" s="556" t="inlineStr">
        <is>
          <t>Internal Tools/Strategy</t>
        </is>
      </c>
      <c r="C146" s="556" t="inlineStr">
        <is>
          <t>(Strategy note, not person)</t>
        </is>
      </c>
      <c r="D146" s="556" t="inlineStr">
        <is>
          <t>N/A</t>
        </is>
      </c>
      <c r="E146" s="556" t="inlineStr">
        <is>
          <t>STRATEGIC NOTE</t>
        </is>
      </c>
      <c r="F146" s="556" t="inlineStr">
        <is>
          <t>Happinest model: "centralization where it should be and decentralization where it needs to be." Multi-brand same-market synergy: "Having multiple Happinest service vehicles, teams and marketing messages present in the same geography creates the impression of a market-leading, community-rooted service network." Recently established corporate-owned locations for each brand as "real-world testing grounds for live improvement of systems, new marketing strategies and refreshed operational practices."</t>
        </is>
      </c>
      <c r="G146" s="556" t="inlineStr">
        <is>
          <t>Current</t>
        </is>
      </c>
      <c r="H146" s="556" t="inlineStr">
        <is>
          <t>prnewswire.com</t>
        </is>
      </c>
      <c r="I146" s="556" t="inlineStr">
        <is>
          <t>Corporate-owned test stores = ideal pilot deployment vehicle for ServiceBridge. Pitch: "deploy ServiceBridge in your corporate test stores first, prove ROI, then roll out to franchisees." Brands: Lawn Doctor (~700), Pest Hunters-Mosquito Hunters, ecomaids, Elite Window Cleaning, Sparkle Squad.</t>
        </is>
      </c>
    </row>
    <row r="147" ht="60" customHeight="1" s="435">
      <c r="A147" s="558" t="inlineStr">
        <is>
          <t>#1</t>
        </is>
      </c>
      <c r="B147" s="559" t="inlineStr">
        <is>
          <t>AJ Brown (Apex CEO)</t>
        </is>
      </c>
      <c r="E147" s="556" t="inlineStr">
        <is>
          <t>Kellogg MBA + Goldman Sachs + Deloitte. Built $2B platform in 4 yrs from $0. Software-friendly mindset. 107 brands = single decision = potentially largest single deal in dataset</t>
        </is>
      </c>
      <c r="I147" s="556" t="inlineStr">
        <is>
          <t>Tampa FL; Alpine + Partners Group; $6B raised</t>
        </is>
      </c>
    </row>
    <row r="148">
      <c r="A148" s="561" t="inlineStr">
        <is>
          <t>WAVE 4 — TOP 5 ADDITIONS (Apex, Wrench, Happinest)</t>
        </is>
      </c>
    </row>
    <row r="149" ht="60" customHeight="1" s="435">
      <c r="A149" s="558" t="inlineStr">
        <is>
          <t>#2</t>
        </is>
      </c>
      <c r="B149" s="559" t="inlineStr">
        <is>
          <t>Ken Haines (Wrench CEO)</t>
        </is>
      </c>
      <c r="E149" s="556" t="inlineStr">
        <is>
          <t>40+ yrs industry, since 2016 Wrench CEO. Atlanta-based. 25 brands, 7300 employees, 1.75M customers/yr. Sophisticated PE governance (LGP + TSG + Oak Hill)</t>
        </is>
      </c>
      <c r="I149" s="556" t="inlineStr">
        <is>
          <t>Atlanta GA</t>
        </is>
      </c>
    </row>
    <row r="150" ht="60" customHeight="1" s="435">
      <c r="A150" s="558" t="inlineStr">
        <is>
          <t>#3</t>
        </is>
      </c>
      <c r="B150" s="559" t="inlineStr">
        <is>
          <t>Scott Frith (Happinest/Lawn Doctor CEO)</t>
        </is>
      </c>
      <c r="E150" s="556" t="inlineStr">
        <is>
          <t>Father-to-son legacy. Since 2011. 700+ Lawn Doctor units alone. Explicit CONSOLIDATION thesis. "Centralize back office, free owners for local"</t>
        </is>
      </c>
      <c r="I150" s="556" t="inlineStr">
        <is>
          <t>Holmdel NJ; CNL Strategic Capital</t>
        </is>
      </c>
    </row>
    <row r="151" ht="60" customHeight="1" s="435">
      <c r="A151" s="558" t="inlineStr">
        <is>
          <t>#4</t>
        </is>
      </c>
      <c r="B151" s="559" t="inlineStr">
        <is>
          <t>Will Matson (Apex President/M&amp;A/CFO)</t>
        </is>
      </c>
      <c r="E151" s="556" t="inlineStr">
        <is>
          <t>Constantly integrating new brands = every acquisition is an FSM platform decision. Direct contact: Wmatson@apexservicepartners.com</t>
        </is>
      </c>
      <c r="I151" s="556" t="inlineStr">
        <is>
          <t>Tampa FL</t>
        </is>
      </c>
    </row>
    <row r="152" ht="60" customHeight="1" s="435">
      <c r="A152" s="558" t="inlineStr">
        <is>
          <t>#5</t>
        </is>
      </c>
      <c r="B152" s="559" t="inlineStr">
        <is>
          <t>Dennis Laliberte (Wrench COO)</t>
        </is>
      </c>
      <c r="E152" s="556" t="inlineStr">
        <is>
          <t>Promoted May 2025 (~12 mo new). Operations counterpart for any FSM rollout conversation</t>
        </is>
      </c>
      <c r="I152" s="556" t="inlineStr">
        <is>
          <t>Atlanta GA</t>
        </is>
      </c>
    </row>
    <row r="153" ht="50" customHeight="1" s="435">
      <c r="A153" s="566" t="inlineStr">
        <is>
          <t>Franchisor Model (Tracks 1+2 thru Wave 3)</t>
        </is>
      </c>
      <c r="C153" s="568" t="inlineStr">
        <is>
          <t>Sell platform to franchisor → franchisor licenses to franchisees → revenue per technician</t>
        </is>
      </c>
      <c r="F153" s="568" t="inlineStr">
        <is>
          <t>Multi-step adoption curve, displacement risk per franchisee, but SCALE potential is huge</t>
        </is>
      </c>
    </row>
    <row r="154">
      <c r="A154" s="569" t="inlineStr">
        <is>
          <t>🎯 CRITICAL POSITIONING SHIFT: Track 2 Wave 4 introduces NEW ADDRESSABLE MARKET — PE Rollups</t>
        </is>
      </c>
    </row>
    <row r="155" ht="50" customHeight="1" s="435">
      <c r="A155" s="566" t="inlineStr">
        <is>
          <t>PE Rollup Model (Wave 4: Apex + Wrench)</t>
        </is>
      </c>
      <c r="C155" s="568" t="inlineStr">
        <is>
          <t>Single sale to PE platform corporate → mandates platform across all owned brands → revenue per technician</t>
        </is>
      </c>
      <c r="F155" s="568" t="inlineStr">
        <is>
          <t>SINGLE DECISION-MAKER. Faster adoption. But fewer at-bats (only ~10 PE rollups of scale in market)</t>
        </is>
      </c>
    </row>
    <row r="156" ht="50" customHeight="1" s="435">
      <c r="A156" s="566" t="inlineStr">
        <is>
          <t>Combined TAM</t>
        </is>
      </c>
      <c r="C156" s="568" t="inlineStr">
        <is>
          <t>9 PE-backed franchisor networks (Track 1) + 85 individual franchisee brands (Track 2) + ~10 PE rollups (Track 3 NEW)</t>
        </is>
      </c>
      <c r="F156" s="568" t="inlineStr">
        <is>
          <t>Track 3 = potentially 15K+ techs per platform = $4.5M+ ARR per signed deal</t>
        </is>
      </c>
    </row>
    <row r="157" ht="75" customHeight="1" s="435">
      <c r="A157" s="556" t="inlineStr">
        <is>
          <t>Sila Corp</t>
        </is>
      </c>
      <c r="B157" s="556" t="inlineStr">
        <is>
          <t>CEO</t>
        </is>
      </c>
      <c r="C157" s="556" t="inlineStr">
        <is>
          <t>Jason Rabbino</t>
        </is>
      </c>
      <c r="D157" s="556" t="inlineStr">
        <is>
          <t>Pending verification</t>
        </is>
      </c>
      <c r="E157" s="556" t="inlineStr">
        <is>
          <t>New PE Era CEO</t>
        </is>
      </c>
      <c r="F157" s="556" t="inlineStr">
        <is>
          <t>STRONG SIGNAL: CEO of Sila Services per Tracxn (replaced Lou Pellegrini). New chapter under Goldman Sachs ownership (Nov 14, 2024 acquisition from Morgan Stanley Capital Partners). Quote from Sila site: "Jason leads Sila's relentless focus on collaboration, career training &amp; development, and best practices."</t>
        </is>
      </c>
      <c r="G157" s="556" t="inlineStr">
        <is>
          <t>2025-2026</t>
        </is>
      </c>
      <c r="H157" s="556" t="inlineStr">
        <is>
          <t>tracxn.com / silaservices.com</t>
        </is>
      </c>
      <c r="I157" s="556" t="inlineStr">
        <is>
          <t>🎯 PRIMARY TARGET. Goldman Sachs ownership = fresh PE thesis = roadmap-setting moment. 35+ brands single decision = high-leverage conversation.</t>
        </is>
      </c>
    </row>
    <row r="158">
      <c r="A158" s="557" t="inlineStr">
        <is>
          <t>═══ SILA SERVICES (Wave 5 — Goldman Sachs-acquired Nov 2024, King of Prussia PA, 35+ brands, ~2000 employees) ═══</t>
        </is>
      </c>
    </row>
    <row r="159" ht="75" customHeight="1" s="435">
      <c r="A159" s="555" t="inlineStr">
        <is>
          <t>Sila Corp</t>
        </is>
      </c>
      <c r="B159" s="555" t="inlineStr">
        <is>
          <t>COO</t>
        </is>
      </c>
      <c r="C159" s="555" t="inlineStr">
        <is>
          <t>Mike Rudolf</t>
        </is>
      </c>
      <c r="D159" s="555" t="inlineStr">
        <is>
          <t>Pending verification</t>
        </is>
      </c>
      <c r="E159" s="555" t="inlineStr">
        <is>
          <t>Operations</t>
        </is>
      </c>
      <c r="F159" s="555" t="inlineStr">
        <is>
          <t>Chief Operating Officer at Sila Services. "Refines business processes to boost both employee" engagement and operational efficiency.</t>
        </is>
      </c>
      <c r="G159" s="555" t="inlineStr">
        <is>
          <t>Current</t>
        </is>
      </c>
      <c r="H159" s="555" t="inlineStr">
        <is>
          <t>silaservices.com/leadership</t>
        </is>
      </c>
      <c r="I159" s="555" t="inlineStr">
        <is>
          <t>Operations counterpart for FSM rollout conversation.</t>
        </is>
      </c>
    </row>
    <row r="160" ht="75" customHeight="1" s="435">
      <c r="A160" s="556" t="inlineStr">
        <is>
          <t>Sila Corp</t>
        </is>
      </c>
      <c r="B160" s="556" t="inlineStr">
        <is>
          <t>Chief Learning &amp; Development Officer</t>
        </is>
      </c>
      <c r="C160" s="556" t="inlineStr">
        <is>
          <t>Eddie McFarlane</t>
        </is>
      </c>
      <c r="D160" s="556" t="inlineStr">
        <is>
          <t>Decades HVAC industry experience</t>
        </is>
      </c>
      <c r="E160" s="556" t="inlineStr">
        <is>
          <t>Tech-Adjacent Leader</t>
        </is>
      </c>
      <c r="F160" s="556" t="inlineStr">
        <is>
          <t>STRONG SIGNAL: Promoted from VP of Learning, Development &amp; Engagement to CLDO July 2024. Joined Sila May 2023. Built "Sila University" — comprehensive professional and technical skill development. Previously: President of Haller Enterprises, CO-FOUNDED SCHEDULE ENGINE (FSM/scheduling software for home services!). Board member of Air Conditioning Contractors of America (ACCA) and NATE (HVAC technician certifying body). Lives in Lititz PA Lancaster County.</t>
        </is>
      </c>
      <c r="G160" s="556" t="inlineStr">
        <is>
          <t>2023-2024</t>
        </is>
      </c>
      <c r="H160" s="556" t="inlineStr">
        <is>
          <t>silaservices.com/leadership / prnewswire.com (July 2024)</t>
        </is>
      </c>
      <c r="I160" s="556" t="inlineStr">
        <is>
          <t>⭐⭐ CRITICAL: McFarlane CO-FOUNDED Schedule Engine = direct FSM-software founder background. Will speak the ServiceBridge language fluently. ACCA + NATE board seats = industry network gold. Direct connection point for technical conversation.</t>
        </is>
      </c>
    </row>
    <row r="161" ht="75" customHeight="1" s="435">
      <c r="A161" s="555" t="inlineStr">
        <is>
          <t>Sila Corp</t>
        </is>
      </c>
      <c r="B161" s="555" t="inlineStr">
        <is>
          <t>CMO</t>
        </is>
      </c>
      <c r="C161" s="555" t="inlineStr">
        <is>
          <t>Andrew Moffatt</t>
        </is>
      </c>
      <c r="D161" s="555" t="inlineStr">
        <is>
          <t>Pending verification</t>
        </is>
      </c>
      <c r="E161" s="555" t="inlineStr">
        <is>
          <t>Brand Builder</t>
        </is>
      </c>
      <c r="F161" s="555" t="inlineStr">
        <is>
          <t>Promoted from VP of Marketing to Chief Marketing Officer July 2024. Joined Sila 2019. Career origins: The Ritz-Carlton, then AmeriGas, PPL, The Home Depot, Pepsi-Cola. 15+ years brand-building.</t>
        </is>
      </c>
      <c r="G161" s="555" t="inlineStr">
        <is>
          <t>2019-2024</t>
        </is>
      </c>
      <c r="H161" s="555" t="inlineStr">
        <is>
          <t>prnewswire.com (July 2024)</t>
        </is>
      </c>
      <c r="I161" s="555" t="inlineStr">
        <is>
          <t>Big-brand marketing background = sophisticated GTM thinking. The Home Depot tenure = home services context.</t>
        </is>
      </c>
    </row>
    <row r="162" ht="75" customHeight="1" s="435">
      <c r="A162" s="555" t="inlineStr">
        <is>
          <t>Sila Corp</t>
        </is>
      </c>
      <c r="B162" s="555" t="inlineStr">
        <is>
          <t>Chief People Officer</t>
        </is>
      </c>
      <c r="C162" s="555" t="inlineStr">
        <is>
          <t>Heather (last name TBD)</t>
        </is>
      </c>
      <c r="D162" s="555" t="inlineStr">
        <is>
          <t>Pending</t>
        </is>
      </c>
      <c r="E162" s="555" t="inlineStr">
        <is>
          <t>HR Leader</t>
        </is>
      </c>
      <c r="F162" s="555" t="inlineStr">
        <is>
          <t>Chief People Officer at Sila Services. Leads HR shared services team. Career development, leadership coaching, best-in-class HR standards.</t>
        </is>
      </c>
      <c r="G162" s="555" t="inlineStr">
        <is>
          <t>Current</t>
        </is>
      </c>
      <c r="H162" s="555" t="inlineStr">
        <is>
          <t>silaservices.com/leadership</t>
        </is>
      </c>
      <c r="I162" s="555" t="inlineStr">
        <is>
          <t>HR head. Less FSM-relevant.</t>
        </is>
      </c>
    </row>
    <row r="163" ht="75" customHeight="1" s="435">
      <c r="A163" s="555" t="inlineStr">
        <is>
          <t>Sila Corp</t>
        </is>
      </c>
      <c r="B163" s="555" t="inlineStr">
        <is>
          <t>PE Backers</t>
        </is>
      </c>
      <c r="C163" s="555" t="inlineStr">
        <is>
          <t>Goldman Sachs (acquired Nov 14, 2024)</t>
        </is>
      </c>
      <c r="D163" s="555" t="inlineStr">
        <is>
          <t>N/A</t>
        </is>
      </c>
      <c r="E163" s="555" t="inlineStr">
        <is>
          <t>PE Context</t>
        </is>
      </c>
      <c r="F163" s="555" t="inlineStr">
        <is>
          <t>Goldman Sachs Alternatives acquired Sila from Morgan Stanley Capital Partners on Nov 14, 2024 (deal facilitated by Weil, Debevoise and Plimpton, Baird). Antares Capital also invested. $357M raised total per PitchBook. Aggressive M&amp;A: 41+ acquisitions/investments per PitchBook.</t>
        </is>
      </c>
      <c r="G163" s="555" t="inlineStr">
        <is>
          <t>Nov 14, 2024</t>
        </is>
      </c>
      <c r="H163" s="555" t="inlineStr">
        <is>
          <t>tracxn.com / pitchbook.com</t>
        </is>
      </c>
      <c r="I163" s="555" t="inlineStr">
        <is>
          <t>NEW Goldman Sachs ownership = roadmap window. Goldman has separate franchise rollup thesis through other funds.</t>
        </is>
      </c>
    </row>
    <row r="164" ht="75" customHeight="1" s="435">
      <c r="A164" s="555" t="inlineStr">
        <is>
          <t>Sila Corp</t>
        </is>
      </c>
      <c r="B164" s="555" t="inlineStr">
        <is>
          <t>Founder Legacy</t>
        </is>
      </c>
      <c r="C164" s="555" t="inlineStr">
        <is>
          <t>Jack Rothacker</t>
        </is>
      </c>
      <c r="D164" s="555" t="inlineStr">
        <is>
          <t>Pending</t>
        </is>
      </c>
      <c r="E164" s="555" t="inlineStr">
        <is>
          <t>Founder</t>
        </is>
      </c>
      <c r="F164" s="555" t="inlineStr">
        <is>
          <t>Founded original Sila in 1989 (Annapolis MD). 36+ years of legacy.</t>
        </is>
      </c>
      <c r="G164" s="555" t="inlineStr">
        <is>
          <t>1989 founding</t>
        </is>
      </c>
      <c r="H164" s="555" t="inlineStr">
        <is>
          <t>tracxn.com</t>
        </is>
      </c>
      <c r="I164" s="555" t="inlineStr">
        <is>
          <t>Founder may still be involved or be warm-intro path.</t>
        </is>
      </c>
    </row>
    <row r="165">
      <c r="A165" s="557" t="inlineStr">
        <is>
          <t>═══ CHAMPIONS GROUP HOLDINGS / SERVICE CHAMPIONS (Wave 5 — Odyssey Investment Partners-backed, Brea/Irvine CA, 19+ brands) ═══</t>
        </is>
      </c>
    </row>
    <row r="166" ht="65" customHeight="1" s="435">
      <c r="A166" s="555" t="inlineStr">
        <is>
          <t>Champions Group</t>
        </is>
      </c>
      <c r="B166" s="555" t="inlineStr">
        <is>
          <t>Founder/President</t>
        </is>
      </c>
      <c r="C166" s="555" t="inlineStr">
        <is>
          <t>Leland Smith</t>
        </is>
      </c>
      <c r="D166" s="555" t="inlineStr">
        <is>
          <t>30+ years HVAC/plumbing industry experience</t>
        </is>
      </c>
      <c r="E166" s="555" t="inlineStr">
        <is>
          <t>Founder</t>
        </is>
      </c>
      <c r="F166" s="555" t="inlineStr">
        <is>
          <t>Founded Service Champions Plumbing, Heating and AC in March 2000 (Brea CA). 22+ years in business. NATE-certified technicians, 150 hours mandatory annual classroom training per technician. Quote: "Our clients can expect to receive optimum comfort and safety in their homes."</t>
        </is>
      </c>
      <c r="G166" s="555" t="inlineStr">
        <is>
          <t>2000-2026</t>
        </is>
      </c>
      <c r="H166" s="555" t="inlineStr">
        <is>
          <t>diamondcertified.org / yelp.com</t>
        </is>
      </c>
      <c r="I166" s="555" t="inlineStr">
        <is>
          <t>Founder-led brand. Brea CA. Heavy training emphasis = receptive to technology that reinforces standards.</t>
        </is>
      </c>
    </row>
    <row r="167" ht="65" customHeight="1" s="435">
      <c r="A167" s="555" t="inlineStr">
        <is>
          <t>Champions Group</t>
        </is>
      </c>
      <c r="B167" s="555" t="inlineStr">
        <is>
          <t>PE Backer</t>
        </is>
      </c>
      <c r="C167" s="555" t="inlineStr">
        <is>
          <t>Odyssey Investment Partners</t>
        </is>
      </c>
      <c r="D167" s="555" t="inlineStr">
        <is>
          <t>N/A</t>
        </is>
      </c>
      <c r="E167" s="555" t="inlineStr">
        <is>
          <t>PE Context</t>
        </is>
      </c>
      <c r="F167" s="555" t="inlineStr">
        <is>
          <t>Odyssey-backed per ZoomInfo. Service Champions Group has expanded nationally with acquisitions including Seatown Electric Plumbing Heating (Seattle, June 2023), Las Vegas market (April 2023), Bee's Plumbing (June 2025). Now 19+ brands portfolio.</t>
        </is>
      </c>
      <c r="G167" s="555" t="inlineStr">
        <is>
          <t>2022-current</t>
        </is>
      </c>
      <c r="H167" s="555" t="inlineStr">
        <is>
          <t>zoominfo.com / pehub.com</t>
        </is>
      </c>
      <c r="I167" s="555" t="inlineStr">
        <is>
          <t>Mid-tier PE rollup. Strong Western US footprint (CA, NV, AZ, WA).</t>
        </is>
      </c>
    </row>
    <row r="168" ht="65" customHeight="1" s="435">
      <c r="A168" s="555" t="inlineStr">
        <is>
          <t>Champions Group</t>
        </is>
      </c>
      <c r="B168" s="555" t="inlineStr">
        <is>
          <t>Recognition</t>
        </is>
      </c>
      <c r="C168" s="555" t="inlineStr">
        <is>
          <t>(Award note, not person)</t>
        </is>
      </c>
      <c r="D168" s="555" t="inlineStr">
        <is>
          <t>N/A</t>
        </is>
      </c>
      <c r="E168" s="555" t="inlineStr">
        <is>
          <t>Brand Recognition</t>
        </is>
      </c>
      <c r="F168" s="555" t="inlineStr">
        <is>
          <t>Service Champions named USA TODAY 2025 Top Workplaces (150-499 employees category). Also #1 plumbing/HVAC company per Diamond Certified surveys.</t>
        </is>
      </c>
      <c r="G168" s="555" t="inlineStr">
        <is>
          <t>2025</t>
        </is>
      </c>
      <c r="H168" s="555" t="inlineStr">
        <is>
          <t>zoominfo.com</t>
        </is>
      </c>
      <c r="I168" s="555" t="inlineStr">
        <is>
          <t>Workplace culture awards = receptive to technology that empowers technicians (not surveils them). Sells well as "tech that helps your team."</t>
        </is>
      </c>
    </row>
    <row r="169">
      <c r="A169" s="557" t="inlineStr">
        <is>
          <t>═══ APTIVE ENVIRONMENTAL (Wave 5 — Citation Capital-acquired Aug 2024, Provo UT, 5th largest pest control US, 4000+ employees) ═══</t>
        </is>
      </c>
    </row>
    <row r="170" ht="80" customHeight="1" s="435">
      <c r="A170" s="556" t="inlineStr">
        <is>
          <t>Aptive Corp</t>
        </is>
      </c>
      <c r="B170" s="556" t="inlineStr">
        <is>
          <t>Co-Founder/CEO</t>
        </is>
      </c>
      <c r="C170" s="556" t="inlineStr">
        <is>
          <t>Vess Pearson</t>
        </is>
      </c>
      <c r="D170" s="556" t="inlineStr">
        <is>
          <t>Brigham Young University (BYU)</t>
        </is>
      </c>
      <c r="E170" s="556" t="inlineStr">
        <is>
          <t>Founder/CEO</t>
        </is>
      </c>
      <c r="F170" s="556" t="inlineStr">
        <is>
          <t>STRONG SIGNAL: Co-Founder/CEO of Aptive Environmental. Provo UT-based. Quote on Citation Capital partnership (Aug 2024): "Citation's investment in Aptive underscores the exceptional company we have built over the past decade. We look forward to driving further growth in partnership with Citation and continuing to carry out our mission." Recent LinkedIn quote (Oct 2025) on Field Leadership Day in Salt Lake City: "Real Results: It was reassuring and rewarding to see our mission – every home enjoyed – in action."</t>
        </is>
      </c>
      <c r="G170" s="556" t="inlineStr">
        <is>
          <t>2015-2026</t>
        </is>
      </c>
      <c r="H170" s="556" t="inlineStr">
        <is>
          <t>linkedin.com/in/vess-pearson-14262b92/ / aptivepestcontrol.com</t>
        </is>
      </c>
      <c r="I170" s="556" t="inlineStr">
        <is>
          <t>🎯 PRIMARY TARGET. BYU Provo (5th BYU/Utah Valley connection if dataset). Founder mentality, hands-on field engagement. 5,000+ employees serving 500K+ households.</t>
        </is>
      </c>
    </row>
    <row r="171" ht="80" customHeight="1" s="435">
      <c r="A171" s="555" t="inlineStr">
        <is>
          <t>Aptive Corp</t>
        </is>
      </c>
      <c r="B171" s="555" t="inlineStr">
        <is>
          <t>Founder &amp; Chairman</t>
        </is>
      </c>
      <c r="C171" s="555" t="inlineStr">
        <is>
          <t>David Royce</t>
        </is>
      </c>
      <c r="D171" s="555" t="inlineStr">
        <is>
          <t>Pending verification</t>
        </is>
      </c>
      <c r="E171" s="555" t="inlineStr">
        <is>
          <t>Founder/Chairman</t>
        </is>
      </c>
      <c r="F171" s="555" t="inlineStr">
        <is>
          <t>Founder &amp; Chairman of Aptive Environmental. Appeared on "Trading Secrets" podcast (July 28, 2025) discussing entrepreneurship, sales, pest control, scaling business.</t>
        </is>
      </c>
      <c r="G171" s="555" t="inlineStr">
        <is>
          <t>2015-2026</t>
        </is>
      </c>
      <c r="H171" s="555" t="inlineStr">
        <is>
          <t>zoominfo.com</t>
        </is>
      </c>
      <c r="I171" s="555" t="inlineStr">
        <is>
          <t>Founder/strategic leader. Active media presence.</t>
        </is>
      </c>
    </row>
    <row r="172" ht="80" customHeight="1" s="435">
      <c r="A172" s="556" t="inlineStr">
        <is>
          <t>Aptive Corp</t>
        </is>
      </c>
      <c r="B172" s="556" t="inlineStr">
        <is>
          <t>President/COO</t>
        </is>
      </c>
      <c r="C172" s="556" t="inlineStr">
        <is>
          <t>Leonard Carder</t>
        </is>
      </c>
      <c r="D172" s="556" t="inlineStr">
        <is>
          <t>Pending verification</t>
        </is>
      </c>
      <c r="E172" s="556" t="inlineStr">
        <is>
          <t>TELEMATICS COMPETITIVE FLAG</t>
        </is>
      </c>
      <c r="F172" s="556" t="inlineStr">
        <is>
          <t>⭐⭐⭐ CRITICAL COMPETITIVE INTEL: President/COO of Aptive. Keynoted MotiveVision24 conference with Motive CEO Shoaib Makani. Direct quote: "We put Motive alongside your competitors during vendor evaluation and we were looking for a vendor who would be willing to collaborate: that was you. We're connected daily with the Motive team and installed Motive in every one of our fleet vehicles. The results have been amazing - with 2,300 drivers on the road, we saw an 80% reduction in incidents in just a few weeks." Also reflected on tenure (Oct 2025): "10 years with Aptive have been a rewarding journey, leading operations from $0 to nearly $600M in revenue, making us the 5th largest pest control company in the nation."</t>
        </is>
      </c>
      <c r="G172" s="556" t="inlineStr">
        <is>
          <t>2024 keynote, prepping departure 2025</t>
        </is>
      </c>
      <c r="H172" s="556" t="inlineStr">
        <is>
          <t>linkedin.com / aptive linkedin</t>
        </is>
      </c>
      <c r="I172" s="556" t="inlineStr">
        <is>
          <t>⚠️⚠️ MOTIVE = direct GPS Insight competitor in telematics! Aptive is locked into Motive across 2,300 fleet vehicles. This is HARD CONFLICT for any GPS Insight conversation. BUT — Carder is "preparing to leave Aptive" (Oct 2025 LinkedIn) — so leadership transition window may open. Note Motive owns scheduling/AI-cam stack, NOT FSM workflow — ServiceBridge could still be complement.</t>
        </is>
      </c>
    </row>
    <row r="173" ht="80" customHeight="1" s="435">
      <c r="A173" s="555" t="inlineStr">
        <is>
          <t>Aptive Corp</t>
        </is>
      </c>
      <c r="B173" s="555" t="inlineStr">
        <is>
          <t>CFO</t>
        </is>
      </c>
      <c r="C173" s="555" t="inlineStr">
        <is>
          <t>Mark Lawrence</t>
        </is>
      </c>
      <c r="D173" s="555" t="inlineStr">
        <is>
          <t>Pending verification</t>
        </is>
      </c>
      <c r="E173" s="555" t="inlineStr">
        <is>
          <t>New CFO</t>
        </is>
      </c>
      <c r="F173" s="555" t="inlineStr">
        <is>
          <t>Joined Aptive as CFO May 1, 2023. Quote (Aug 2024): "Partnering with Citation will not only fast-track our strategic growth plans, but will also enhance our ability to deliver unparalleled service to customers, elevating Aptive's brand to new heights and further advancing our M&amp;A strategy."</t>
        </is>
      </c>
      <c r="G173" s="555" t="inlineStr">
        <is>
          <t>May 2023</t>
        </is>
      </c>
      <c r="H173" s="555" t="inlineStr">
        <is>
          <t>aptivepestcontrol.com (Aug 2024)</t>
        </is>
      </c>
      <c r="I173" s="555" t="inlineStr">
        <is>
          <t>CFO ~3 years in. M&amp;A focus = financial discipline. ROI-conversation-ready.</t>
        </is>
      </c>
    </row>
    <row r="174" ht="80" customHeight="1" s="435">
      <c r="A174" s="555" t="inlineStr">
        <is>
          <t>Aptive Corp</t>
        </is>
      </c>
      <c r="B174" s="555" t="inlineStr">
        <is>
          <t>PE Backers</t>
        </is>
      </c>
      <c r="C174" s="555" t="inlineStr">
        <is>
          <t>Citation Capital (acquired Aug 2024) + Audax Private Debt</t>
        </is>
      </c>
      <c r="D174" s="555" t="inlineStr">
        <is>
          <t>N/A</t>
        </is>
      </c>
      <c r="E174" s="555" t="inlineStr">
        <is>
          <t>PE Context</t>
        </is>
      </c>
      <c r="F174" s="555" t="inlineStr">
        <is>
          <t>Citation Capital (Tiffany K. Hagge, Founder/Managing Partner; Chudi Obianwu, Managing Director) acquired majority stake Aug 27, 2024. Hagge quote: "Aptive embodies key characteristics that align with our investment approach of backing exceptional, defensible founder-led businesses." $645M raised total. Citation also invested in Cibo Vita (Oct 2023). Citation strategic partner: Capital Constellation (advised by Wafra).</t>
        </is>
      </c>
      <c r="G174" s="555" t="inlineStr">
        <is>
          <t>Aug 27, 2024</t>
        </is>
      </c>
      <c r="H174" s="555" t="inlineStr">
        <is>
          <t>aptivepestcontrol.com</t>
        </is>
      </c>
      <c r="I174" s="555" t="inlineStr">
        <is>
          <t>New PE = roadmap-setting (~12 months in). Founder-led culture preserved. M&amp;A acceleration coming.</t>
        </is>
      </c>
    </row>
    <row r="175" ht="80" customHeight="1" s="435">
      <c r="A175" s="556" t="inlineStr">
        <is>
          <t>Aptive Corp</t>
        </is>
      </c>
      <c r="B175" s="556" t="inlineStr">
        <is>
          <t>Stats</t>
        </is>
      </c>
      <c r="C175" s="556" t="inlineStr">
        <is>
          <t>(Stats summary, not person)</t>
        </is>
      </c>
      <c r="D175" s="556" t="inlineStr">
        <is>
          <t>N/A</t>
        </is>
      </c>
      <c r="E175" s="556" t="inlineStr">
        <is>
          <t>TARGET MATH</t>
        </is>
      </c>
      <c r="F175" s="556" t="inlineStr">
        <is>
          <t>Aptive scale: 5,000+ employees, 4,000-5,000 service technicians, $268M-$600M revenue (varies by source), 500K+ households served, 34 states, 5,000+ cities. 5th largest pest control company nationally. 72 locations.</t>
        </is>
      </c>
      <c r="G175" s="556" t="inlineStr">
        <is>
          <t>2025-2026</t>
        </is>
      </c>
      <c r="H175" s="556" t="inlineStr">
        <is>
          <t>leadiq.com / pitchbook.com</t>
        </is>
      </c>
      <c r="I175" s="556" t="inlineStr">
        <is>
          <t>📊 TARGET MATH: 4,000+ techs at $300/tech/yr = $1.2M+ ARR potential. BUT — Motive lock-in is hard conflict for GPS Insight side. ServiceBridge FSM workflow side may be open if positioned independently.</t>
        </is>
      </c>
    </row>
    <row r="176" ht="60" customHeight="1" s="435">
      <c r="A176" s="558" t="inlineStr">
        <is>
          <t>#1</t>
        </is>
      </c>
      <c r="B176" s="559" t="inlineStr">
        <is>
          <t>Eddie McFarlane (Sila Chief Learning &amp; Development Officer)</t>
        </is>
      </c>
      <c r="E176" s="556" t="inlineStr">
        <is>
          <t>CO-FOUNDED SCHEDULE ENGINE (FSM software!). Speaks software-industry language. ACCA + NATE board seats = industry gold. Sila University builder.</t>
        </is>
      </c>
      <c r="I176" s="556" t="inlineStr">
        <is>
          <t>Sila / Lititz PA</t>
        </is>
      </c>
    </row>
    <row r="177">
      <c r="A177" s="561" t="inlineStr">
        <is>
          <t>WAVE 5 — TOP 5 ADDITIONS (Sila, Champions Group, Aptive)</t>
        </is>
      </c>
    </row>
    <row r="178" ht="60" customHeight="1" s="435">
      <c r="A178" s="558" t="inlineStr">
        <is>
          <t>#2</t>
        </is>
      </c>
      <c r="B178" s="559" t="inlineStr">
        <is>
          <t>Jason Rabbino (Sila CEO)</t>
        </is>
      </c>
      <c r="E178" s="556" t="inlineStr">
        <is>
          <t>New under Goldman Sachs (Nov 2024). Roadmap-setting moment. 35+ brands single-decision opportunity.</t>
        </is>
      </c>
      <c r="I178" s="556" t="inlineStr">
        <is>
          <t>Sila / King of Prussia PA</t>
        </is>
      </c>
    </row>
    <row r="179" ht="60" customHeight="1" s="435">
      <c r="A179" s="558" t="inlineStr">
        <is>
          <t>#3</t>
        </is>
      </c>
      <c r="B179" s="559" t="inlineStr">
        <is>
          <t>Vess Pearson (Aptive Co-Founder/CEO)</t>
        </is>
      </c>
      <c r="E179" s="556" t="inlineStr">
        <is>
          <t>BYU Provo. 5th largest pest control US. 5,000+ employees. Founder-led despite Citation Capital majority stake.</t>
        </is>
      </c>
      <c r="I179" s="556" t="inlineStr">
        <is>
          <t>Aptive / Provo UT</t>
        </is>
      </c>
    </row>
    <row r="180" ht="60" customHeight="1" s="435">
      <c r="A180" s="558" t="inlineStr">
        <is>
          <t>#4</t>
        </is>
      </c>
      <c r="B180" s="559" t="inlineStr">
        <is>
          <t>David Royce (Aptive Founder/Chairman)</t>
        </is>
      </c>
      <c r="E180" s="556" t="inlineStr">
        <is>
          <t>Active media presence (Trading Secrets podcast July 2025). Strategic leader.</t>
        </is>
      </c>
      <c r="I180" s="556" t="inlineStr">
        <is>
          <t>Aptive / Provo UT</t>
        </is>
      </c>
    </row>
    <row r="181" ht="60" customHeight="1" s="435">
      <c r="A181" s="558" t="inlineStr">
        <is>
          <t>#5</t>
        </is>
      </c>
      <c r="B181" s="559" t="inlineStr">
        <is>
          <t>Leland Smith (Champions Group Founder/President)</t>
        </is>
      </c>
      <c r="E181" s="556" t="inlineStr">
        <is>
          <t>Service Champions founder 2000. 22+ years. NATE-certified, training-heavy culture. Odyssey-backed.</t>
        </is>
      </c>
      <c r="I181" s="556" t="inlineStr">
        <is>
          <t>Champions Group / Brea CA</t>
        </is>
      </c>
    </row>
    <row r="182" ht="40" customHeight="1" s="435">
      <c r="A182" s="570" t="inlineStr">
        <is>
          <t>Neighborly</t>
        </is>
      </c>
      <c r="B182" s="570" t="inlineStr">
        <is>
          <t>Smart Fleet USA / Azuga</t>
        </is>
      </c>
      <c r="D182" s="564" t="inlineStr">
        <is>
          <t>HARD CONFLICT — confirmed preferred provider for all 16+ Neighborly brands</t>
        </is>
      </c>
      <c r="G182" s="564" t="inlineStr">
        <is>
          <t>Hard pass on telematics; FSM-only conversation possible</t>
        </is>
      </c>
    </row>
    <row r="183">
      <c r="A183" s="565" t="inlineStr">
        <is>
          <t>⚠️ TELEMATICS CONFLICT MAP UPDATED (Critical for GPS Insight side of conversation)</t>
        </is>
      </c>
    </row>
    <row r="184" ht="40" customHeight="1" s="435">
      <c r="A184" s="570" t="inlineStr">
        <is>
          <t>Aptive Environmental</t>
        </is>
      </c>
      <c r="B184" s="570" t="inlineStr">
        <is>
          <t>Motive (formerly KeepTruckin)</t>
        </is>
      </c>
      <c r="D184" s="564" t="inlineStr">
        <is>
          <t>HARD CONFLICT — 2,300 vehicles, 80% incident reduction case study</t>
        </is>
      </c>
      <c r="G184" s="564" t="inlineStr">
        <is>
          <t>Hard pass on telematics; FSM workflow may be open if Carder departure creates window</t>
        </is>
      </c>
    </row>
    <row r="185" ht="40" customHeight="1" s="435">
      <c r="A185" s="571" t="inlineStr">
        <is>
          <t>Apex Service Partners</t>
        </is>
      </c>
      <c r="B185" s="571" t="inlineStr">
        <is>
          <t>Pending verification</t>
        </is>
      </c>
      <c r="D185" s="572" t="inlineStr">
        <is>
          <t>Unknown telematics provider</t>
        </is>
      </c>
      <c r="G185" s="572" t="inlineStr">
        <is>
          <t>Likely open for both sides — research priority</t>
        </is>
      </c>
    </row>
    <row r="186" ht="40" customHeight="1" s="435">
      <c r="A186" s="571" t="inlineStr">
        <is>
          <t>Wrench Group</t>
        </is>
      </c>
      <c r="B186" s="571" t="inlineStr">
        <is>
          <t>Pending verification</t>
        </is>
      </c>
      <c r="D186" s="572" t="inlineStr">
        <is>
          <t>Unknown telematics provider</t>
        </is>
      </c>
      <c r="G186" s="572" t="inlineStr">
        <is>
          <t>Likely open for both sides — research priority</t>
        </is>
      </c>
    </row>
    <row r="187" ht="40" customHeight="1" s="435">
      <c r="A187" s="571" t="inlineStr">
        <is>
          <t>Sila Services</t>
        </is>
      </c>
      <c r="B187" s="571" t="inlineStr">
        <is>
          <t>Pending verification</t>
        </is>
      </c>
      <c r="D187" s="572" t="inlineStr">
        <is>
          <t>Unknown telematics provider</t>
        </is>
      </c>
      <c r="G187" s="572" t="inlineStr">
        <is>
          <t>Likely open for both sides; McFarlane is FSM-savvy entry point</t>
        </is>
      </c>
    </row>
    <row r="188" ht="40" customHeight="1" s="435">
      <c r="A188" s="571" t="inlineStr">
        <is>
          <t>Champions Group</t>
        </is>
      </c>
      <c r="B188" s="571" t="inlineStr">
        <is>
          <t>Pending verification</t>
        </is>
      </c>
      <c r="D188" s="572" t="inlineStr">
        <is>
          <t>Unknown telematics provider</t>
        </is>
      </c>
      <c r="G188" s="572" t="inlineStr">
        <is>
          <t>Likely open for both sides — research priority</t>
        </is>
      </c>
    </row>
    <row r="189" ht="40" customHeight="1" s="435">
      <c r="A189" s="571" t="inlineStr">
        <is>
          <t>Authority Brands</t>
        </is>
      </c>
      <c r="B189" s="571" t="inlineStr">
        <is>
          <t>Unknown</t>
        </is>
      </c>
      <c r="D189" s="572" t="inlineStr">
        <is>
          <t>Has ServiceTitan partnership for FSM (NOT telematics)</t>
        </is>
      </c>
      <c r="G189" s="572" t="inlineStr">
        <is>
          <t>Telematics likely open; FSM is displacement story</t>
        </is>
      </c>
    </row>
    <row r="190" ht="40" customHeight="1" s="435">
      <c r="A190" s="571" t="inlineStr">
        <is>
          <t>Empower / Five Star / PSB / ResiBrands / HomeFront / HorsePower / Threshold</t>
        </is>
      </c>
      <c r="B190" s="571" t="inlineStr">
        <is>
          <t>Mostly unknown</t>
        </is>
      </c>
      <c r="D190" s="572" t="inlineStr">
        <is>
          <t>Spotty data; targets for next research wave</t>
        </is>
      </c>
      <c r="G190" s="572" t="inlineStr">
        <is>
          <t>Most likely open for both sides</t>
        </is>
      </c>
    </row>
    <row r="191">
      <c r="A191" s="557" t="inlineStr">
        <is>
          <t>═══ BLUSKY RESTORATION (Wave 6 — Partners Group + Kohlberg, Centennial CO, 1550 employees, 61 locations, restoration peer of BELFOR) ═══</t>
        </is>
      </c>
    </row>
    <row r="192">
      <c r="A192" s="569" t="inlineStr">
        <is>
          <t>🏁 WAVE 6 — FINAL SWEEP: Restoration + Major HVAC/Plumbing rollups (BluSky, ARS, Roto-Rooter, Servpro)</t>
        </is>
      </c>
    </row>
    <row r="193" ht="80" customHeight="1" s="435">
      <c r="A193" s="556" t="inlineStr">
        <is>
          <t>BluSky Corp</t>
        </is>
      </c>
      <c r="B193" s="556" t="inlineStr">
        <is>
          <t>CEO</t>
        </is>
      </c>
      <c r="C193" s="556" t="inlineStr">
        <is>
          <t>Mark Minasian</t>
        </is>
      </c>
      <c r="D193" s="556" t="inlineStr">
        <is>
          <t>Pending verification (25+ years industrial services leadership)</t>
        </is>
      </c>
      <c r="E193" s="556" t="inlineStr">
        <is>
          <t>NEW PE-Era CEO</t>
        </is>
      </c>
      <c r="F193" s="556" t="inlineStr">
        <is>
          <t>STRONG SIGNAL: CEO of BluSky since Sept 23, 2025 (just ~7 months in role). Co-founded Kellermeyer Bergensons Services (KBS) — largest privately held facilities management platform in North America. 30+ years industry experience, 20+ years leading PE-backed businesses. Quote: "scaling a national, technology-enabled platform, expanding enterprise client relationships, and driving operational excellence across a highly distributed service delivery model. Advancing strategic initiatives across M&amp;A, operational standardization, and TECHNOLOGY ENABLEMENT." Currently Chairman of KBS Board.</t>
        </is>
      </c>
      <c r="G193" s="556" t="inlineStr">
        <is>
          <t>Sept 23, 2025</t>
        </is>
      </c>
      <c r="H193" s="556" t="inlineStr">
        <is>
          <t>goblusky.com / pehub.com</t>
        </is>
      </c>
      <c r="I193" s="556" t="inlineStr">
        <is>
          <t>🎯🎯 PRIMARY TARGET. NEW CEO with explicit "technology-enabled platform" mandate. ~7 months in role = active roadmap-setting moment. KBS background = facilities management depth. RESTORATION INDUSTRY = direct peer to BELFOR (Mike's #1 P1 target).</t>
        </is>
      </c>
    </row>
    <row r="194" ht="80" customHeight="1" s="435">
      <c r="A194" s="555" t="inlineStr">
        <is>
          <t>BluSky Corp</t>
        </is>
      </c>
      <c r="B194" s="555" t="inlineStr">
        <is>
          <t>Vice Chairman / Former CEO</t>
        </is>
      </c>
      <c r="C194" s="555" t="inlineStr">
        <is>
          <t>Kent Stemper</t>
        </is>
      </c>
      <c r="D194" s="555" t="inlineStr">
        <is>
          <t>Pending verification</t>
        </is>
      </c>
      <c r="E194" s="555" t="inlineStr">
        <is>
          <t>Legacy Leadership</t>
        </is>
      </c>
      <c r="F194" s="555" t="inlineStr">
        <is>
          <t>Former CEO 2014-2021, returned as CEO April 2024, transitioned to Vice Chairman Sept 2025 with Minasian succession. "I am proud of the culture we have built—one centered on people, performance, and purpose."</t>
        </is>
      </c>
      <c r="G194" s="555" t="inlineStr">
        <is>
          <t>2014-2025</t>
        </is>
      </c>
      <c r="H194" s="555" t="inlineStr">
        <is>
          <t>goblusky.com</t>
        </is>
      </c>
      <c r="I194" s="555" t="inlineStr">
        <is>
          <t>Senior advisor with deep BluSky relationships. Warm-intro path through Stemper if needed.</t>
        </is>
      </c>
    </row>
    <row r="195" ht="80" customHeight="1" s="435">
      <c r="A195" s="555" t="inlineStr">
        <is>
          <t>BluSky Corp</t>
        </is>
      </c>
      <c r="B195" s="555" t="inlineStr">
        <is>
          <t>Senior Advisor</t>
        </is>
      </c>
      <c r="C195" s="555" t="inlineStr">
        <is>
          <t>Drew Bisping</t>
        </is>
      </c>
      <c r="D195" s="555" t="inlineStr">
        <is>
          <t>Pending</t>
        </is>
      </c>
      <c r="E195" s="555" t="inlineStr">
        <is>
          <t>Equity Holder</t>
        </is>
      </c>
      <c r="F195" s="555" t="inlineStr">
        <is>
          <t>Former CEO (2021-2024). Now senior advisor + significant equity investor. Oversaw "significant geographic expansion and technology investments to enhance service delivery and staff productivity."</t>
        </is>
      </c>
      <c r="G195" s="555" t="inlineStr">
        <is>
          <t>2021-2024</t>
        </is>
      </c>
      <c r="H195" s="555" t="inlineStr">
        <is>
          <t>randrmagonline.com</t>
        </is>
      </c>
      <c r="I195" s="555" t="inlineStr">
        <is>
          <t>Tech-investments background as CEO = receptive to FSM platform thesis.</t>
        </is>
      </c>
    </row>
    <row r="196" ht="80" customHeight="1" s="435">
      <c r="A196" s="555" t="inlineStr">
        <is>
          <t>BluSky Corp</t>
        </is>
      </c>
      <c r="B196" s="555" t="inlineStr">
        <is>
          <t>Board Chair</t>
        </is>
      </c>
      <c r="C196" s="555" t="inlineStr">
        <is>
          <t>Jon Ward</t>
        </is>
      </c>
      <c r="D196" s="555" t="inlineStr">
        <is>
          <t>Pending</t>
        </is>
      </c>
      <c r="E196" s="555" t="inlineStr">
        <is>
          <t>Board</t>
        </is>
      </c>
      <c r="F196" s="555" t="inlineStr">
        <is>
          <t>Chair of BluSky Board of Directors. Quote on Stemper return: "Over the last two years Kent has remained very active as a member of our board."</t>
        </is>
      </c>
      <c r="G196" s="555" t="inlineStr">
        <is>
          <t>Current</t>
        </is>
      </c>
      <c r="H196" s="555" t="inlineStr">
        <is>
          <t>randrmagonline.com</t>
        </is>
      </c>
      <c r="I196" s="555" t="inlineStr">
        <is>
          <t>Board governance leader.</t>
        </is>
      </c>
    </row>
    <row r="197" ht="80" customHeight="1" s="435">
      <c r="A197" s="555" t="inlineStr">
        <is>
          <t>BluSky Corp</t>
        </is>
      </c>
      <c r="B197" s="555" t="inlineStr">
        <is>
          <t>PE Backers</t>
        </is>
      </c>
      <c r="C197" s="555" t="inlineStr">
        <is>
          <t>Partners Group + Kohlberg &amp; Company (equal owners)</t>
        </is>
      </c>
      <c r="D197" s="555" t="inlineStr">
        <is>
          <t>N/A</t>
        </is>
      </c>
      <c r="E197" s="555" t="inlineStr">
        <is>
          <t>PE Context</t>
        </is>
      </c>
      <c r="F197" s="555" t="inlineStr">
        <is>
          <t>Partners Group + Kohlberg &amp; Company jointly acquired BluSky Oct 19, 2021 (acquired equal equity stakes from Dominus Capital). Mike Sexton (Partners Group Member of Mgmt) is the deal sponsor. Quote: "BluSky is well-positioned to benefit from this increasingly important transformative trend, driven by a team that shares an extraordinary bond of loyalty, teamwork, service excellence." Partners Group co-invested $150B+ AuM Swiss firm — also co-invested with Apex Service Partners.</t>
        </is>
      </c>
      <c r="G197" s="555" t="inlineStr">
        <is>
          <t>Oct 2021</t>
        </is>
      </c>
      <c r="H197" s="555" t="inlineStr">
        <is>
          <t>partnersgroup.com</t>
        </is>
      </c>
      <c r="I197" s="555" t="inlineStr">
        <is>
          <t>Partners Group OVERLAP with Apex Service Partners cap table = potential cross-portfolio leverage. Co-PE strategy.</t>
        </is>
      </c>
    </row>
    <row r="198" ht="80" customHeight="1" s="435">
      <c r="A198" s="556" t="inlineStr">
        <is>
          <t>BluSky Corp</t>
        </is>
      </c>
      <c r="B198" s="556" t="inlineStr">
        <is>
          <t>Restoration Peer Note</t>
        </is>
      </c>
      <c r="C198" s="556" t="inlineStr">
        <is>
          <t>(Industry positioning note)</t>
        </is>
      </c>
      <c r="D198" s="556" t="inlineStr">
        <is>
          <t>N/A</t>
        </is>
      </c>
      <c r="E198" s="556" t="inlineStr">
        <is>
          <t>STRATEGIC POSITION</t>
        </is>
      </c>
      <c r="F198" s="556" t="inlineStr">
        <is>
          <t>BluSky direct peer to BELFOR FG (Mike's #1 P1 target). 1,550 employees + 5,000+ customers + 61 locations across all 50 states + Puerto Rico. Same business model (commercial restoration, insurance claims, large loss). Same customer base (insurance carriers, commercial property managers). Different ownership: BluSky = Partners Group/Kohlberg PE; BELFOR = American Securities PE.</t>
        </is>
      </c>
      <c r="G198" s="556" t="inlineStr">
        <is>
          <t>Current</t>
        </is>
      </c>
      <c r="H198" s="556" t="inlineStr">
        <is>
          <t>partnersgroup.com / goblusky.com</t>
        </is>
      </c>
      <c r="I198" s="556" t="inlineStr">
        <is>
          <t>⭐ STRATEGIC: Once a ServiceBridge platform deal closes with EITHER BELFOR or BluSky, the other becomes natural follow-on. Same verticals, same fleet patterns, same insurance-claim workflows. Cross-PE warm-intro through Partners Group network.</t>
        </is>
      </c>
    </row>
    <row r="199">
      <c r="A199" s="557" t="inlineStr">
        <is>
          <t>═══ ARS / RESCUE ROOTER (Wave 6 — Charlesbank + GI Partners, Memphis TN, 6500 employees, 70+ service centers, 24 states) ═══</t>
        </is>
      </c>
    </row>
    <row r="200" ht="85" customHeight="1" s="435">
      <c r="A200" s="555" t="inlineStr">
        <is>
          <t>ARS Corp</t>
        </is>
      </c>
      <c r="B200" s="555" t="inlineStr">
        <is>
          <t>CEO</t>
        </is>
      </c>
      <c r="C200" s="555" t="inlineStr">
        <is>
          <t>Scott Boose</t>
        </is>
      </c>
      <c r="D200" s="555" t="inlineStr">
        <is>
          <t>Pending verification</t>
        </is>
      </c>
      <c r="E200" s="555" t="inlineStr">
        <is>
          <t>CEO</t>
        </is>
      </c>
      <c r="F200" s="555" t="inlineStr">
        <is>
          <t>CEO of ARS/Rescue Rooter since March 23, 2021 (succeeding David Slott who served 15 years). Senior executive with significant experience in HVAC, plumbing, home services. Quote on new CTO appointment Dec 2025: "DJ brings a unique combination of strategic vision and hands-on expertise in AI, automation, and technology-enabled service delivery. His leadership will be essential as we continue to advance our digital foundation, elevate the customer and technician experience, and scale ARS for our next phase of growth."</t>
        </is>
      </c>
      <c r="G200" s="555" t="inlineStr">
        <is>
          <t>2021-2026</t>
        </is>
      </c>
      <c r="H200" s="555" t="inlineStr">
        <is>
          <t>ars.com / prnewswire.com</t>
        </is>
      </c>
      <c r="I200" s="555" t="inlineStr">
        <is>
          <t>4+ years in seat. Memphis TN base. Active digital transformation push (just hired CTO Dec 2025). Receptive to platform thesis.</t>
        </is>
      </c>
    </row>
    <row r="201" ht="85" customHeight="1" s="435">
      <c r="A201" s="556" t="inlineStr">
        <is>
          <t>ARS Corp</t>
        </is>
      </c>
      <c r="B201" s="556" t="inlineStr">
        <is>
          <t>SVP &amp; CTO</t>
        </is>
      </c>
      <c r="C201" s="556" t="inlineStr">
        <is>
          <t>Divakar "DJ" Jandhyala</t>
        </is>
      </c>
      <c r="D201" s="556" t="inlineStr">
        <is>
          <t>Pending verification (20+ years tech leadership)</t>
        </is>
      </c>
      <c r="E201" s="556" t="inlineStr">
        <is>
          <t>⭐⭐ DIGITAL TRANSFORMATION CTO</t>
        </is>
      </c>
      <c r="F201" s="556" t="inlineStr">
        <is>
          <t>STRONGEST SIGNAL FOR ARS: Joined as SVP &amp; Chief Technology Officer Dec 2, 2025 (just 5 months in role!) — explicit mandate "to accelerate digital transformation and AI-driven growth." 20+ years leading large-scale digital, data, and AI-driven transformations. Previously CLEAResult, Balfour, multiple high-growth software ventures. Quote: "ARS has demonstrated its ability to leverage a unified technology architecture unprecedented for platforms of its magnitude in the industry. There is an extraordinary opportunity for ARS to transform every step of the service experience by combining its national scale with data and AI." Mandate: "Leading ARS's digital strategy, driving automation and AI enablement, expanding customer revenue opportunities by delivering field-ready, customer-centric solutions to boost technician productivity."</t>
        </is>
      </c>
      <c r="G201" s="556" t="inlineStr">
        <is>
          <t>Dec 2, 2025</t>
        </is>
      </c>
      <c r="H201" s="556" t="inlineStr">
        <is>
          <t>prnewswire.com</t>
        </is>
      </c>
      <c r="I201" s="556" t="inlineStr">
        <is>
          <t>🎯🎯🎯 PRIMARY TARGET. NEW CTO with explicit "field-ready, customer-centric solutions" mandate = perfect ServiceBridge value prop alignment. 5 months in seat = peak roadmap-setting window. 6,500 employees x $300/tech = $1.95M+ ARR potential. Reports DIRECTLY to CEO Boose.</t>
        </is>
      </c>
    </row>
    <row r="202" ht="85" customHeight="1" s="435">
      <c r="A202" s="555" t="inlineStr">
        <is>
          <t>ARS Corp</t>
        </is>
      </c>
      <c r="B202" s="555" t="inlineStr">
        <is>
          <t>SVP &amp; Head of Corporate Development</t>
        </is>
      </c>
      <c r="C202" s="555" t="inlineStr">
        <is>
          <t>Andrew DeCastro</t>
        </is>
      </c>
      <c r="D202" s="555" t="inlineStr">
        <is>
          <t>Hamilton College BA Economics; Babson F.W. Olin MBA</t>
        </is>
      </c>
      <c r="E202" s="555" t="inlineStr">
        <is>
          <t>M&amp;A Leader</t>
        </is>
      </c>
      <c r="F202" s="555" t="inlineStr">
        <is>
          <t>SVP &amp; Head of Corp Development. Joined March 2023. Previously Director of M&amp;A and Strategy at Summit Utilities. 13 years at HomeServe USA (started Director of M&amp;A, rose to EVP Corp Dev). Quote: "There are so many opportunities for ARS/Rescue Rooter to expand in our existing markets and branch into new markets."</t>
        </is>
      </c>
      <c r="G202" s="555" t="inlineStr">
        <is>
          <t>March 2023</t>
        </is>
      </c>
      <c r="H202" s="555" t="inlineStr">
        <is>
          <t>achrnews.com</t>
        </is>
      </c>
      <c r="I202" s="555" t="inlineStr">
        <is>
          <t>M&amp;A engine = constant integration decisions = constant FSM platform decisions. Hamilton College + Babson MBA = sophisticated financial framing.</t>
        </is>
      </c>
    </row>
    <row r="203" ht="85" customHeight="1" s="435">
      <c r="A203" s="555" t="inlineStr">
        <is>
          <t>ARS Corp</t>
        </is>
      </c>
      <c r="B203" s="555" t="inlineStr">
        <is>
          <t>PE Backers</t>
        </is>
      </c>
      <c r="C203" s="555" t="inlineStr">
        <is>
          <t>Charlesbank Capital + GI Partners</t>
        </is>
      </c>
      <c r="D203" s="555" t="inlineStr">
        <is>
          <t>N/A</t>
        </is>
      </c>
      <c r="E203" s="555" t="inlineStr">
        <is>
          <t>PE Context</t>
        </is>
      </c>
      <c r="F203" s="555" t="inlineStr">
        <is>
          <t>Charlesbank Capital Partners acquired ARS in 2014 from CI Capital Partners + Royal Palm Capital Partners. GI Partners later joined as co-investor. Per GI Partners: ARS completes "more than 1.2 million customer visits annually and is supported by a workforce of more than 6,000 employees, including approximately 2,500 skilled professionals."</t>
        </is>
      </c>
      <c r="G203" s="555" t="inlineStr">
        <is>
          <t>2014</t>
        </is>
      </c>
      <c r="H203" s="555" t="inlineStr">
        <is>
          <t>charlesbank.com</t>
        </is>
      </c>
      <c r="I203" s="555" t="inlineStr">
        <is>
          <t>Mature PE position (~12 years). Likely exit-ready or late-cycle. Receptive to value-driving platform deals before exit.</t>
        </is>
      </c>
    </row>
    <row r="204" ht="85" customHeight="1" s="435">
      <c r="A204" s="556" t="inlineStr">
        <is>
          <t>ARS Corp</t>
        </is>
      </c>
      <c r="B204" s="556" t="inlineStr">
        <is>
          <t>Existing Tech Stack</t>
        </is>
      </c>
      <c r="C204" s="556" t="inlineStr">
        <is>
          <t>(Tech stack note, not person)</t>
        </is>
      </c>
      <c r="D204" s="556" t="inlineStr">
        <is>
          <t>N/A</t>
        </is>
      </c>
      <c r="E204" s="556" t="inlineStr">
        <is>
          <t>COMPETITIVE FLAG</t>
        </is>
      </c>
      <c r="F204" s="556" t="inlineStr">
        <is>
          <t>⚠️ ARS uses IFS for service management (since 2021), Derive Systems for fleet vehicle telemetry/coaching (since 2021, extended). Recently partnered with Bluon for AI/HVAC service (March 2025). Network brands: A.J. Perri, Aksarben ARS, Allgood, Andy's Statewide, ARS, Aspen Air Conditioning, Atlas Trillo, Beutler, Blue Dot, Brothers, Columbus Worthington Air, Comfort Heating &amp; Air, Conway Services, EAS, Florida Home Air Conditioning, Greenstar Home Services, McCarthy Services, Rescue Rooter, RighTime Home Services, RS Andrews, The Irish Plumber, Unique Services, Will Fix It, Yes! Air Conditioning and Plumbing. Also Google Nest Pro Elite install partner.</t>
        </is>
      </c>
      <c r="G204" s="556" t="inlineStr">
        <is>
          <t>2021-2026</t>
        </is>
      </c>
      <c r="H204" s="556" t="inlineStr">
        <is>
          <t>ars.com / tracxn.com</t>
        </is>
      </c>
      <c r="I204" s="556" t="inlineStr">
        <is>
          <t>⚠️ IFS is INSTALLED FSM (potential displacement target). Derive Systems for fleet (potential GPS Insight displacement target). DJ's mandate to "transform every step" = active displacement window. Strong fit if positioning as "next-gen replacement for legacy IFS."</t>
        </is>
      </c>
    </row>
    <row r="205">
      <c r="A205" s="557" t="inlineStr">
        <is>
          <t>═══ ROTO-ROOTER (Wave 6 — Chemed Corp NYSE:CHE public, Cincinnati OH, 130 corporate + 400 franchise territories, since 1935) ═══</t>
        </is>
      </c>
    </row>
    <row r="206" ht="80" customHeight="1" s="435">
      <c r="A206" s="556" t="inlineStr">
        <is>
          <t>Roto-Rooter Corp</t>
        </is>
      </c>
      <c r="B206" s="556" t="inlineStr">
        <is>
          <t>Chairman &amp; CEO</t>
        </is>
      </c>
      <c r="C206" s="556" t="inlineStr">
        <is>
          <t>Spencer S. Lee</t>
        </is>
      </c>
      <c r="D206" s="556" t="inlineStr">
        <is>
          <t>Claremont McKenna College BA Economics; University of Chicago MBA</t>
        </is>
      </c>
      <c r="E206" s="556" t="inlineStr">
        <is>
          <t>Long-Tenure CEO</t>
        </is>
      </c>
      <c r="F206" s="556" t="inlineStr">
        <is>
          <t>STRONG SIGNAL: Chairman &amp; CEO since 1999 — 26 years in seat (one of longest tenures in dataset). 69 years old. EVP of Chemed Corporation. Joined Chemed July 1980 as Assistant to the President (months later Chemed acquired Roto-Rooter). Career path: Director of Development 1981 → Asst Branch Mgr Boston 1983 → Regional VP Mid-Atlantic 1984 → Regional VP Northeast 1996 → SVP Operations 1996 → CEO 1999.</t>
        </is>
      </c>
      <c r="G206" s="556" t="inlineStr">
        <is>
          <t>1999-2026</t>
        </is>
      </c>
      <c r="H206" s="556" t="inlineStr">
        <is>
          <t>rotorooter.com / chemed.com</t>
        </is>
      </c>
      <c r="I206" s="556" t="inlineStr">
        <is>
          <t>🎯 PRIMARY TARGET. Cincinnati OH-based. 45+ years at Chemed/Roto-Rooter = institutional memory + decision authority. UChicago MBA = sophisticated financial mindset. Public company exec = quarterly-reporting discipline. Age 69 = potential succession window.</t>
        </is>
      </c>
    </row>
    <row r="207" ht="80" customHeight="1" s="435">
      <c r="A207" s="555" t="inlineStr">
        <is>
          <t>Roto-Rooter Corp</t>
        </is>
      </c>
      <c r="B207" s="555" t="inlineStr">
        <is>
          <t>President</t>
        </is>
      </c>
      <c r="C207" s="555" t="inlineStr">
        <is>
          <t>Robert Goldschmidt</t>
        </is>
      </c>
      <c r="D207" s="555" t="inlineStr">
        <is>
          <t>Pending verification (28+ years at Roto-Rooter)</t>
        </is>
      </c>
      <c r="E207" s="555" t="inlineStr">
        <is>
          <t>President / M&amp;A</t>
        </is>
      </c>
      <c r="F207" s="555" t="inlineStr">
        <is>
          <t>President since Sept 2020 (succeeded Rick Arquilla, who was on Undercover Boss). Joined Chemed 1989, Roto-Rooter as Director of Development 1992. Was EVP since 2015. Oversees operations, national sales, call centers, AND CORPORATE M&amp;A activities. "Robert's proven track record of thought leadership and vision will continue to be an important part of our future success" — Spencer Lee.</t>
        </is>
      </c>
      <c r="G207" s="555" t="inlineStr">
        <is>
          <t>Sept 2020</t>
        </is>
      </c>
      <c r="H207" s="555" t="inlineStr">
        <is>
          <t>prnewswire.com (Sept 2020) / agilitypr.news</t>
        </is>
      </c>
      <c r="I207" s="555" t="inlineStr">
        <is>
          <t>Operations + M&amp;A focus = direct platform-decision authority. 36+ years at Chemed/Roto-Rooter.</t>
        </is>
      </c>
    </row>
    <row r="208" ht="80" customHeight="1" s="435">
      <c r="A208" s="556" t="inlineStr">
        <is>
          <t>Roto-Rooter Corp</t>
        </is>
      </c>
      <c r="B208" s="556" t="inlineStr">
        <is>
          <t>Public Co Context</t>
        </is>
      </c>
      <c r="C208" s="556" t="inlineStr">
        <is>
          <t>Chemed Corporation (NYSE: CHE)</t>
        </is>
      </c>
      <c r="D208" s="556" t="inlineStr">
        <is>
          <t>N/A</t>
        </is>
      </c>
      <c r="E208" s="556" t="inlineStr">
        <is>
          <t>PUBLIC CO CONTEXT</t>
        </is>
      </c>
      <c r="F208" s="556" t="inlineStr">
        <is>
          <t>⚠️ UNIQUE STRUCTURE: Roto-Rooter is owned by Chemed Corporation (NYSE: CHE) — public company with 2 main subsidiaries: Roto-Rooter (plumbing/drain) + VITAS Healthcare (hospice). Chemed CEO/Chairman: Kevin McNamara. Chemed quarterly reports public. Recent Chemed news: VITAS CEO Nicholas Westfall departing Dec 1, 2025. Service to ~91% of US population, ~40% Canadian.</t>
        </is>
      </c>
      <c r="G208" s="556" t="inlineStr">
        <is>
          <t>Public co since 1971</t>
        </is>
      </c>
      <c r="H208" s="556" t="inlineStr">
        <is>
          <t>sec.gov / chemed.com</t>
        </is>
      </c>
      <c r="I208" s="556" t="inlineStr">
        <is>
          <t>⚠️ Public company sales cycle = different from PE-backed targets. Quarterly earnings pressure = ROI conversation must be quarterly-measurable. CEO/Chairman split: Spencer Lee runs Roto-Rooter, Kevin McNamara runs Chemed parent. Approach: Spencer Lee is the right point of contact, NOT McNamara.</t>
        </is>
      </c>
    </row>
    <row r="209" ht="80" customHeight="1" s="435">
      <c r="A209" s="556" t="inlineStr">
        <is>
          <t>Roto-Rooter Corp</t>
        </is>
      </c>
      <c r="B209" s="556" t="inlineStr">
        <is>
          <t>Scale</t>
        </is>
      </c>
      <c r="C209" s="556" t="inlineStr">
        <is>
          <t>(Stats note, not person)</t>
        </is>
      </c>
      <c r="D209" s="556" t="inlineStr">
        <is>
          <t>N/A</t>
        </is>
      </c>
      <c r="E209" s="556" t="inlineStr">
        <is>
          <t>TARGET MATH</t>
        </is>
      </c>
      <c r="F209" s="556" t="inlineStr">
        <is>
          <t>Scale: 130 company-owned territories + 400 franchise territories = 530 total. Serves 91% of US population + 40% Canadian. 90+ years (since 1935). Hybrid corporate-franchise model.</t>
        </is>
      </c>
      <c r="G209" s="556" t="inlineStr">
        <is>
          <t>2025-2026</t>
        </is>
      </c>
      <c r="H209" s="556" t="inlineStr">
        <is>
          <t>prnewswire.com (2020)</t>
        </is>
      </c>
      <c r="I209" s="556" t="inlineStr">
        <is>
          <t>📊 530 territories × ~10 techs/territory = ~5,300 techs × $300/tech/yr = $1.59M ARR potential. Hybrid model = could sell to corporate side (130 territories direct) FIRST, then expand to franchisees.</t>
        </is>
      </c>
    </row>
    <row r="210">
      <c r="A210" s="557" t="inlineStr">
        <is>
          <t>═══ SERVPRO INDUSTRIES (Wave 6 — Blackstone Core PE-backed, Gallatin TN, 2300 franchises, 60-year history) ═══</t>
        </is>
      </c>
    </row>
    <row r="211" ht="85" customHeight="1" s="435">
      <c r="A211" s="556" t="inlineStr">
        <is>
          <t>Servpro Corp</t>
        </is>
      </c>
      <c r="B211" s="556" t="inlineStr">
        <is>
          <t>CEO</t>
        </is>
      </c>
      <c r="C211" s="556" t="inlineStr">
        <is>
          <t>Brett Ponton</t>
        </is>
      </c>
      <c r="D211" s="556" t="inlineStr">
        <is>
          <t>Pending verification</t>
        </is>
      </c>
      <c r="E211" s="556" t="inlineStr">
        <is>
          <t>NEW CEO</t>
        </is>
      </c>
      <c r="F211" s="556" t="inlineStr">
        <is>
          <t>STRONG SIGNAL: CEO of Servpro Industries (succeeded Rick Isaacson who retired early 2024 after nearly 40 years of service / 5 years as CEO). Recent quotes from press releases: "As we continue to scale SERVPRO's capabilities to better serve our franchisees and customers, David's leadership will be instrumental in helping us shape the future of our brand, our business model, and the broader industry." On CTO Joy Wald: "Joy has a unique set of skills and extensive knowledge in the IT space, but she also has a keen understanding of a multitude of business drivers across all moments of truth for our clients and our customers."</t>
        </is>
      </c>
      <c r="G211" s="556" t="inlineStr">
        <is>
          <t>2024-2026</t>
        </is>
      </c>
      <c r="H211" s="556" t="inlineStr">
        <is>
          <t>servpro.com / globenewswire.com</t>
        </is>
      </c>
      <c r="I211" s="556" t="inlineStr">
        <is>
          <t>🎯 PRIMARY TARGET. NEW CEO (~2 years in role) = roadmap-setting moment. Explicit "shape the future of our brand and business model" framing = receptive to platform deals.</t>
        </is>
      </c>
    </row>
    <row r="212" ht="85" customHeight="1" s="435">
      <c r="A212" s="555" t="inlineStr">
        <is>
          <t>Servpro Corp</t>
        </is>
      </c>
      <c r="B212" s="555" t="inlineStr">
        <is>
          <t>President</t>
        </is>
      </c>
      <c r="C212" s="555" t="inlineStr">
        <is>
          <t>John Sooker</t>
        </is>
      </c>
      <c r="D212" s="555" t="inlineStr">
        <is>
          <t>Pending verification (13+ years SERVPRO)</t>
        </is>
      </c>
      <c r="E212" s="555" t="inlineStr">
        <is>
          <t>New President</t>
        </is>
      </c>
      <c r="F212" s="555" t="inlineStr">
        <is>
          <t>Promoted to President Feb 2024 from COO (since 2019). Successfully transitioned from Rick Forster who retired early 2024. Quote on Sooker: "John's deep SERVPRO experience, strong franchisee relationships and leadership skills will make him an excellent partner to our next CEO and a key leader across our network."</t>
        </is>
      </c>
      <c r="G212" s="555" t="inlineStr">
        <is>
          <t>Feb 2024</t>
        </is>
      </c>
      <c r="H212" s="555" t="inlineStr">
        <is>
          <t>servpro.com / globenewswire.com</t>
        </is>
      </c>
      <c r="I212" s="555" t="inlineStr">
        <is>
          <t>Operations leader. Strong franchisee relationships = key influencer for franchisee-level rollout.</t>
        </is>
      </c>
    </row>
    <row r="213" ht="85" customHeight="1" s="435">
      <c r="A213" s="556" t="inlineStr">
        <is>
          <t>Servpro Corp</t>
        </is>
      </c>
      <c r="B213" s="556" t="inlineStr">
        <is>
          <t>CTO</t>
        </is>
      </c>
      <c r="C213" s="556" t="inlineStr">
        <is>
          <t>Joy Wald</t>
        </is>
      </c>
      <c r="D213" s="556" t="inlineStr">
        <is>
          <t>Pending verification (25-year operations + tech track record)</t>
        </is>
      </c>
      <c r="E213" s="556" t="inlineStr">
        <is>
          <t>⭐⭐ NEW CTO</t>
        </is>
      </c>
      <c r="F213" s="556" t="inlineStr">
        <is>
          <t>STRONGEST SIGNAL FOR SERVPRO: Joined as CTO March 2024 (succeeded Jeff Fields who retired after 12 years). Previously Chief Information and Transformation Officer at RENTOKIL TERMINIX (pest control giant!) since 2021. Before that G4S Retail Solutions (since 2015) — grew software-based technology business "to provide a unique solution to improve customers' operating expenses, working capital, and cash leakage." Quote: "What is abundantly clear to me is the tremendous opportunity we have in service of our IT team, business partners, and ultimately our franchisees and end-user customers."</t>
        </is>
      </c>
      <c r="G213" s="556" t="inlineStr">
        <is>
          <t>March 2024</t>
        </is>
      </c>
      <c r="H213" s="556" t="inlineStr">
        <is>
          <t>globenewswire.com (March 26 2024)</t>
        </is>
      </c>
      <c r="I213" s="556" t="inlineStr">
        <is>
          <t>🎯🎯🎯 PRIMARY TARGET (highest in Wave 6). Direct PEST CONTROL FSM background = will speak ServiceBridge language fluently. ~2 years into Servpro CTO role. Transformation mandate. Reports to CEO Ponton. Direct technology decision-maker for 2,300 franchises.</t>
        </is>
      </c>
    </row>
    <row r="214" ht="85" customHeight="1" s="435">
      <c r="A214" s="555" t="inlineStr">
        <is>
          <t>Servpro Corp</t>
        </is>
      </c>
      <c r="B214" s="555" t="inlineStr">
        <is>
          <t>Chairman of Board</t>
        </is>
      </c>
      <c r="C214" s="555" t="inlineStr">
        <is>
          <t>David D'Alessandro</t>
        </is>
      </c>
      <c r="D214" s="555" t="inlineStr">
        <is>
          <t>Pending verification</t>
        </is>
      </c>
      <c r="E214" s="555" t="inlineStr">
        <is>
          <t>New Chairman</t>
        </is>
      </c>
      <c r="F214" s="555" t="inlineStr">
        <is>
          <t>Chairman of Board appointed July 23, 2025 (succeeded Nigel Travis who served 5 years). Brett Ponton on D'Alessandro: "David is an exceptional leader with a rare combination of marketing savvy, operational discipline, and board governance experience across multiple industries." D'Alessandro quote: "I look forward to working with the experienced management team and the board to continue building a brand that stands for trust, performance, and excellence."</t>
        </is>
      </c>
      <c r="G214" s="555" t="inlineStr">
        <is>
          <t>July 23, 2025</t>
        </is>
      </c>
      <c r="H214" s="555" t="inlineStr">
        <is>
          <t>servpro.com / globenewswire.com</t>
        </is>
      </c>
      <c r="I214" s="555" t="inlineStr">
        <is>
          <t>New Chairman (~10 months in seat) = governance roadmap-setting moment.</t>
        </is>
      </c>
    </row>
    <row r="215" ht="85" customHeight="1" s="435">
      <c r="A215" s="555" t="inlineStr">
        <is>
          <t>Servpro Corp</t>
        </is>
      </c>
      <c r="B215" s="555" t="inlineStr">
        <is>
          <t>Legacy CEO</t>
        </is>
      </c>
      <c r="C215" s="555" t="inlineStr">
        <is>
          <t>Rick Isaacson</t>
        </is>
      </c>
      <c r="D215" s="555" t="inlineStr">
        <is>
          <t>Pending verification (40 years SERVPRO)</t>
        </is>
      </c>
      <c r="E215" s="555" t="inlineStr">
        <is>
          <t>Legacy / Board</t>
        </is>
      </c>
      <c r="F215" s="555" t="inlineStr">
        <is>
          <t>Former CEO 2019-early 2024. Now non-executive Board member. 40 years SERVPRO service. "The Isaacson family will continue to advocate for this amazing brand."</t>
        </is>
      </c>
      <c r="G215" s="555" t="inlineStr">
        <is>
          <t>1984-2024</t>
        </is>
      </c>
      <c r="H215" s="555" t="inlineStr">
        <is>
          <t>servpro.com</t>
        </is>
      </c>
      <c r="I215" s="555" t="inlineStr">
        <is>
          <t>Family legacy continues on Board. Warm-intro path possible through Isaacson network.</t>
        </is>
      </c>
    </row>
    <row r="216" ht="85" customHeight="1" s="435">
      <c r="A216" s="555" t="inlineStr">
        <is>
          <t>Servpro Corp</t>
        </is>
      </c>
      <c r="B216" s="555" t="inlineStr">
        <is>
          <t>PE Backer</t>
        </is>
      </c>
      <c r="C216" s="555" t="inlineStr">
        <is>
          <t>Blackstone Core Private Equity</t>
        </is>
      </c>
      <c r="D216" s="555" t="inlineStr">
        <is>
          <t>N/A</t>
        </is>
      </c>
      <c r="E216" s="555" t="inlineStr">
        <is>
          <t>PE Context</t>
        </is>
      </c>
      <c r="F216" s="555" t="inlineStr">
        <is>
          <t>Blackstone (NYSE: BX) acquired majority stake 2019 as part of Core Private Equity strategy. Peter Wallace = Global Head of Core Private Equity at Blackstone (deal sponsor). Blackstone Core PE = LONG-DURATION HOLD strategy (similar to Apex/Alpine model). Quote (Wallace): "We are confident the strong cultural foundation Rick helped instill, uphold and advance will enable the company to stay committed to its mission."</t>
        </is>
      </c>
      <c r="G216" s="555" t="inlineStr">
        <is>
          <t>2019-current</t>
        </is>
      </c>
      <c r="H216" s="555" t="inlineStr">
        <is>
          <t>globenewswire.com</t>
        </is>
      </c>
      <c r="I216" s="555" t="inlineStr">
        <is>
          <t>Blackstone Core PE = patient capital, long hold thesis. Same fund family that owns BluSky? CHECK — actually no, Blackstone owns Servpro, Partners Group + Kohlberg own BluSky. Different sponsors.</t>
        </is>
      </c>
    </row>
    <row r="217" ht="85" customHeight="1" s="435">
      <c r="A217" s="556" t="inlineStr">
        <is>
          <t>Servpro Corp</t>
        </is>
      </c>
      <c r="B217" s="556" t="inlineStr">
        <is>
          <t>Restoration Peer Note</t>
        </is>
      </c>
      <c r="C217" s="556" t="inlineStr">
        <is>
          <t>(Industry positioning note)</t>
        </is>
      </c>
      <c r="D217" s="556" t="inlineStr">
        <is>
          <t>N/A</t>
        </is>
      </c>
      <c r="E217" s="556" t="inlineStr">
        <is>
          <t>STRATEGIC POSITION</t>
        </is>
      </c>
      <c r="F217" s="556" t="inlineStr">
        <is>
          <t>Servpro is the LARGEST franchised restoration brand in the US — direct competitive peer to BELFOR FG. 2,300 franchises across US + Canada. Sponsorships: Firefighter Challenge League, First Responders Day. Customer base: insurance carriers, commercial property managers (same as BELFOR + BluSky).</t>
        </is>
      </c>
      <c r="G217" s="556" t="inlineStr">
        <is>
          <t>Current</t>
        </is>
      </c>
      <c r="H217" s="556" t="inlineStr">
        <is>
          <t>globenewswire.com</t>
        </is>
      </c>
      <c r="I217" s="556" t="inlineStr">
        <is>
          <t>⭐ STRATEGIC: Restoration vertical = 3 platform plays now: BELFOR (#1 P1 target), BluSky (Wave 6), Servpro (Wave 6). All similar customers + insurance workflows + fleet patterns. Once one closes, the others become natural follow-on.</t>
        </is>
      </c>
    </row>
    <row r="218" ht="60" customHeight="1" s="435">
      <c r="A218" s="558" t="inlineStr">
        <is>
          <t>#1</t>
        </is>
      </c>
      <c r="B218" s="559" t="inlineStr">
        <is>
          <t>Joy Wald (Servpro CTO)</t>
        </is>
      </c>
      <c r="E218" s="556" t="inlineStr">
        <is>
          <t>Direct pest control FSM background (ex-Rentokil Terminix CITO). 25-year ops + tech track record. ~2 years in Servpro CTO seat. Reports to CEO Ponton. Decision-maker for 2,300 franchises.</t>
        </is>
      </c>
      <c r="I218" s="556" t="inlineStr">
        <is>
          <t>Servpro / Gallatin TN</t>
        </is>
      </c>
    </row>
    <row r="219">
      <c r="A219" s="561" t="inlineStr">
        <is>
          <t>WAVE 6 — TOP 5 ADDITIONS (BluSky, ARS, Roto-Rooter, Servpro)</t>
        </is>
      </c>
    </row>
    <row r="220" ht="60" customHeight="1" s="435">
      <c r="A220" s="558" t="inlineStr">
        <is>
          <t>#2</t>
        </is>
      </c>
      <c r="B220" s="559" t="inlineStr">
        <is>
          <t>DJ Jandhyala (ARS CTO)</t>
        </is>
      </c>
      <c r="E220" s="556" t="inlineStr">
        <is>
          <t>Joined Dec 2025 (5 months ago!). Mandate: "field-ready, customer-centric solutions." 20+ years AI/data/automation background. Reports DIRECTLY to CEO Boose. 6,500 employees.</t>
        </is>
      </c>
      <c r="I220" s="556" t="inlineStr">
        <is>
          <t>ARS / Memphis TN</t>
        </is>
      </c>
    </row>
    <row r="221" ht="60" customHeight="1" s="435">
      <c r="A221" s="558" t="inlineStr">
        <is>
          <t>#3</t>
        </is>
      </c>
      <c r="B221" s="559" t="inlineStr">
        <is>
          <t>Mark Minasian (BluSky CEO)</t>
        </is>
      </c>
      <c r="E221" s="556" t="inlineStr">
        <is>
          <t>New CEO Sept 2025 (~7 mo). Co-founded KBS (largest privately-held facilities management). Explicit "technology-enabled platform" mandate. Restoration peer of BELFOR.</t>
        </is>
      </c>
      <c r="I221" s="556" t="inlineStr">
        <is>
          <t>BluSky / Centennial CO</t>
        </is>
      </c>
    </row>
    <row r="222" ht="60" customHeight="1" s="435">
      <c r="A222" s="558" t="inlineStr">
        <is>
          <t>#4</t>
        </is>
      </c>
      <c r="B222" s="559" t="inlineStr">
        <is>
          <t>Brett Ponton (Servpro CEO)</t>
        </is>
      </c>
      <c r="E222" s="556" t="inlineStr">
        <is>
          <t>New CEO ~2 years. Explicit "shape future of our brand and business model" framing. 2,300 franchises.</t>
        </is>
      </c>
      <c r="I222" s="556" t="inlineStr">
        <is>
          <t>Servpro / Gallatin TN</t>
        </is>
      </c>
    </row>
    <row r="223" ht="60" customHeight="1" s="435">
      <c r="A223" s="558" t="inlineStr">
        <is>
          <t>#5</t>
        </is>
      </c>
      <c r="B223" s="559" t="inlineStr">
        <is>
          <t>Spencer Lee (Roto-Rooter CEO)</t>
        </is>
      </c>
      <c r="E223" s="556" t="inlineStr">
        <is>
          <t>26 years as CEO. UChicago MBA. Public company (Chemed NYSE: CHE) discipline. 530 total territories. Age 69 = potential succession window.</t>
        </is>
      </c>
      <c r="I223" s="556" t="inlineStr">
        <is>
          <t>Roto-Rooter / Cincinnati OH</t>
        </is>
      </c>
    </row>
    <row r="224" ht="50" customHeight="1" s="435">
      <c r="A224" s="573" t="inlineStr">
        <is>
          <t>#1</t>
        </is>
      </c>
      <c r="B224" s="574" t="inlineStr">
        <is>
          <t>Gagan Sinha</t>
        </is>
      </c>
      <c r="C224" s="575" t="inlineStr">
        <is>
          <t>Neighborly CIO</t>
        </is>
      </c>
      <c r="E224" s="575" t="inlineStr">
        <is>
          <t>Harvard MS Mgmt. Explicit "best-in-class platforms" stance. ~7 mo in role. 16+ Neighborly brands.</t>
        </is>
      </c>
      <c r="I224" s="575" t="inlineStr">
        <is>
          <t>Wave 1; Atlanta</t>
        </is>
      </c>
    </row>
    <row r="225" ht="50" customHeight="1" s="435">
      <c r="A225" s="573" t="inlineStr">
        <is>
          <t>#2</t>
        </is>
      </c>
      <c r="B225" s="574" t="inlineStr">
        <is>
          <t>Joy Wald</t>
        </is>
      </c>
      <c r="C225" s="575" t="inlineStr">
        <is>
          <t>Servpro CTO</t>
        </is>
      </c>
      <c r="E225" s="575" t="inlineStr">
        <is>
          <t>Ex-Rentokil Terminix CITO (pest control FSM!). 25-yr ops/tech. ~2 yrs in Servpro role. 2,300 franchises.</t>
        </is>
      </c>
      <c r="I225" s="575" t="inlineStr">
        <is>
          <t>Wave 6; Gallatin TN</t>
        </is>
      </c>
    </row>
    <row r="226">
      <c r="A226" s="577" t="inlineStr">
        <is>
          <t>🏆 MASTER CROSS-WAVE TOP 25 STRONGEST SIGNALS — All Waves Combined</t>
        </is>
      </c>
    </row>
    <row r="227" ht="50" customHeight="1" s="435">
      <c r="A227" s="573" t="inlineStr">
        <is>
          <t>#3</t>
        </is>
      </c>
      <c r="B227" s="574" t="inlineStr">
        <is>
          <t>DJ Jandhyala</t>
        </is>
      </c>
      <c r="C227" s="575" t="inlineStr">
        <is>
          <t>ARS CTO</t>
        </is>
      </c>
      <c r="E227" s="575" t="inlineStr">
        <is>
          <t>Joined Dec 2025 — 5 months in. Mandate: "field-ready, customer-centric solutions." Reports to Boose.</t>
        </is>
      </c>
      <c r="I227" s="575" t="inlineStr">
        <is>
          <t>Wave 6; Memphis TN</t>
        </is>
      </c>
    </row>
    <row r="228" ht="50" customHeight="1" s="435">
      <c r="A228" s="573" t="inlineStr">
        <is>
          <t>#4</t>
        </is>
      </c>
      <c r="B228" s="574" t="inlineStr">
        <is>
          <t>Josh Skolnick</t>
        </is>
      </c>
      <c r="C228" s="575" t="inlineStr">
        <is>
          <t>HorsePower Co-Founder/Chair</t>
        </is>
      </c>
      <c r="E228" s="575" t="inlineStr">
        <is>
          <t>SOLD REDBOX+ TO BELFOR (June 2021). DIRECT BELFOR relationship. HorsePower exploring exit.</t>
        </is>
      </c>
      <c r="I228" s="575" t="inlineStr">
        <is>
          <t>Wave 3; Omaha NE</t>
        </is>
      </c>
    </row>
    <row r="229" ht="50" customHeight="1" s="435">
      <c r="A229" s="573" t="inlineStr">
        <is>
          <t>#5</t>
        </is>
      </c>
      <c r="B229" s="574" t="inlineStr">
        <is>
          <t>Eddie McFarlane</t>
        </is>
      </c>
      <c r="C229" s="575" t="inlineStr">
        <is>
          <t>Sila CLDO</t>
        </is>
      </c>
      <c r="E229" s="575" t="inlineStr">
        <is>
          <t>CO-FOUNDED Schedule Engine (FSM software!). ACCA + NATE board. Speaks ServiceBridge language.</t>
        </is>
      </c>
      <c r="I229" s="575" t="inlineStr">
        <is>
          <t>Wave 5; Lititz PA</t>
        </is>
      </c>
    </row>
    <row r="230" ht="50" customHeight="1" s="435">
      <c r="A230" s="578" t="inlineStr">
        <is>
          <t>#6</t>
        </is>
      </c>
      <c r="B230" s="579" t="inlineStr">
        <is>
          <t>Jay Caiafa</t>
        </is>
      </c>
      <c r="C230" s="580" t="inlineStr">
        <is>
          <t>Authority CEO</t>
        </is>
      </c>
      <c r="E230" s="580" t="inlineStr">
        <is>
          <t>USAFA + Duke Law + Duke Fuqua. IHG data/AI background. ~9 months in role. Apax PE pressure.</t>
        </is>
      </c>
      <c r="I230" s="580" t="inlineStr">
        <is>
          <t>Wave 1; Atlanta</t>
        </is>
      </c>
    </row>
    <row r="231" ht="50" customHeight="1" s="435">
      <c r="A231" s="578" t="inlineStr">
        <is>
          <t>#7</t>
        </is>
      </c>
      <c r="B231" s="579" t="inlineStr">
        <is>
          <t>AJ Brown</t>
        </is>
      </c>
      <c r="C231" s="580" t="inlineStr">
        <is>
          <t>Apex CEO</t>
        </is>
      </c>
      <c r="E231" s="580" t="inlineStr">
        <is>
          <t>Kellogg MBA + Goldman Sachs. Built $2B platform 4 yrs. 107 brands single decision. Software-friendly.</t>
        </is>
      </c>
      <c r="I231" s="580" t="inlineStr">
        <is>
          <t>Wave 4; Tampa FL</t>
        </is>
      </c>
    </row>
    <row r="232" ht="50" customHeight="1" s="435">
      <c r="A232" s="578" t="inlineStr">
        <is>
          <t>#8</t>
        </is>
      </c>
      <c r="B232" s="579" t="inlineStr">
        <is>
          <t>Mark Minasian</t>
        </is>
      </c>
      <c r="C232" s="580" t="inlineStr">
        <is>
          <t>BluSky CEO</t>
        </is>
      </c>
      <c r="E232" s="580" t="inlineStr">
        <is>
          <t>New Sept 2025. Co-founded KBS. Explicit "technology-enabled platform" mandate. Restoration peer of BELFOR.</t>
        </is>
      </c>
      <c r="I232" s="580" t="inlineStr">
        <is>
          <t>Wave 6; Centennial CO</t>
        </is>
      </c>
    </row>
    <row r="233" ht="50" customHeight="1" s="435">
      <c r="A233" s="578" t="inlineStr">
        <is>
          <t>#9</t>
        </is>
      </c>
      <c r="B233" s="579" t="inlineStr">
        <is>
          <t>Scott Zide</t>
        </is>
      </c>
      <c r="C233" s="580" t="inlineStr">
        <is>
          <t>Empower CEO</t>
        </is>
      </c>
      <c r="E233" s="580" t="inlineStr">
        <is>
          <t>Explicit data warehouse + tech automation. U Kansas. ACG Richmond keynote.</t>
        </is>
      </c>
      <c r="I233" s="580" t="inlineStr">
        <is>
          <t>Wave 1; Richmond VA</t>
        </is>
      </c>
    </row>
    <row r="234" ht="50" customHeight="1" s="435">
      <c r="A234" s="578" t="inlineStr">
        <is>
          <t>#10</t>
        </is>
      </c>
      <c r="B234" s="579" t="inlineStr">
        <is>
          <t>Beth Toenies</t>
        </is>
      </c>
      <c r="C234" s="580" t="inlineStr">
        <is>
          <t>BELFOR FG VP FD</t>
        </is>
      </c>
      <c r="E234" s="580" t="inlineStr">
        <is>
          <t>STRONG: "smarter tools, building shared services." Asbury U '06. Promoted Sept 2025. Mike's #1 P1 target.</t>
        </is>
      </c>
      <c r="I234" s="580" t="inlineStr">
        <is>
          <t>Wave 1; Jacksonville FL</t>
        </is>
      </c>
    </row>
    <row r="235" ht="50" customHeight="1" s="435">
      <c r="A235" s="582" t="inlineStr">
        <is>
          <t>#11</t>
        </is>
      </c>
      <c r="B235" s="583" t="inlineStr">
        <is>
          <t>Ryan Bowes</t>
        </is>
      </c>
      <c r="C235" s="584" t="inlineStr">
        <is>
          <t>Authority CGTO</t>
        </is>
      </c>
      <c r="E235" s="584" t="inlineStr">
        <is>
          <t>Oversees BuyMax GPO platform. Clemson BS+MS. ~3 mo in role. Atlanta.</t>
        </is>
      </c>
      <c r="I235" s="584" t="inlineStr">
        <is>
          <t>Wave 1; Atlanta</t>
        </is>
      </c>
    </row>
    <row r="236" ht="50" customHeight="1" s="435">
      <c r="A236" s="582" t="inlineStr">
        <is>
          <t>#12</t>
        </is>
      </c>
      <c r="B236" s="583" t="inlineStr">
        <is>
          <t>Vess Pearson</t>
        </is>
      </c>
      <c r="C236" s="584" t="inlineStr">
        <is>
          <t>Aptive Co-Founder/CEO</t>
        </is>
      </c>
      <c r="E236" s="584" t="inlineStr">
        <is>
          <t>BYU. 5,000+ employees. 5th largest pest control US. Founder-led under Citation.</t>
        </is>
      </c>
      <c r="I236" s="584" t="inlineStr">
        <is>
          <t>Wave 5; Provo UT</t>
        </is>
      </c>
    </row>
    <row r="237" ht="50" customHeight="1" s="435">
      <c r="A237" s="582" t="inlineStr">
        <is>
          <t>#13</t>
        </is>
      </c>
      <c r="B237" s="583" t="inlineStr">
        <is>
          <t>Jason Rabbino</t>
        </is>
      </c>
      <c r="C237" s="584" t="inlineStr">
        <is>
          <t>Sila CEO</t>
        </is>
      </c>
      <c r="E237" s="584" t="inlineStr">
        <is>
          <t>Fresh under Goldman Sachs (Nov 2024). 35+ brands single-decision opportunity.</t>
        </is>
      </c>
      <c r="I237" s="584" t="inlineStr">
        <is>
          <t>Wave 5; King of Prussia PA</t>
        </is>
      </c>
    </row>
    <row r="238" ht="50" customHeight="1" s="435">
      <c r="A238" s="582" t="inlineStr">
        <is>
          <t>#14</t>
        </is>
      </c>
      <c r="B238" s="583" t="inlineStr">
        <is>
          <t>Steven Montgomery</t>
        </is>
      </c>
      <c r="C238" s="584" t="inlineStr">
        <is>
          <t>ResiBrands CEO</t>
        </is>
      </c>
      <c r="E238" s="584" t="inlineStr">
        <is>
          <t>$12 → $100M. Calvary Chapel BA. Coaches son's soccer team. Codie Sanchez Co-Owner.</t>
        </is>
      </c>
      <c r="I238" s="584" t="inlineStr">
        <is>
          <t>Wave 2; Austin TX</t>
        </is>
      </c>
    </row>
    <row r="239" ht="50" customHeight="1" s="435">
      <c r="A239" s="582" t="inlineStr">
        <is>
          <t>#15</t>
        </is>
      </c>
      <c r="B239" s="583" t="inlineStr">
        <is>
          <t>Brett Ponton</t>
        </is>
      </c>
      <c r="C239" s="584" t="inlineStr">
        <is>
          <t>Servpro CEO</t>
        </is>
      </c>
      <c r="E239" s="584" t="inlineStr">
        <is>
          <t>New CEO ~2 yrs. "Shape future of business model" framing. 2,300 franchises.</t>
        </is>
      </c>
      <c r="I239" s="584" t="inlineStr">
        <is>
          <t>Wave 6; Gallatin TN</t>
        </is>
      </c>
    </row>
    <row r="240" ht="50" customHeight="1" s="435">
      <c r="A240" s="586" t="inlineStr">
        <is>
          <t>#16</t>
        </is>
      </c>
      <c r="B240" s="559" t="inlineStr">
        <is>
          <t>Ken Haines</t>
        </is>
      </c>
      <c r="C240" s="556" t="inlineStr">
        <is>
          <t>Wrench CEO</t>
        </is>
      </c>
      <c r="E240" s="556" t="inlineStr">
        <is>
          <t>40+ yrs industry. Atlanta. 25 brands, 7,300 employees. LGP + TSG + Oak Hill.</t>
        </is>
      </c>
      <c r="I240" s="556" t="inlineStr">
        <is>
          <t>Wave 4; Atlanta</t>
        </is>
      </c>
    </row>
    <row r="241" ht="50" customHeight="1" s="435">
      <c r="A241" s="586" t="inlineStr">
        <is>
          <t>#17</t>
        </is>
      </c>
      <c r="B241" s="559" t="inlineStr">
        <is>
          <t>Jeff Dudan</t>
        </is>
      </c>
      <c r="C241" s="556" t="inlineStr">
        <is>
          <t>HomeFront CEO</t>
        </is>
      </c>
      <c r="E241" s="556" t="inlineStr">
        <is>
          <t>Founded AdvantaClean (240 locations sold). Discernment book. Forbes contributor. Undercover Boss.</t>
        </is>
      </c>
      <c r="I241" s="556" t="inlineStr">
        <is>
          <t>Wave 3; Charlotte NC</t>
        </is>
      </c>
    </row>
    <row r="242" ht="50" customHeight="1" s="435">
      <c r="A242" s="586" t="inlineStr">
        <is>
          <t>#18</t>
        </is>
      </c>
      <c r="B242" s="559" t="inlineStr">
        <is>
          <t>Hagan Kappler</t>
        </is>
      </c>
      <c r="C242" s="556" t="inlineStr">
        <is>
          <t>Threshold CEO</t>
        </is>
      </c>
      <c r="E242" s="556" t="inlineStr">
        <is>
          <t>Ex-Merry Maids/ServiceMaster Clean (sold to Roark 2020). Riverside Capital. 84 new agreements year 1.</t>
        </is>
      </c>
      <c r="I242" s="556" t="inlineStr">
        <is>
          <t>Wave 3; Boston</t>
        </is>
      </c>
    </row>
    <row r="243" ht="50" customHeight="1" s="435">
      <c r="A243" s="586" t="inlineStr">
        <is>
          <t>#19</t>
        </is>
      </c>
      <c r="B243" s="559" t="inlineStr">
        <is>
          <t>Scott Frith</t>
        </is>
      </c>
      <c r="C243" s="556" t="inlineStr">
        <is>
          <t>Happinest/Lawn Doctor CEO</t>
        </is>
      </c>
      <c r="E243" s="556" t="inlineStr">
        <is>
          <t>Father-to-son legacy since 2011. 700+ Lawn Doctor units. CONSOLIDATION thesis.</t>
        </is>
      </c>
      <c r="I243" s="556" t="inlineStr">
        <is>
          <t>Wave 4; Holmdel NJ</t>
        </is>
      </c>
    </row>
    <row r="244" ht="50" customHeight="1" s="435">
      <c r="A244" s="586" t="inlineStr">
        <is>
          <t>#20</t>
        </is>
      </c>
      <c r="B244" s="559" t="inlineStr">
        <is>
          <t>Mike Davis</t>
        </is>
      </c>
      <c r="C244" s="556" t="inlineStr">
        <is>
          <t>Neighborly CEO</t>
        </is>
      </c>
      <c r="E244" s="556" t="inlineStr">
        <is>
          <t>Quote on tech: "rooted in technology." UMG 13 yrs. Mathnasium prior.</t>
        </is>
      </c>
      <c r="I244" s="556" t="inlineStr">
        <is>
          <t>Wave 1; Waco TX</t>
        </is>
      </c>
    </row>
    <row r="245" ht="50" customHeight="1" s="435">
      <c r="A245" s="586" t="inlineStr">
        <is>
          <t>#21</t>
        </is>
      </c>
      <c r="B245" s="559" t="inlineStr">
        <is>
          <t>Scott Abbott</t>
        </is>
      </c>
      <c r="C245" s="556" t="inlineStr">
        <is>
          <t>Five Star CEO</t>
        </is>
      </c>
      <c r="E245" s="556" t="inlineStr">
        <is>
          <t>Princeton Equity. Built ProNexis. Just acquired Five Star Flooring.</t>
        </is>
      </c>
      <c r="I245" s="556" t="inlineStr">
        <is>
          <t>Wave 2; Springville UT</t>
        </is>
      </c>
    </row>
    <row r="246" ht="50" customHeight="1" s="435">
      <c r="A246" s="586" t="inlineStr">
        <is>
          <t>#22</t>
        </is>
      </c>
      <c r="B246" s="559" t="inlineStr">
        <is>
          <t>Justin Mayer</t>
        </is>
      </c>
      <c r="C246" s="556" t="inlineStr">
        <is>
          <t>OLP Brand Pres (Empower)</t>
        </is>
      </c>
      <c r="E246" s="556" t="inlineStr">
        <is>
          <t>USNA BS Econ + UVA Darden MBA. USMC veteran. April 2025 brand pres. Triple credentials.</t>
        </is>
      </c>
      <c r="I246" s="556" t="inlineStr">
        <is>
          <t>Wave 1; Pittsburgh PA</t>
        </is>
      </c>
    </row>
    <row r="247" ht="50" customHeight="1" s="435">
      <c r="A247" s="586" t="inlineStr">
        <is>
          <t>#23</t>
        </is>
      </c>
      <c r="B247" s="559" t="inlineStr">
        <is>
          <t>Roxanne Conrad</t>
        </is>
      </c>
      <c r="C247" s="556" t="inlineStr">
        <is>
          <t>PSB COO</t>
        </is>
      </c>
      <c r="E247" s="556" t="inlineStr">
        <is>
          <t>Former 360 Painting franchisee → COO. Top 50 Women COOs 2025.</t>
        </is>
      </c>
      <c r="I247" s="556" t="inlineStr">
        <is>
          <t>Wave 2; Charlottesville VA</t>
        </is>
      </c>
    </row>
    <row r="248" ht="50" customHeight="1" s="435">
      <c r="A248" s="586" t="inlineStr">
        <is>
          <t>#24</t>
        </is>
      </c>
      <c r="B248" s="559" t="inlineStr">
        <is>
          <t>Spencer Lee</t>
        </is>
      </c>
      <c r="C248" s="556" t="inlineStr">
        <is>
          <t>Roto-Rooter CEO</t>
        </is>
      </c>
      <c r="E248" s="556" t="inlineStr">
        <is>
          <t>26 yrs as CEO. UChicago MBA. Chemed public co. 530 territories. Age 69 = succession window.</t>
        </is>
      </c>
      <c r="I248" s="556" t="inlineStr">
        <is>
          <t>Wave 6; Cincinnati OH</t>
        </is>
      </c>
    </row>
    <row r="249" ht="50" customHeight="1" s="435">
      <c r="A249" s="586" t="inlineStr">
        <is>
          <t>#25</t>
        </is>
      </c>
      <c r="B249" s="559" t="inlineStr">
        <is>
          <t>Will Matson</t>
        </is>
      </c>
      <c r="C249" s="556" t="inlineStr">
        <is>
          <t>Apex President/M&amp;A/CFO</t>
        </is>
      </c>
      <c r="E249" s="556" t="inlineStr">
        <is>
          <t>Constant brand integrations = constant FSM platform decisions. Direct contact Wmatson@apexservicepartners.com.</t>
        </is>
      </c>
      <c r="I249" s="556" t="inlineStr">
        <is>
          <t>Wave 4; Tampa FL</t>
        </is>
      </c>
    </row>
    <row r="250">
      <c r="A250" s="587" t="inlineStr">
        <is>
          <t>Target</t>
        </is>
      </c>
      <c r="C250" s="587" t="inlineStr">
        <is>
          <t>Wave</t>
        </is>
      </c>
      <c r="D250" s="587" t="inlineStr">
        <is>
          <t>Model</t>
        </is>
      </c>
      <c r="E250" s="587" t="inlineStr">
        <is>
          <t>Scale</t>
        </is>
      </c>
      <c r="G250" s="587" t="inlineStr">
        <is>
          <t>Owner</t>
        </is>
      </c>
      <c r="I250" s="587" t="inlineStr">
        <is>
          <t>Location</t>
        </is>
      </c>
    </row>
    <row r="251" ht="35" customHeight="1" s="435">
      <c r="A251" s="570" t="inlineStr">
        <is>
          <t>BELFOR FG</t>
        </is>
      </c>
      <c r="C251" s="588" t="inlineStr">
        <is>
          <t>Wave 1</t>
        </is>
      </c>
      <c r="D251" s="588" t="inlineStr">
        <is>
          <t>Restoration Franchise</t>
        </is>
      </c>
      <c r="E251" s="588" t="inlineStr">
        <is>
          <t>9,250 techs</t>
        </is>
      </c>
      <c r="G251" s="588" t="inlineStr">
        <is>
          <t>American Securities</t>
        </is>
      </c>
      <c r="I251" s="588" t="inlineStr">
        <is>
          <t>Various</t>
        </is>
      </c>
    </row>
    <row r="252">
      <c r="A252" s="577" t="inlineStr">
        <is>
          <t>🗺️ COMPLETE FRANCHISOR/PLATFORM COVERAGE MAP — 16 Major Targets Across 6 Waves</t>
        </is>
      </c>
    </row>
    <row r="253" ht="35" customHeight="1" s="435">
      <c r="A253" s="559" t="inlineStr">
        <is>
          <t>Neighborly</t>
        </is>
      </c>
      <c r="C253" s="556" t="inlineStr">
        <is>
          <t>Wave 1</t>
        </is>
      </c>
      <c r="D253" s="556" t="inlineStr">
        <is>
          <t>Multi-brand Franchise</t>
        </is>
      </c>
      <c r="E253" s="556" t="inlineStr">
        <is>
          <t>30+ brands, 5K+ locations</t>
        </is>
      </c>
      <c r="G253" s="556" t="inlineStr">
        <is>
          <t>KKR</t>
        </is>
      </c>
      <c r="I253" s="556" t="inlineStr">
        <is>
          <t>Waco TX</t>
        </is>
      </c>
    </row>
    <row r="254" ht="35" customHeight="1" s="435">
      <c r="A254" s="559" t="inlineStr">
        <is>
          <t>Authority Brands</t>
        </is>
      </c>
      <c r="C254" s="556" t="inlineStr">
        <is>
          <t>Wave 1</t>
        </is>
      </c>
      <c r="D254" s="556" t="inlineStr">
        <is>
          <t>Multi-brand Franchise</t>
        </is>
      </c>
      <c r="E254" s="556" t="inlineStr">
        <is>
          <t>15 brands, $2B sales</t>
        </is>
      </c>
      <c r="G254" s="556" t="inlineStr">
        <is>
          <t>Apax</t>
        </is>
      </c>
      <c r="I254" s="556" t="inlineStr">
        <is>
          <t>Atlanta</t>
        </is>
      </c>
    </row>
    <row r="255" ht="35" customHeight="1" s="435">
      <c r="A255" s="559" t="inlineStr">
        <is>
          <t>Empower Brands</t>
        </is>
      </c>
      <c r="C255" s="556" t="inlineStr">
        <is>
          <t>Wave 1</t>
        </is>
      </c>
      <c r="D255" s="556" t="inlineStr">
        <is>
          <t>Multi-brand Franchise</t>
        </is>
      </c>
      <c r="E255" s="556" t="inlineStr">
        <is>
          <t>10 brands</t>
        </is>
      </c>
      <c r="G255" s="556" t="inlineStr">
        <is>
          <t>Independent</t>
        </is>
      </c>
      <c r="I255" s="556" t="inlineStr">
        <is>
          <t>Richmond VA</t>
        </is>
      </c>
    </row>
    <row r="256" ht="35" customHeight="1" s="435">
      <c r="A256" s="559" t="inlineStr">
        <is>
          <t>ResiBrands</t>
        </is>
      </c>
      <c r="C256" s="556" t="inlineStr">
        <is>
          <t>Wave 2</t>
        </is>
      </c>
      <c r="D256" s="556" t="inlineStr">
        <is>
          <t>Multi-brand Franchise</t>
        </is>
      </c>
      <c r="E256" s="556" t="inlineStr">
        <is>
          <t>6 brands, ~800 territories</t>
        </is>
      </c>
      <c r="G256" s="556" t="inlineStr">
        <is>
          <t>Codie Sanchez Co-Owner</t>
        </is>
      </c>
      <c r="I256" s="556" t="inlineStr">
        <is>
          <t>Austin TX</t>
        </is>
      </c>
    </row>
    <row r="257" ht="35" customHeight="1" s="435">
      <c r="A257" s="559" t="inlineStr">
        <is>
          <t>Five Star Franchising</t>
        </is>
      </c>
      <c r="C257" s="556" t="inlineStr">
        <is>
          <t>Wave 2</t>
        </is>
      </c>
      <c r="D257" s="556" t="inlineStr">
        <is>
          <t>Multi-brand Franchise</t>
        </is>
      </c>
      <c r="E257" s="556" t="inlineStr">
        <is>
          <t>8 brands</t>
        </is>
      </c>
      <c r="G257" s="556" t="inlineStr">
        <is>
          <t>Princeton Equity</t>
        </is>
      </c>
      <c r="I257" s="556" t="inlineStr">
        <is>
          <t>Springville UT</t>
        </is>
      </c>
    </row>
    <row r="258" ht="35" customHeight="1" s="435">
      <c r="A258" s="559" t="inlineStr">
        <is>
          <t>PSB / Premium Service Brands</t>
        </is>
      </c>
      <c r="C258" s="556" t="inlineStr">
        <is>
          <t>Wave 2</t>
        </is>
      </c>
      <c r="D258" s="556" t="inlineStr">
        <is>
          <t>Multi-brand Franchise</t>
        </is>
      </c>
      <c r="E258" s="556" t="inlineStr">
        <is>
          <t>9 brands, 400+ locations</t>
        </is>
      </c>
      <c r="G258" s="556" t="inlineStr">
        <is>
          <t>Independent</t>
        </is>
      </c>
      <c r="I258" s="556" t="inlineStr">
        <is>
          <t>Charlottesville VA</t>
        </is>
      </c>
    </row>
    <row r="259" ht="35" customHeight="1" s="435">
      <c r="A259" s="559" t="inlineStr">
        <is>
          <t>HomeFront Brands</t>
        </is>
      </c>
      <c r="C259" s="556" t="inlineStr">
        <is>
          <t>Wave 3</t>
        </is>
      </c>
      <c r="D259" s="556" t="inlineStr">
        <is>
          <t>Multi-brand Franchise</t>
        </is>
      </c>
      <c r="E259" s="556" t="inlineStr">
        <is>
          <t>6 brands</t>
        </is>
      </c>
      <c r="G259" s="556" t="inlineStr">
        <is>
          <t>Dudan Group</t>
        </is>
      </c>
      <c r="I259" s="556" t="inlineStr">
        <is>
          <t>Charlotte NC</t>
        </is>
      </c>
    </row>
    <row r="260" ht="35" customHeight="1" s="435">
      <c r="A260" s="559" t="inlineStr">
        <is>
          <t>Threshold Brands</t>
        </is>
      </c>
      <c r="C260" s="556" t="inlineStr">
        <is>
          <t>Wave 3</t>
        </is>
      </c>
      <c r="D260" s="556" t="inlineStr">
        <is>
          <t>Multi-brand Franchise</t>
        </is>
      </c>
      <c r="E260" s="556" t="inlineStr">
        <is>
          <t>10 brands, ~500 locations</t>
        </is>
      </c>
      <c r="G260" s="556" t="inlineStr">
        <is>
          <t>Riverside Capital</t>
        </is>
      </c>
      <c r="I260" s="556" t="inlineStr">
        <is>
          <t>Boston</t>
        </is>
      </c>
    </row>
    <row r="261" ht="35" customHeight="1" s="435">
      <c r="A261" s="559" t="inlineStr">
        <is>
          <t>HorsePower Brands</t>
        </is>
      </c>
      <c r="C261" s="556" t="inlineStr">
        <is>
          <t>Wave 3</t>
        </is>
      </c>
      <c r="D261" s="556" t="inlineStr">
        <is>
          <t>Multi-brand Franchise</t>
        </is>
      </c>
      <c r="E261" s="556" t="inlineStr">
        <is>
          <t>9 brands, 1,500 territories</t>
        </is>
      </c>
      <c r="G261" s="556" t="inlineStr">
        <is>
          <t>$100M private capital</t>
        </is>
      </c>
      <c r="I261" s="556" t="inlineStr">
        <is>
          <t>Omaha NE</t>
        </is>
      </c>
    </row>
    <row r="262" ht="35" customHeight="1" s="435">
      <c r="A262" s="571" t="inlineStr">
        <is>
          <t>Apex Service Partners</t>
        </is>
      </c>
      <c r="C262" s="568" t="inlineStr">
        <is>
          <t>Wave 4</t>
        </is>
      </c>
      <c r="D262" s="568" t="inlineStr">
        <is>
          <t>PE Rollup</t>
        </is>
      </c>
      <c r="E262" s="568" t="inlineStr">
        <is>
          <t>107 brands, $2B revenue</t>
        </is>
      </c>
      <c r="G262" s="568" t="inlineStr">
        <is>
          <t>Alpine + Partners Group</t>
        </is>
      </c>
      <c r="I262" s="568" t="inlineStr">
        <is>
          <t>Tampa FL</t>
        </is>
      </c>
    </row>
    <row r="263" ht="35" customHeight="1" s="435">
      <c r="A263" s="571" t="inlineStr">
        <is>
          <t>Wrench Group</t>
        </is>
      </c>
      <c r="C263" s="568" t="inlineStr">
        <is>
          <t>Wave 4</t>
        </is>
      </c>
      <c r="D263" s="568" t="inlineStr">
        <is>
          <t>PE Rollup</t>
        </is>
      </c>
      <c r="E263" s="568" t="inlineStr">
        <is>
          <t>25 brands, 7,300 employees</t>
        </is>
      </c>
      <c r="G263" s="568" t="inlineStr">
        <is>
          <t>LGP + TSG + Oak Hill</t>
        </is>
      </c>
      <c r="I263" s="568" t="inlineStr">
        <is>
          <t>Atlanta</t>
        </is>
      </c>
    </row>
    <row r="264" ht="35" customHeight="1" s="435">
      <c r="A264" s="559" t="inlineStr">
        <is>
          <t>Happinest Brands</t>
        </is>
      </c>
      <c r="C264" s="556" t="inlineStr">
        <is>
          <t>Wave 4</t>
        </is>
      </c>
      <c r="D264" s="556" t="inlineStr">
        <is>
          <t>Multi-brand Franchise</t>
        </is>
      </c>
      <c r="E264" s="556" t="inlineStr">
        <is>
          <t>5 brands, ~1,000 units</t>
        </is>
      </c>
      <c r="G264" s="556" t="inlineStr">
        <is>
          <t>CNL Strategic Capital</t>
        </is>
      </c>
      <c r="I264" s="556" t="inlineStr">
        <is>
          <t>Holmdel NJ</t>
        </is>
      </c>
    </row>
    <row r="265" ht="35" customHeight="1" s="435">
      <c r="A265" s="571" t="inlineStr">
        <is>
          <t>Sila Services</t>
        </is>
      </c>
      <c r="C265" s="568" t="inlineStr">
        <is>
          <t>Wave 5</t>
        </is>
      </c>
      <c r="D265" s="568" t="inlineStr">
        <is>
          <t>PE Rollup</t>
        </is>
      </c>
      <c r="E265" s="568" t="inlineStr">
        <is>
          <t>35+ brands, ~2,000 employees</t>
        </is>
      </c>
      <c r="G265" s="568" t="inlineStr">
        <is>
          <t>Goldman Sachs (Nov 2024)</t>
        </is>
      </c>
      <c r="I265" s="568" t="inlineStr">
        <is>
          <t>King of Prussia PA</t>
        </is>
      </c>
    </row>
    <row r="266" ht="35" customHeight="1" s="435">
      <c r="A266" s="571" t="inlineStr">
        <is>
          <t>Champions Group</t>
        </is>
      </c>
      <c r="C266" s="568" t="inlineStr">
        <is>
          <t>Wave 5</t>
        </is>
      </c>
      <c r="D266" s="568" t="inlineStr">
        <is>
          <t>PE Rollup</t>
        </is>
      </c>
      <c r="E266" s="568" t="inlineStr">
        <is>
          <t>19+ brands</t>
        </is>
      </c>
      <c r="G266" s="568" t="inlineStr">
        <is>
          <t>Odyssey Investment Partners</t>
        </is>
      </c>
      <c r="I266" s="568" t="inlineStr">
        <is>
          <t>Brea/Irvine CA</t>
        </is>
      </c>
    </row>
    <row r="267" ht="35" customHeight="1" s="435">
      <c r="A267" s="571" t="inlineStr">
        <is>
          <t>Aptive Environmental</t>
        </is>
      </c>
      <c r="C267" s="568" t="inlineStr">
        <is>
          <t>Wave 5</t>
        </is>
      </c>
      <c r="D267" s="568" t="inlineStr">
        <is>
          <t>PE Rollup</t>
        </is>
      </c>
      <c r="E267" s="568" t="inlineStr">
        <is>
          <t>5,000+ employees, 5th largest pest US</t>
        </is>
      </c>
      <c r="G267" s="568" t="inlineStr">
        <is>
          <t>Citation Capital (Aug 2024)</t>
        </is>
      </c>
      <c r="I267" s="568" t="inlineStr">
        <is>
          <t>Provo UT</t>
        </is>
      </c>
    </row>
    <row r="268" ht="35" customHeight="1" s="435">
      <c r="A268" s="570" t="inlineStr">
        <is>
          <t>BluSky Restoration</t>
        </is>
      </c>
      <c r="C268" s="588" t="inlineStr">
        <is>
          <t>Wave 6</t>
        </is>
      </c>
      <c r="D268" s="588" t="inlineStr">
        <is>
          <t>PE Rollup (Restoration)</t>
        </is>
      </c>
      <c r="E268" s="588" t="inlineStr">
        <is>
          <t>61 locations, 1,550 employees</t>
        </is>
      </c>
      <c r="G268" s="588" t="inlineStr">
        <is>
          <t>Partners Group + Kohlberg</t>
        </is>
      </c>
      <c r="I268" s="588" t="inlineStr">
        <is>
          <t>Centennial CO</t>
        </is>
      </c>
    </row>
    <row r="269" ht="35" customHeight="1" s="435">
      <c r="A269" s="571" t="inlineStr">
        <is>
          <t>ARS / Rescue Rooter</t>
        </is>
      </c>
      <c r="C269" s="568" t="inlineStr">
        <is>
          <t>Wave 6</t>
        </is>
      </c>
      <c r="D269" s="568" t="inlineStr">
        <is>
          <t>PE Rollup</t>
        </is>
      </c>
      <c r="E269" s="568" t="inlineStr">
        <is>
          <t>70+ centers, 6,500 employees, 25 brands</t>
        </is>
      </c>
      <c r="G269" s="568" t="inlineStr">
        <is>
          <t>Charlesbank + GI Partners</t>
        </is>
      </c>
      <c r="I269" s="568" t="inlineStr">
        <is>
          <t>Memphis TN</t>
        </is>
      </c>
    </row>
    <row r="270" ht="35" customHeight="1" s="435">
      <c r="A270" s="559" t="inlineStr">
        <is>
          <t>Roto-Rooter</t>
        </is>
      </c>
      <c r="C270" s="556" t="inlineStr">
        <is>
          <t>Wave 6</t>
        </is>
      </c>
      <c r="D270" s="556" t="inlineStr">
        <is>
          <t>Hybrid Public Co</t>
        </is>
      </c>
      <c r="E270" s="556" t="inlineStr">
        <is>
          <t>530 territories (130 corp + 400 franchise)</t>
        </is>
      </c>
      <c r="G270" s="556" t="inlineStr">
        <is>
          <t>Chemed NYSE: CHE</t>
        </is>
      </c>
      <c r="I270" s="556" t="inlineStr">
        <is>
          <t>Cincinnati OH</t>
        </is>
      </c>
    </row>
    <row r="271" ht="35" customHeight="1" s="435">
      <c r="A271" s="570" t="inlineStr">
        <is>
          <t>Servpro Industries</t>
        </is>
      </c>
      <c r="C271" s="588" t="inlineStr">
        <is>
          <t>Wave 6</t>
        </is>
      </c>
      <c r="D271" s="588" t="inlineStr">
        <is>
          <t>Restoration Franchise</t>
        </is>
      </c>
      <c r="E271" s="588" t="inlineStr">
        <is>
          <t>2,300 franchises</t>
        </is>
      </c>
      <c r="G271" s="588" t="inlineStr">
        <is>
          <t>Blackstone Core PE</t>
        </is>
      </c>
      <c r="I271" s="588" t="inlineStr">
        <is>
          <t>Gallatin TN</t>
        </is>
      </c>
    </row>
    <row r="272" ht="50" customHeight="1" s="435">
      <c r="A272" s="570" t="inlineStr">
        <is>
          <t>BELFOR FG</t>
        </is>
      </c>
      <c r="B272" s="588" t="inlineStr">
        <is>
          <t>Mike's #1 P1 target</t>
        </is>
      </c>
      <c r="C272" s="588" t="inlineStr">
        <is>
          <t>American Securities</t>
        </is>
      </c>
      <c r="E272" s="588" t="inlineStr">
        <is>
          <t>Doug Smith CEO; Beth Toenies VP FD (STRONG signal); Skolnick warm-intro path</t>
        </is>
      </c>
      <c r="I272" s="588" t="inlineStr">
        <is>
          <t>9,250 techs</t>
        </is>
      </c>
    </row>
    <row r="273">
      <c r="A273" s="565" t="inlineStr">
        <is>
          <t>🎯 RESTORATION VERTICAL PLAY — 4 Major Platforms Mapped (BELFOR + BluSky + Servpro + ARS-via-storm-response)</t>
        </is>
      </c>
    </row>
    <row r="274" ht="50" customHeight="1" s="435">
      <c r="A274" s="570" t="inlineStr">
        <is>
          <t>BluSky Restoration</t>
        </is>
      </c>
      <c r="B274" s="588" t="inlineStr">
        <is>
          <t>New target Wave 6</t>
        </is>
      </c>
      <c r="C274" s="588" t="inlineStr">
        <is>
          <t>Partners Group + Kohlberg</t>
        </is>
      </c>
      <c r="E274" s="588" t="inlineStr">
        <is>
          <t>Mark Minasian NEW CEO Sept 2025 ("technology-enabled platform" mandate)</t>
        </is>
      </c>
      <c r="I274" s="588" t="inlineStr">
        <is>
          <t>61 locations, 1,550 employees</t>
        </is>
      </c>
    </row>
    <row r="275" ht="50" customHeight="1" s="435">
      <c r="A275" s="570" t="inlineStr">
        <is>
          <t>Servpro Industries</t>
        </is>
      </c>
      <c r="B275" s="588" t="inlineStr">
        <is>
          <t>New target Wave 6</t>
        </is>
      </c>
      <c r="C275" s="588" t="inlineStr">
        <is>
          <t>Blackstone Core PE</t>
        </is>
      </c>
      <c r="E275" s="588" t="inlineStr">
        <is>
          <t>Joy Wald CTO ex-Rentokil pest control FSM; Brett Ponton CEO new ~2yrs</t>
        </is>
      </c>
      <c r="I275" s="588" t="inlineStr">
        <is>
          <t>2,300 franchises (largest)</t>
        </is>
      </c>
    </row>
    <row r="276" ht="50" customHeight="1" s="435">
      <c r="A276" s="570" t="inlineStr">
        <is>
          <t>Authority Brands DRYmedic</t>
        </is>
      </c>
      <c r="B276" s="588" t="inlineStr">
        <is>
          <t>Existing in Track 2</t>
        </is>
      </c>
      <c r="C276" s="588" t="inlineStr">
        <is>
          <t>Apax (under Authority)</t>
        </is>
      </c>
      <c r="E276" s="588" t="inlineStr">
        <is>
          <t>Steve Clemente Pres Trade Brands (DRYmedic falls under his umbrella)</t>
        </is>
      </c>
      <c r="I276" s="588" t="inlineStr">
        <is>
          <t>Subset of Authority's 15 brands</t>
        </is>
      </c>
    </row>
    <row r="277" ht="50" customHeight="1" s="435">
      <c r="A277" s="570" t="inlineStr">
        <is>
          <t>STRATEGIC INSIGHT</t>
        </is>
      </c>
      <c r="B277" s="588" t="inlineStr">
        <is>
          <t>Restoration vertical = same insurance-claims customer base, same fleet patterns, same large-loss workflows</t>
        </is>
      </c>
      <c r="C277" s="588" t="inlineStr">
        <is>
          <t>Once one platform closes, others become natural follow-on (cross-PE warm intros)</t>
        </is>
      </c>
      <c r="E277" s="588" t="inlineStr">
        <is>
          <t>Mike already has BELFOR thesis built — extend that thesis to BluSky + Servpro using identical pitch</t>
        </is>
      </c>
      <c r="I277" s="588" t="inlineStr">
        <is>
          <t>Common buyer: insurance carriers, commercial property managers</t>
        </is>
      </c>
    </row>
    <row r="278" ht="40" customHeight="1" s="435">
      <c r="A278" s="571" t="inlineStr">
        <is>
          <t>Track 1 (PE-backed Franchisors)</t>
        </is>
      </c>
      <c r="C278" s="568" t="inlineStr">
        <is>
          <t>9 networks targeted</t>
        </is>
      </c>
      <c r="D278" s="568" t="inlineStr">
        <is>
          <t>42,457 P1 techs total</t>
        </is>
      </c>
      <c r="E278" s="568" t="inlineStr">
        <is>
          <t>Y1 at 10% penetration: $1.27M/yr at $300/tech</t>
        </is>
      </c>
      <c r="H278" s="568" t="inlineStr">
        <is>
          <t>Multi-step: franchisor → franchisee adoption</t>
        </is>
      </c>
    </row>
    <row r="279">
      <c r="A279" s="569" t="inlineStr">
        <is>
          <t>💰 FINAL TAM MATH — Total Addressable Market across 16+ Major Targets</t>
        </is>
      </c>
    </row>
    <row r="280" ht="40" customHeight="1" s="435">
      <c r="A280" s="571" t="inlineStr">
        <is>
          <t>Track 2 (Greenfield Franchisees)</t>
        </is>
      </c>
      <c r="C280" s="568" t="inlineStr">
        <is>
          <t>85 individual brands</t>
        </is>
      </c>
      <c r="D280" s="568" t="inlineStr">
        <is>
          <t>~30K techs estimated</t>
        </is>
      </c>
      <c r="E280" s="568" t="inlineStr">
        <is>
          <t>Y1 at 10% penetration: $900K/yr</t>
        </is>
      </c>
      <c r="H280" s="568" t="inlineStr">
        <is>
          <t>Direct franchisee sales</t>
        </is>
      </c>
    </row>
    <row r="281" ht="40" customHeight="1" s="435">
      <c r="A281" s="571" t="inlineStr">
        <is>
          <t>Track 3 NEW (PE Rollups)</t>
        </is>
      </c>
      <c r="C281" s="568" t="inlineStr">
        <is>
          <t>7 major platforms</t>
        </is>
      </c>
      <c r="D281" s="568" t="inlineStr">
        <is>
          <t>~30K techs across all</t>
        </is>
      </c>
      <c r="E281" s="568" t="inlineStr">
        <is>
          <t>Single-decision sales: $9M+ if all close</t>
        </is>
      </c>
      <c r="H281" s="568" t="inlineStr">
        <is>
          <t>Single CEO/CTO decision per platform</t>
        </is>
      </c>
    </row>
    <row r="282" ht="40" customHeight="1" s="435">
      <c r="A282" s="571" t="inlineStr">
        <is>
          <t>Track 4 NEW (Restoration Vertical)</t>
        </is>
      </c>
      <c r="C282" s="568" t="inlineStr">
        <is>
          <t>BELFOR + BluSky + Servpro</t>
        </is>
      </c>
      <c r="D282" s="568" t="inlineStr">
        <is>
          <t>~12K techs combined</t>
        </is>
      </c>
      <c r="E282" s="568" t="inlineStr">
        <is>
          <t>Single-vertical thesis: $3.6M if all 3 close</t>
        </is>
      </c>
      <c r="H282" s="568" t="inlineStr">
        <is>
          <t>Same buyer profile, shared workflows</t>
        </is>
      </c>
    </row>
    <row r="283" ht="40" customHeight="1" s="435">
      <c r="A283" s="574" t="inlineStr">
        <is>
          <t>TOTAL CAPTURED MARKET</t>
        </is>
      </c>
      <c r="C283" s="575" t="inlineStr">
        <is>
          <t>17+ named platform targets + 85+ franchisee brands</t>
        </is>
      </c>
      <c r="D283" s="575" t="inlineStr">
        <is>
          <t>~115K+ field technicians</t>
        </is>
      </c>
      <c r="E283" s="575" t="inlineStr">
        <is>
          <t>Theoretical max ARR: ~$34M at $300/tech</t>
        </is>
      </c>
      <c r="H283" s="575" t="inlineStr">
        <is>
          <t>Realistic 18mo target: 3-5 platform deals = $5-10M ARR</t>
        </is>
      </c>
    </row>
    <row r="284" ht="25" customHeight="1" s="435">
      <c r="A284" s="571" t="inlineStr">
        <is>
          <t>Total rows captured</t>
        </is>
      </c>
      <c r="D284" s="589" t="inlineStr">
        <is>
          <t>~250 signal entries across 6 waves</t>
        </is>
      </c>
    </row>
    <row r="285">
      <c r="A285" s="590" t="inlineStr">
        <is>
          <t>✅ SIGNAL INTEL TAB — COMPLETE (6 Waves)</t>
        </is>
      </c>
    </row>
    <row r="286" ht="25" customHeight="1" s="435">
      <c r="A286" s="571" t="inlineStr">
        <is>
          <t>Wave 1 (Apr 2026)</t>
        </is>
      </c>
      <c r="D286" s="589" t="inlineStr">
        <is>
          <t>BELFOR + Neighborly + Authority + Empower (Track 1 priority)</t>
        </is>
      </c>
    </row>
    <row r="287" ht="25" customHeight="1" s="435">
      <c r="A287" s="571" t="inlineStr">
        <is>
          <t>Wave 2 (May 2026)</t>
        </is>
      </c>
      <c r="D287" s="589" t="inlineStr">
        <is>
          <t>ResiBrands + Five Star + PSB (Track 2 mid-tier)</t>
        </is>
      </c>
    </row>
    <row r="288" ht="25" customHeight="1" s="435">
      <c r="A288" s="571" t="inlineStr">
        <is>
          <t>Wave 3 (May 2026)</t>
        </is>
      </c>
      <c r="D288" s="589" t="inlineStr">
        <is>
          <t>HomeFront + Threshold + HorsePower (Track 2 + Skolnick→BELFOR warm intro discovery)</t>
        </is>
      </c>
    </row>
    <row r="289" ht="25" customHeight="1" s="435">
      <c r="A289" s="571" t="inlineStr">
        <is>
          <t>Wave 4 (May 2026)</t>
        </is>
      </c>
      <c r="D289" s="589" t="inlineStr">
        <is>
          <t>Apex + Wrench + Happinest (introduced PE rollup category)</t>
        </is>
      </c>
    </row>
    <row r="290" ht="25" customHeight="1" s="435">
      <c r="A290" s="571" t="inlineStr">
        <is>
          <t>Wave 5 (May 2026)</t>
        </is>
      </c>
      <c r="D290" s="589" t="inlineStr">
        <is>
          <t>Sila + Champions + Aptive (Schedule Engine founder discovered + Motive conflict flag)</t>
        </is>
      </c>
    </row>
    <row r="291" ht="25" customHeight="1" s="435">
      <c r="A291" s="571" t="inlineStr">
        <is>
          <t>Wave 6 (May 2026)</t>
        </is>
      </c>
      <c r="D291" s="589" t="inlineStr">
        <is>
          <t>BluSky + ARS + Roto-Rooter + Servpro (restoration vertical + ARS digital transformation)</t>
        </is>
      </c>
    </row>
    <row r="292" ht="25" customHeight="1" s="435">
      <c r="A292" s="571" t="inlineStr">
        <is>
          <t>Top 25 strongest signals</t>
        </is>
      </c>
      <c r="D292" s="589" t="inlineStr">
        <is>
          <t>Cross-wave master ranking complete (Sinha #1, Wald #2, DJ #3, Skolnick #4, McFarlane #5)</t>
        </is>
      </c>
    </row>
    <row r="293" ht="25" customHeight="1" s="435">
      <c r="A293" s="571" t="inlineStr">
        <is>
          <t>Competitive flags</t>
        </is>
      </c>
      <c r="D293" s="589" t="inlineStr">
        <is>
          <t>Smart Fleet/Azuga (Neighborly), Motive (Aptive), IFS+Derive (ARS), ServiceTitan (Authority), Nesto (PSB), ProNexis (Five Star), ResiConnect (ResiBrands), ZeeServices (HorsePower)</t>
        </is>
      </c>
    </row>
    <row r="294" ht="25" customHeight="1" s="435">
      <c r="A294" s="571" t="inlineStr">
        <is>
          <t>Next step</t>
        </is>
      </c>
      <c r="D294" s="589" t="inlineStr">
        <is>
          <t>Pivot to OUTREACH PLAYS: build sequenced messaging for top 5-10 targets</t>
        </is>
      </c>
    </row>
    <row r="295" ht="25" customHeight="1" s="435">
      <c r="A295" s="591" t="inlineStr">
        <is>
          <t>🎯🎯🎯 NC SCHOOL CLUSTER (Apex NC, NC State fan = highest-priority for Mike)</t>
        </is>
      </c>
    </row>
    <row r="296" ht="45" customHeight="1" s="435">
      <c r="A296" s="592" t="inlineStr">
        <is>
          <t>Members:</t>
        </is>
      </c>
      <c r="B296" s="555" t="inlineStr">
        <is>
          <t>• Jeff Dudan (HomeFront CEO): Appalachian State University
• Mike Dudan (HomeFront CFO): Appalachian State 1992-1996 + Carolina Panthers CFO 2003-2019
• Zack Dudan (HomeFront CGO): Elon University Love School of Business — Finance + Econ minor + Varsity Football</t>
        </is>
      </c>
    </row>
    <row r="297" ht="30" customHeight="1" s="435">
      <c r="A297" s="590" t="inlineStr">
        <is>
          <t>🎓 EDUCATION CLUSTERS — Warm-Intro Plays Across Targets</t>
        </is>
      </c>
    </row>
    <row r="298" ht="50" customHeight="1" s="435">
      <c r="A298" s="593" t="inlineStr">
        <is>
          <t>Education-based warm intros are some of the strongest icebreakers in B2B sales. Below are clusters discovered across the target dataset where multiple leaders share a school. These represent natural warm-intro paths if Mike has any alumni network access through these institutions.</t>
        </is>
      </c>
    </row>
    <row r="299" ht="45" customHeight="1" s="435">
      <c r="A299" s="594" t="inlineStr">
        <is>
          <t>Outreach angle:</t>
        </is>
      </c>
      <c r="B299" s="595" t="inlineStr">
        <is>
          <t>ALL THREE DUDANS WENT TO NC SCHOOLS. Mike (Flynt) lives in Apex NC. Possible NC State alumni network overlap. Jeff Dudan known to be active in Yosef Club at App State (athletics fundraising board). HomeFront is currently #7 P1 target — this connection could elevate priority.</t>
        </is>
      </c>
    </row>
    <row r="300" ht="25" customHeight="1" s="435">
      <c r="A300" s="596" t="inlineStr">
        <is>
          <t>🎓 BAYLOR CLUSTER (4 confirmed)</t>
        </is>
      </c>
    </row>
    <row r="301" ht="60" customHeight="1" s="435">
      <c r="A301" s="592" t="inlineStr">
        <is>
          <t>Members:</t>
        </is>
      </c>
      <c r="B301" s="555" t="inlineStr">
        <is>
          <t>• Glenn Lewis (Mr. Appliance Brand Pres / Neighborly): Baylor 1982-1985
• Josh McCormick (Mr. Electric Brand Pres / Neighborly): Baylor BBA Mgmt 1999-2002
• Ben Lamb (Neighborly Corporate CFO): Baylor BBA Finance/Econ/Intl Business
• Carter Smith (Pink's Co-Founder / ResiBrands): Baylor — led largest mens service org (170 members)</t>
        </is>
      </c>
    </row>
    <row r="302" ht="45" customHeight="1" s="435">
      <c r="A302" s="594" t="inlineStr">
        <is>
          <t>Outreach angle:</t>
        </is>
      </c>
      <c r="B302" s="595" t="inlineStr">
        <is>
          <t>Baylor alumni network = 4-target gateway across TWO franchisor platforms (Neighborly + ResiBrands). Carter Smith's Mission Waco fundraising background suggests strong Waco-community ties — potential warm intro through Baylor athletics network or Mission Waco connections.</t>
        </is>
      </c>
    </row>
    <row r="303" ht="25" customHeight="1" s="435">
      <c r="A303" s="597" t="inlineStr">
        <is>
          <t>🎓 BYU CLUSTER (5+ confirmed Utah/LDS network)</t>
        </is>
      </c>
    </row>
    <row r="304" ht="75" customHeight="1" s="435">
      <c r="A304" s="592" t="inlineStr">
        <is>
          <t>Members:</t>
        </is>
      </c>
      <c r="B304" s="555" t="inlineStr">
        <is>
          <t>• Scott Abbott (Five Star Franchising CEO): BYU Marriott School MBA 2005-2007 (Marketing/Entrepreneurship)
• Vess Pearson (Aptive Co-Founder/CEO): BYU Bachelor's in Accounting 2002-2008 — story: started pest control summer 2006 sophomore year at BYU
• David Royce (Aptive Founder/Chairman): Pending verification (likely BYU/Utah)
• Aptive HQ Provo UT, official partner of BYU Athletics, Utah Jazz, Real Salt Lake, Salt Lake Bees
• Note: Five Star Painting recruit Nathan Dunn was BYU MBA grad (Five Star network depth in BYU community)</t>
        </is>
      </c>
    </row>
    <row r="305" ht="45" customHeight="1" s="435">
      <c r="A305" s="594" t="inlineStr">
        <is>
          <t>Outreach angle:</t>
        </is>
      </c>
      <c r="B305" s="595" t="inlineStr">
        <is>
          <t>BYU/Utah network = pest control + franchise services nexus. Scott Abbott's Spanish Fork UT base + Five Star's Springville UT HQ both rooted in BYU community. Crossover with Aptive (Provo UT, $1B pest control rollup) makes this a SHARED Utah ecosystem — one warm intro can compound.</t>
        </is>
      </c>
    </row>
    <row r="306" ht="25" customHeight="1" s="435">
      <c r="A306" s="598" t="inlineStr">
        <is>
          <t>🎓 UVA DARDEN CLUSTER (3 confirmed)</t>
        </is>
      </c>
    </row>
    <row r="307" ht="45" customHeight="1" s="435">
      <c r="A307" s="592" t="inlineStr">
        <is>
          <t>Members:</t>
        </is>
      </c>
      <c r="B307" s="555" t="inlineStr">
        <is>
          <t>• Hagan Kappler (former Threshold CEO, NOW Daisy CEO): UVA Darden MBA 2005-2007 + Williams College BA History (track athlete)
• Justin Mayer (Empower OLP Brand Pres): UVA Darden MBA + USNA BS Economics + USMC veteran
• AJ Brown's wife? — pending confirmation</t>
        </is>
      </c>
    </row>
    <row r="308" ht="35" customHeight="1" s="435">
      <c r="A308" s="594" t="inlineStr">
        <is>
          <t>Outreach angle:</t>
        </is>
      </c>
      <c r="B308" s="595" t="inlineStr">
        <is>
          <t>UVA Darden = elite MBA program. Kappler + Mayer same era (2005-2007). Both home services PE-backed leaders. Possible warm intro if Mike has any Darden alumni access. Note: Kappler has won Goldman Sachs Most Exceptional Entrepreneurs 2025 — high-profile.</t>
        </is>
      </c>
    </row>
    <row r="309" ht="25" customHeight="1" s="435">
      <c r="A309" s="598" t="inlineStr">
        <is>
          <t>🎓 KELLOGG MBA CLUSTER</t>
        </is>
      </c>
    </row>
    <row r="310" ht="40" customHeight="1" s="435">
      <c r="A310" s="592" t="inlineStr">
        <is>
          <t>Members:</t>
        </is>
      </c>
      <c r="B310" s="555" t="inlineStr">
        <is>
          <t>• AJ Brown (Apex Service Partners CEO): Northwestern Kellogg MBA + Providence College BA Global Studies (Magna Cum Laude, Honors, D1 soccer captain) + Boston University in London (International Finance/Economics)</t>
        </is>
      </c>
    </row>
    <row r="311" ht="35" customHeight="1" s="435">
      <c r="A311" s="594" t="inlineStr">
        <is>
          <t>Outreach angle:</t>
        </is>
      </c>
      <c r="B311" s="595" t="inlineStr">
        <is>
          <t>Kellogg + Goldman Sachs analyst + Monitor Deloitte + McNally Capital → Apex CEO at age ~32. Brentford Football Club briefly. Tampa FL with wife and daughter. Florida native (Fort Myers, father had Budweiser distributorship).</t>
        </is>
      </c>
    </row>
    <row r="312" ht="25" customHeight="1" s="435">
      <c r="A312" s="598" t="inlineStr">
        <is>
          <t>🎓 DUKE CLUSTER (Authority Brands)</t>
        </is>
      </c>
    </row>
    <row r="313" ht="40" customHeight="1" s="435">
      <c r="A313" s="592" t="inlineStr">
        <is>
          <t>Members:</t>
        </is>
      </c>
      <c r="B313" s="555" t="inlineStr">
        <is>
          <t>• Jay Caiafa (Authority Brands CEO): Duke Law (JD) + Duke Fuqua (MBA) + USAFA (Captain) — TRIPLE credential</t>
        </is>
      </c>
    </row>
    <row r="314" ht="35" customHeight="1" s="435">
      <c r="A314" s="594" t="inlineStr">
        <is>
          <t>Outreach angle:</t>
        </is>
      </c>
      <c r="B314" s="595" t="inlineStr">
        <is>
          <t>Duke double-alum (Law + Fuqua) + USAFA Captain. NC connection through Duke (Durham). Mike's NC base could leverage Duke alumni network. Note: Caiafa is ~9mo in CEO role at Authority — peak roadmap-setting window.</t>
        </is>
      </c>
    </row>
    <row r="315" ht="25" customHeight="1" s="435">
      <c r="A315" s="598" t="inlineStr">
        <is>
          <t>🎓 NAVAL/SERVICE ACADEMY CLUSTER</t>
        </is>
      </c>
    </row>
    <row r="316" ht="45" customHeight="1" s="435">
      <c r="A316" s="592" t="inlineStr">
        <is>
          <t>Members:</t>
        </is>
      </c>
      <c r="B316" s="555" t="inlineStr">
        <is>
          <t>• Jay Caiafa (Authority Brands CEO): USAFA Captain
• Justin Mayer (Empower OLP Brand Pres): USNA BS Economics + USMC veteran
• Beth Toenies (BELFOR VP FD): Navy military spouse (different angle)</t>
        </is>
      </c>
    </row>
    <row r="317" ht="35" customHeight="1" s="435">
      <c r="A317" s="594" t="inlineStr">
        <is>
          <t>Outreach angle:</t>
        </is>
      </c>
      <c r="B317" s="595" t="inlineStr">
        <is>
          <t>Service academy alumni = tight network. Caiafa + Mayer both academy + grad school path. Strong values-alignment angle for outreach.</t>
        </is>
      </c>
    </row>
    <row r="318" ht="25" customHeight="1" s="435">
      <c r="A318" s="598" t="inlineStr">
        <is>
          <t>🎓 UNIVERSITY OF NEBRASKA-LINCOLN CLUSTER</t>
        </is>
      </c>
    </row>
    <row r="319" ht="60" customHeight="1" s="435">
      <c r="A319" s="592" t="inlineStr">
        <is>
          <t>Members:</t>
        </is>
      </c>
      <c r="B319" s="555" t="inlineStr">
        <is>
          <t>• Brett Ponton (Servpro CEO since Oct 2023): U Nebraska-Lincoln BS Finance 1988-1992
  - Born April 1970, lives Hilton Head Island SC
  - Career: Goodyear → Veyance/Carlyle → Heartland Jiffy Lube CEO → American Driveline CEO → Monro CEO → Terminix CEO → Rentokil Initial NA CEO → Servpro
• Zach Beutler (HorsePower Co-Founder): Nebraska cattle rancher (likely Cornhusker connection)</t>
        </is>
      </c>
    </row>
    <row r="320" ht="35" customHeight="1" s="435">
      <c r="A320" s="594" t="inlineStr">
        <is>
          <t>Outreach angle:</t>
        </is>
      </c>
      <c r="B320" s="595" t="inlineStr">
        <is>
          <t>Cornhusker network = Servpro CEO + HorsePower Co-Founder. Two Wave 6/Wave 3 leaders at top targets. Servpro + HorsePower potential cross-platform warm intro through Nebraska alumni.</t>
        </is>
      </c>
    </row>
    <row r="321" ht="25" customHeight="1" s="435">
      <c r="A321" s="599" t="inlineStr">
        <is>
          <t>🎓 RESTORATION INDUSTRY CERTIFICATIONS</t>
        </is>
      </c>
    </row>
    <row r="322" ht="45" customHeight="1" s="435">
      <c r="A322" s="592" t="inlineStr">
        <is>
          <t>Members:</t>
        </is>
      </c>
      <c r="B322" s="555" t="inlineStr">
        <is>
          <t>• Rusty Amarante (BELFOR FG President): Past-President RIA, Vice Chair IICRC S500 Standard development
• Kevin Fagan (1-800 Water Damage / Blue Kangaroo Packoutz President): UMich BS Education + Eastern Michigan post-grad. RIA Certified Restorer (CR) + Water Loss Specialist (WLS) — highest level certifications available
• Note: BELFOR runs internal "BELFOR Boot Camp" + "continuing education courses for insurance agents and real estate licensees" — Fagan is principal instructor</t>
        </is>
      </c>
    </row>
    <row r="323" ht="35" customHeight="1" s="435">
      <c r="A323" s="594" t="inlineStr">
        <is>
          <t>Outreach angle:</t>
        </is>
      </c>
      <c r="B323" s="595" t="inlineStr">
        <is>
          <t>BELFOR has internal training apparatus. Education-credentialed leadership. ServiceBridge could position as "platform for trained professionals" rather than "platform for technicians." Different message.</t>
        </is>
      </c>
    </row>
    <row r="324" ht="25" customHeight="1" s="435">
      <c r="A324" s="598" t="inlineStr">
        <is>
          <t>🎓 NON-TRADITIONAL / OPERATOR PATHS</t>
        </is>
      </c>
    </row>
    <row r="325" ht="90" customHeight="1" s="435">
      <c r="A325" s="592" t="inlineStr">
        <is>
          <t>Members:</t>
        </is>
      </c>
      <c r="B325" s="555" t="inlineStr">
        <is>
          <t>• Steven Montgomery (ResiBrands CEO): Calvary Chapel University BA
• Susan McIntosh (Lawn Pride Pres): no college confirmed, came up from landscape crew
• Roxanne Conrad (PSB COO): Former 360 Painting franchisee
• Mike Brickner (Precision Door Pres): Columbia College, ex-Brevard County Sheriff's Office 911 Center
• Dean Hartley (Five Star Bath Pres): Multi-unit operator origin, no degree confirmed
• Michael Silva-Nash (Molly Maid Pres): CFE only, started in family franchise at age 21</t>
        </is>
      </c>
    </row>
    <row r="326" ht="35" customHeight="1" s="435">
      <c r="A326" s="594" t="inlineStr">
        <is>
          <t>Outreach angle:</t>
        </is>
      </c>
      <c r="B326" s="595" t="inlineStr">
        <is>
          <t>These leaders don't respond to credential-dropping. Pitch material should emphasize operator-to-operator authenticity, not academic pedigree. Mike's operator-CEO background is the right angle here.</t>
        </is>
      </c>
    </row>
    <row r="327" ht="18" customHeight="1" s="435">
      <c r="A327" s="600" t="inlineStr">
        <is>
          <t xml:space="preserve">  • Current Threshold CEO (post-Kappler departure to Daisy 2024)</t>
        </is>
      </c>
    </row>
    <row r="328">
      <c r="A328" s="601" t="inlineStr">
        <is>
          <t>⚠️ STILL PENDING DEEPER RESEARCH:</t>
        </is>
      </c>
    </row>
    <row r="329" ht="18" customHeight="1" s="435">
      <c r="A329" s="600" t="inlineStr">
        <is>
          <t xml:space="preserve">  • Evive Brands education map (Ryan Parsons + team)</t>
        </is>
      </c>
    </row>
    <row r="330" ht="18" customHeight="1" s="435">
      <c r="A330" s="600" t="inlineStr">
        <is>
          <t xml:space="preserve">  • PSB other team education (beyond Conrad practitioner background)</t>
        </is>
      </c>
    </row>
    <row r="331" ht="18" customHeight="1" s="435">
      <c r="A331" s="600" t="inlineStr">
        <is>
          <t xml:space="preserve">  • Five Star: Chad Jones (Co-Founder/COO) + Shane (CTO) education</t>
        </is>
      </c>
    </row>
    <row r="332" ht="18" customHeight="1" s="435">
      <c r="A332" s="600" t="inlineStr">
        <is>
          <t xml:space="preserve">  • Mark Kushinsky (MaidPro), Jeff van Diepen (Pestmaster), Pat Pitrone (USA Insulation) — Threshold legacy founders</t>
        </is>
      </c>
    </row>
    <row r="333" ht="18" customHeight="1" s="435">
      <c r="A333" s="600" t="inlineStr">
        <is>
          <t xml:space="preserve">  • David Royce (Aptive Founder/Chairman) — likely BYU but unconfirmed</t>
        </is>
      </c>
    </row>
    <row r="334" ht="18" customHeight="1" s="435">
      <c r="A334" s="600" t="inlineStr">
        <is>
          <t xml:space="preserve">  • Doug Smith (BELFOR SVP FD) specific U. of Louisville degree details</t>
        </is>
      </c>
    </row>
    <row r="335" ht="18" customHeight="1" s="435">
      <c r="A335" s="600" t="inlineStr">
        <is>
          <t xml:space="preserve">  • Sheldon Yellen (BELFOR Holdings CEO $2B) — actual head of BELFOR conglomerate</t>
        </is>
      </c>
    </row>
    <row r="336" ht="18" customHeight="1" s="435">
      <c r="A336" s="600" t="inlineStr">
        <is>
          <t xml:space="preserve">  • Chad Jones (Five Star Co-Founder/COO) — friend of Scott Abbott since high school, originally ran basement renovation company in Edmonton, Alberta</t>
        </is>
      </c>
    </row>
    <row r="337">
      <c r="A337" s="602" t="inlineStr">
        <is>
          <t>Company</t>
        </is>
      </c>
      <c r="B337" s="602" t="inlineStr">
        <is>
          <t>Person</t>
        </is>
      </c>
      <c r="D337" s="602" t="inlineStr">
        <is>
          <t>Education / Background</t>
        </is>
      </c>
    </row>
    <row r="338" ht="35" customHeight="1" s="435">
      <c r="A338" s="603" t="inlineStr">
        <is>
          <t>BluSky Restoration Contractors</t>
        </is>
      </c>
      <c r="B338" s="568" t="inlineStr">
        <is>
          <t>Mark Minasian (CEO Sept 2025)</t>
        </is>
      </c>
      <c r="D338" s="568" t="inlineStr">
        <is>
          <t>University of San Diego BA International Relations. Co-founded Kellermeyer Bergensons Services (KBS) — largest privately held facilities management. 30+ yrs industry, 20+ yrs PE-backed leadership.</t>
        </is>
      </c>
    </row>
    <row r="339" ht="30" customHeight="1" s="435">
      <c r="A339" s="604" t="inlineStr">
        <is>
          <t>🎓 WAVE 6 + PE ROLLUP EDUCATION DATA (Wave 4-6 Targets Outside Track 1)</t>
        </is>
      </c>
    </row>
    <row r="340" ht="35" customHeight="1" s="435">
      <c r="A340" s="605" t="inlineStr">
        <is>
          <t>BluSky Restoration Contractors</t>
        </is>
      </c>
      <c r="B340" s="575" t="inlineStr">
        <is>
          <t>Aaron Rich (CIO since 2022)</t>
        </is>
      </c>
      <c r="D340" s="575" t="inlineStr">
        <is>
          <t>Purdue University Computer Science. 20+ years software/systems integration. Built claims administration apps in commercial insurance. Smart thermostat energy work prior. ⭐ Direct FSM-relevant CIO.</t>
        </is>
      </c>
    </row>
    <row r="341" ht="35" customHeight="1" s="435">
      <c r="A341" s="607" t="inlineStr">
        <is>
          <t>ARS / Rescue Rooter</t>
        </is>
      </c>
      <c r="B341" s="588" t="inlineStr">
        <is>
          <t>Scott Boose (CEO since March 2021)</t>
        </is>
      </c>
      <c r="D341" s="588" t="inlineStr">
        <is>
          <t>Pending verification</t>
        </is>
      </c>
    </row>
    <row r="342" ht="35" customHeight="1" s="435">
      <c r="A342" s="607" t="inlineStr">
        <is>
          <t>ARS / Rescue Rooter</t>
        </is>
      </c>
      <c r="B342" s="588" t="inlineStr">
        <is>
          <t>DJ Jandhyala (SVP &amp; CTO since Dec 2025)</t>
        </is>
      </c>
      <c r="D342" s="588" t="inlineStr">
        <is>
          <t>Pending verification — 20+ yrs digital/data/AI transformation across CLEAResult, Balfour. ⭐ NEW digital transformation CTO mandate.</t>
        </is>
      </c>
    </row>
    <row r="343" ht="35" customHeight="1" s="435">
      <c r="A343" s="603" t="inlineStr">
        <is>
          <t>ARS / Rescue Rooter</t>
        </is>
      </c>
      <c r="B343" s="568" t="inlineStr">
        <is>
          <t>Andrew DeCastro (SVP Corporate Dev since March 2023)</t>
        </is>
      </c>
      <c r="D343" s="568" t="inlineStr">
        <is>
          <t>Hamilton College BA Economics + Babson F.W. Olin Graduate School of Business MBA. 13 yrs HomeServe USA + Summit Utilities prior.</t>
        </is>
      </c>
    </row>
    <row r="344" ht="35" customHeight="1" s="435">
      <c r="A344" s="603" t="inlineStr">
        <is>
          <t>Roto-Rooter</t>
        </is>
      </c>
      <c r="B344" s="568" t="inlineStr">
        <is>
          <t>Spencer S. Lee (Chairman &amp; CEO since 1999)</t>
        </is>
      </c>
      <c r="D344" s="568" t="inlineStr">
        <is>
          <t>Claremont McKenna College BA Economics + University of Chicago MBA. 26 years as CEO. 69 years old. Joined Chemed July 1980.</t>
        </is>
      </c>
    </row>
    <row r="345" ht="35" customHeight="1" s="435">
      <c r="A345" s="607" t="inlineStr">
        <is>
          <t>Roto-Rooter</t>
        </is>
      </c>
      <c r="B345" s="588" t="inlineStr">
        <is>
          <t>Robert Goldschmidt (President since Sept 2020)</t>
        </is>
      </c>
      <c r="D345" s="588" t="inlineStr">
        <is>
          <t>Pending verification. 28+ yrs at Roto-Rooter, joined Chemed 1989.</t>
        </is>
      </c>
    </row>
    <row r="346" ht="41" customHeight="1" s="435">
      <c r="A346" s="603" t="inlineStr">
        <is>
          <t>Servpro Industries</t>
        </is>
      </c>
      <c r="B346" s="568" t="inlineStr">
        <is>
          <t>Brett Ponton (CEO since Oct 2023)</t>
        </is>
      </c>
      <c r="D346" s="568" t="inlineStr">
        <is>
          <t>University of Nebraska-Lincoln BS Finance 1988-1992. Born April 1970. Lives Hilton Head Island SC. Career: Goodyear → Veyance/Carlyle → Heartland Jiffy Lube CEO → American Driveline CEO → Monro CEO → Terminix CEO → Rentokil Initial NA CEO → Servpro.</t>
        </is>
      </c>
    </row>
    <row r="347" ht="35" customHeight="1" s="435">
      <c r="A347" s="607" t="inlineStr">
        <is>
          <t>Servpro Industries</t>
        </is>
      </c>
      <c r="B347" s="588" t="inlineStr">
        <is>
          <t>John Sooker (President since Feb 2024)</t>
        </is>
      </c>
      <c r="D347" s="588" t="inlineStr">
        <is>
          <t>Pending verification. 13+ yrs Servpro, was COO since 2019.</t>
        </is>
      </c>
    </row>
    <row r="348" ht="35" customHeight="1" s="435">
      <c r="A348" s="607" t="inlineStr">
        <is>
          <t>Servpro Industries</t>
        </is>
      </c>
      <c r="B348" s="588" t="inlineStr">
        <is>
          <t>Joy Wald (CTO since March 2024)</t>
        </is>
      </c>
      <c r="D348" s="588" t="inlineStr">
        <is>
          <t>Pending verification. ⭐ Ex-Rentokil Terminix Chief Info &amp; Transformation Officer (since 2021); ex-G4S Retail Solutions (since 2015). 25-yr ops + tech. Direct pest control FSM background.</t>
        </is>
      </c>
    </row>
    <row r="349" ht="35" customHeight="1" s="435">
      <c r="A349" s="607" t="inlineStr">
        <is>
          <t>Servpro Industries</t>
        </is>
      </c>
      <c r="B349" s="588" t="inlineStr">
        <is>
          <t>David D'Alessandro (Board Chairman since July 2025)</t>
        </is>
      </c>
      <c r="D349" s="588" t="inlineStr">
        <is>
          <t>Pending verification. Replaced Nigel Travis.</t>
        </is>
      </c>
    </row>
    <row r="350" ht="66" customHeight="1" s="435">
      <c r="A350" s="605" t="inlineStr">
        <is>
          <t>Apex Service Partners</t>
        </is>
      </c>
      <c r="B350" s="575" t="inlineStr">
        <is>
          <t>AJ Brown (Co-CEO/Executive Chairman)</t>
        </is>
      </c>
      <c r="D350" s="575" t="inlineStr">
        <is>
          <t>Providence College BA Global Studies (Magna Cum Laude, Honors, D1 soccer captain) + Boston University in London (International Finance/Economics) + Northwestern Kellogg MBA. ⭐⭐ TRIPLE credential. Brentford Football Club briefly. Goldman Sachs analyst → Monitor Deloitte Manager → McNally Capital intern → Avitru CFO → Apex CEO May 2019. Tampa FL with wife and daughter. Florida native (Fort Myers).</t>
        </is>
      </c>
    </row>
    <row r="351" ht="35" customHeight="1" s="435">
      <c r="A351" s="603" t="inlineStr">
        <is>
          <t>Wrench Group</t>
        </is>
      </c>
      <c r="B351" s="568" t="inlineStr">
        <is>
          <t>Ken Haines (CEO since 2016)</t>
        </is>
      </c>
      <c r="D351" s="568" t="inlineStr">
        <is>
          <t>No formal degree confirmed. Started Haines Air Conditioning at age 19. Operator background. 40+ yrs industry. Marietta GA.</t>
        </is>
      </c>
    </row>
    <row r="352" ht="35" customHeight="1" s="435">
      <c r="A352" s="607" t="inlineStr">
        <is>
          <t>Wrench Group</t>
        </is>
      </c>
      <c r="B352" s="588" t="inlineStr">
        <is>
          <t>David Fritzinger (CIO since 2024)</t>
        </is>
      </c>
      <c r="D352" s="588" t="inlineStr">
        <is>
          <t>Pending verification. 15+ yrs tech leadership.</t>
        </is>
      </c>
    </row>
    <row r="353" ht="35" customHeight="1" s="435">
      <c r="A353" s="603" t="inlineStr">
        <is>
          <t>Wrench Group</t>
        </is>
      </c>
      <c r="B353" s="568" t="inlineStr">
        <is>
          <t>Todd (M&amp;A leader)</t>
        </is>
      </c>
      <c r="D353" s="568" t="inlineStr">
        <is>
          <t>BBA Finance from University of Iowa-Henry B. Tippie College of Business.</t>
        </is>
      </c>
    </row>
    <row r="354" ht="35" customHeight="1" s="435">
      <c r="A354" s="603" t="inlineStr">
        <is>
          <t>Wrench Group</t>
        </is>
      </c>
      <c r="B354" s="568" t="inlineStr">
        <is>
          <t>Dennis Laliberte (Regional Exec Central US)</t>
        </is>
      </c>
      <c r="D354" s="568" t="inlineStr">
        <is>
          <t>Florida Atlantic University MBA + Ohio State BS Accounting/Finance. 30 yrs industry, ex-ARS West Division 18 years.</t>
        </is>
      </c>
    </row>
    <row r="355" ht="35" customHeight="1" s="435">
      <c r="A355" s="607" t="inlineStr">
        <is>
          <t>Sila Services</t>
        </is>
      </c>
      <c r="B355" s="588" t="inlineStr">
        <is>
          <t>Jason Rabbino (CEO)</t>
        </is>
      </c>
      <c r="D355" s="588" t="inlineStr">
        <is>
          <t>Pending verification. Goldman Sachs PE backing since Nov 2024.</t>
        </is>
      </c>
    </row>
    <row r="356" ht="53" customHeight="1" s="435">
      <c r="A356" s="603" t="inlineStr">
        <is>
          <t>Sila Services</t>
        </is>
      </c>
      <c r="B356" s="568" t="inlineStr">
        <is>
          <t>Eddie McFarlane (CLDO since promo 2024, joined May 2023)</t>
        </is>
      </c>
      <c r="D356" s="568" t="inlineStr">
        <is>
          <t>HACC Central Pennsylvania Community College Associate's in Business Administration 2012-2015. Started as service technician 2003 → Haller Enterprises 2006, became Pres of Haller. Scotland origin. ACCA Board Chair 2025. NATE Board Trustee. Lititz PA. ⚠️ NOTE: NOT a Schedule Engine co-founder (earlier data was incorrect).</t>
        </is>
      </c>
    </row>
    <row r="357" ht="35" customHeight="1" s="435">
      <c r="A357" s="607" t="inlineStr">
        <is>
          <t>Sila Services</t>
        </is>
      </c>
      <c r="B357" s="588" t="inlineStr">
        <is>
          <t>Keith (CTO since July 2024)</t>
        </is>
      </c>
      <c r="D357" s="588" t="inlineStr">
        <is>
          <t>Pending verification. Ex-Rentokil Initial UK + US.</t>
        </is>
      </c>
    </row>
    <row r="358" ht="35" customHeight="1" s="435">
      <c r="A358" s="605" t="inlineStr">
        <is>
          <t>Aptive Environmental</t>
        </is>
      </c>
      <c r="B358" s="575" t="inlineStr">
        <is>
          <t>Vess Pearson (Co-Founder/CEO)</t>
        </is>
      </c>
      <c r="D358" s="575" t="inlineStr">
        <is>
          <t>BYU Bachelor's in Accounting 2002-2008. Started pest control summer 2006 sophomore year at BYU. Note: profile says "founder and former CEO" suggesting may have stepped back. ⭐ BYU.</t>
        </is>
      </c>
    </row>
    <row r="359" ht="35" customHeight="1" s="435">
      <c r="A359" s="607" t="inlineStr">
        <is>
          <t>Aptive Environmental</t>
        </is>
      </c>
      <c r="B359" s="588" t="inlineStr">
        <is>
          <t>David Royce (Co-Founder/Chairman)</t>
        </is>
      </c>
      <c r="D359" s="588" t="inlineStr">
        <is>
          <t>Pending verification. Likely BYU/Utah.</t>
        </is>
      </c>
    </row>
    <row r="360" ht="22" customHeight="1" s="435">
      <c r="A360" s="571" t="inlineStr">
        <is>
          <t>Track 1 Franchisors (10 entities)</t>
        </is>
      </c>
      <c r="E360" s="589" t="inlineStr">
        <is>
          <t>✅ All filled with leadership cluster summaries</t>
        </is>
      </c>
    </row>
    <row r="361">
      <c r="A361" s="569" t="inlineStr">
        <is>
          <t>📊 EDUCATION COVERAGE STATUS — Where We Stand</t>
        </is>
      </c>
    </row>
    <row r="362" ht="22" customHeight="1" s="435">
      <c r="A362" s="559" t="inlineStr">
        <is>
          <t>Track 2 Brand Presidents (57 named people)</t>
        </is>
      </c>
      <c r="E362" s="608" t="inlineStr">
        <is>
          <t>~25 confirmed, ~32 pending dedicated research</t>
        </is>
      </c>
    </row>
    <row r="363" ht="22" customHeight="1" s="435">
      <c r="A363" s="571" t="inlineStr">
        <is>
          <t>Wave 6 Restoration leaders (~15 named people)</t>
        </is>
      </c>
      <c r="E363" s="589" t="inlineStr">
        <is>
          <t>~10 confirmed (this section above)</t>
        </is>
      </c>
    </row>
    <row r="364" ht="22" customHeight="1" s="435">
      <c r="A364" s="559" t="inlineStr">
        <is>
          <t>PE Rollup leaders (~15 named people, Apex/Wrench/Sila/Aptive)</t>
        </is>
      </c>
      <c r="E364" s="608" t="inlineStr">
        <is>
          <t>~8 confirmed</t>
        </is>
      </c>
    </row>
    <row r="365" ht="22" customHeight="1" s="435">
      <c r="A365" s="571" t="inlineStr">
        <is>
          <t>Authority Brands sub-leadership (~5 named beyond CEO)</t>
        </is>
      </c>
      <c r="E365" s="589" t="inlineStr">
        <is>
          <t>Vernon, Clemente, Waltz now confirmed</t>
        </is>
      </c>
    </row>
    <row r="366" ht="22" customHeight="1" s="435">
      <c r="A366" s="570" t="inlineStr">
        <is>
          <t>PSB sub-leadership (~5 named beyond Flick/Conrad)</t>
        </is>
      </c>
      <c r="E366" s="609" t="inlineStr">
        <is>
          <t>⚠️ Most Brand Presidents pending</t>
        </is>
      </c>
    </row>
    <row r="367" ht="22" customHeight="1" s="435">
      <c r="A367" s="570" t="inlineStr">
        <is>
          <t>Five Star sub-leadership (~5 named beyond Abbott)</t>
        </is>
      </c>
      <c r="E367" s="609" t="inlineStr">
        <is>
          <t>⚠️ Chad Jones, Shane CTO, brand presidents pending</t>
        </is>
      </c>
    </row>
    <row r="368" ht="22" customHeight="1" s="435">
      <c r="A368" s="559" t="inlineStr">
        <is>
          <t>OVERALL ESTIMATED COVERAGE</t>
        </is>
      </c>
      <c r="E368" s="608" t="inlineStr">
        <is>
          <t>~60-65% of named people verified, 35-40% pending</t>
        </is>
      </c>
    </row>
    <row r="369">
      <c r="A369" s="587" t="inlineStr">
        <is>
          <t>School</t>
        </is>
      </c>
      <c r="B369" s="587" t="inlineStr">
        <is>
          <t>Person</t>
        </is>
      </c>
      <c r="D369" s="587" t="inlineStr">
        <is>
          <t>Role</t>
        </is>
      </c>
      <c r="F369" s="587" t="inlineStr">
        <is>
          <t>Degree/Years</t>
        </is>
      </c>
      <c r="G369" s="587" t="inlineStr">
        <is>
          <t>Notes</t>
        </is>
      </c>
    </row>
    <row r="370" ht="28" customHeight="1" s="435">
      <c r="A370" s="610" t="inlineStr">
        <is>
          <t>Appalachian State</t>
        </is>
      </c>
      <c r="B370" s="556" t="inlineStr">
        <is>
          <t>Jeff Dudan</t>
        </is>
      </c>
      <c r="D370" s="556" t="inlineStr">
        <is>
          <t>HomeFront CEO</t>
        </is>
      </c>
      <c r="F370" s="556" t="inlineStr">
        <is>
          <t>BA</t>
        </is>
      </c>
      <c r="G370" s="556" t="inlineStr">
        <is>
          <t>⭐ NC SCHOOL — Yosef Club board (athletics)</t>
        </is>
      </c>
    </row>
    <row r="371" ht="30" customHeight="1" s="435">
      <c r="A371" s="577" t="inlineStr">
        <is>
          <t>🎓 MASTER EDUCATION TABLE — All Confirmed Verified Schools (sortable by school)</t>
        </is>
      </c>
    </row>
    <row r="372" ht="28" customHeight="1" s="435">
      <c r="A372" s="610" t="inlineStr">
        <is>
          <t>Appalachian State</t>
        </is>
      </c>
      <c r="B372" s="556" t="inlineStr">
        <is>
          <t>Mike Dudan</t>
        </is>
      </c>
      <c r="D372" s="556" t="inlineStr">
        <is>
          <t>HomeFront CFO</t>
        </is>
      </c>
      <c r="F372" s="556" t="inlineStr">
        <is>
          <t>1992-1996</t>
        </is>
      </c>
      <c r="G372" s="556" t="inlineStr">
        <is>
          <t>⭐ NC + Carolina Panthers CFO 2003-2019</t>
        </is>
      </c>
    </row>
    <row r="373" ht="28" customHeight="1" s="435">
      <c r="A373" s="610" t="inlineStr">
        <is>
          <t>Asbury University</t>
        </is>
      </c>
      <c r="B373" s="556" t="inlineStr">
        <is>
          <t>Beth Toenies</t>
        </is>
      </c>
      <c r="D373" s="556" t="inlineStr">
        <is>
          <t>BELFOR FG VP FD</t>
        </is>
      </c>
      <c r="F373" s="556" t="inlineStr">
        <is>
          <t>'06 Journalism, varsity tennis, honors</t>
        </is>
      </c>
      <c r="G373" s="556" t="inlineStr">
        <is>
          <t>⭐ Navy military spouse. Jacksonville FL. STRONG SIGNAL.</t>
        </is>
      </c>
    </row>
    <row r="374" ht="28" customHeight="1" s="435">
      <c r="A374" s="603" t="inlineStr">
        <is>
          <t>Babson F.W. Olin</t>
        </is>
      </c>
      <c r="B374" s="568" t="inlineStr">
        <is>
          <t>Andrew DeCastro</t>
        </is>
      </c>
      <c r="D374" s="568" t="inlineStr">
        <is>
          <t>ARS SVP Corporate Dev</t>
        </is>
      </c>
      <c r="F374" s="568" t="inlineStr">
        <is>
          <t>MBA</t>
        </is>
      </c>
      <c r="G374" s="568" t="inlineStr">
        <is>
          <t>Also Hamilton College BA.</t>
        </is>
      </c>
    </row>
    <row r="375" ht="28" customHeight="1" s="435">
      <c r="A375" s="610" t="inlineStr">
        <is>
          <t>Baylor University</t>
        </is>
      </c>
      <c r="B375" s="556" t="inlineStr">
        <is>
          <t>Glenn Lewis</t>
        </is>
      </c>
      <c r="D375" s="556" t="inlineStr">
        <is>
          <t>Mr. Appliance Pres (Neighborly)</t>
        </is>
      </c>
      <c r="F375" s="556" t="inlineStr">
        <is>
          <t>1982-1985, CFE</t>
        </is>
      </c>
      <c r="G375" s="556" t="inlineStr">
        <is>
          <t>⭐ BAYLOR. Wife Leslie also Baylor. Daughter Calli also Baylor. China Spring TX. Career: 18yrs Jim's Formal Wear → Decor Group → Dwyer/Neighborly.</t>
        </is>
      </c>
    </row>
    <row r="376" ht="28" customHeight="1" s="435">
      <c r="A376" s="610" t="inlineStr">
        <is>
          <t>Baylor University</t>
        </is>
      </c>
      <c r="B376" s="556" t="inlineStr">
        <is>
          <t>Josh McCormick</t>
        </is>
      </c>
      <c r="D376" s="556" t="inlineStr">
        <is>
          <t>Mr. Electric Pres (Neighborly)</t>
        </is>
      </c>
      <c r="F376" s="556" t="inlineStr">
        <is>
          <t>BBA Mgmt 1999-2002</t>
        </is>
      </c>
      <c r="G376" s="556" t="inlineStr">
        <is>
          <t>⭐ BAYLOR. 18+ yrs Neighborly. Mr. Electric Galveston peer group 10+ yrs.</t>
        </is>
      </c>
    </row>
    <row r="377" ht="28" customHeight="1" s="435">
      <c r="A377" s="610" t="inlineStr">
        <is>
          <t>Baylor University</t>
        </is>
      </c>
      <c r="B377" s="556" t="inlineStr">
        <is>
          <t>Ben Lamb</t>
        </is>
      </c>
      <c r="D377" s="556" t="inlineStr">
        <is>
          <t>Neighborly CFO</t>
        </is>
      </c>
      <c r="F377" s="556" t="inlineStr">
        <is>
          <t>BBA Finance/Econ/Intl Business</t>
        </is>
      </c>
      <c r="G377" s="556" t="inlineStr">
        <is>
          <t>⭐ BAYLOR. Joined May 2025.</t>
        </is>
      </c>
    </row>
    <row r="378" ht="28" customHeight="1" s="435">
      <c r="A378" s="610" t="inlineStr">
        <is>
          <t>Baylor University</t>
        </is>
      </c>
      <c r="B378" s="556" t="inlineStr">
        <is>
          <t>Carter Smith</t>
        </is>
      </c>
      <c r="D378" s="556" t="inlineStr">
        <is>
          <t>Pink's Co-Founder (ResiBrands)</t>
        </is>
      </c>
      <c r="F378" s="556" t="inlineStr">
        <is>
          <t>BA</t>
        </is>
      </c>
      <c r="G378" s="556" t="inlineStr">
        <is>
          <t>⭐ BAYLOR. Led largest Baylor mens service org (170 members). $20K annual fundraise to Mission Waco.</t>
        </is>
      </c>
    </row>
    <row r="379" ht="28" customHeight="1" s="435">
      <c r="A379" s="605" t="inlineStr">
        <is>
          <t>BYU</t>
        </is>
      </c>
      <c r="B379" s="575" t="inlineStr">
        <is>
          <t>Scott Abbott</t>
        </is>
      </c>
      <c r="D379" s="575" t="inlineStr">
        <is>
          <t>Five Star Franchising CEO</t>
        </is>
      </c>
      <c r="F379" s="575" t="inlineStr">
        <is>
          <t>Marriott School MBA 2005-2007 (Marketing/Entrepreneurship)</t>
        </is>
      </c>
      <c r="G379" s="575" t="inlineStr">
        <is>
          <t>⭐⭐ Also U. of Manitoba BS Mgmt (Canadian). Spanish Fork UT.</t>
        </is>
      </c>
    </row>
    <row r="380" ht="28" customHeight="1" s="435">
      <c r="A380" s="610" t="inlineStr">
        <is>
          <t>BYU</t>
        </is>
      </c>
      <c r="B380" s="556" t="inlineStr">
        <is>
          <t>Vess Pearson</t>
        </is>
      </c>
      <c r="D380" s="556" t="inlineStr">
        <is>
          <t>Aptive Co-Founder/CEO</t>
        </is>
      </c>
      <c r="F380" s="556" t="inlineStr">
        <is>
          <t>Bachelor's Accounting 2002-2008</t>
        </is>
      </c>
      <c r="G380" s="556" t="inlineStr">
        <is>
          <t>⭐ Started pest control summer 2006 at BYU. Aptive partner of BYU Athletics.</t>
        </is>
      </c>
    </row>
    <row r="381" ht="28" customHeight="1" s="435">
      <c r="A381" s="603" t="inlineStr">
        <is>
          <t>BYU</t>
        </is>
      </c>
      <c r="B381" s="568" t="inlineStr">
        <is>
          <t>David Royce</t>
        </is>
      </c>
      <c r="D381" s="568" t="inlineStr">
        <is>
          <t>Aptive Co-Founder/Chairman</t>
        </is>
      </c>
      <c r="F381" s="568" t="inlineStr">
        <is>
          <t>Pending</t>
        </is>
      </c>
      <c r="G381" s="568" t="inlineStr">
        <is>
          <t>Likely BYU/Utah</t>
        </is>
      </c>
    </row>
    <row r="382" ht="28" customHeight="1" s="435">
      <c r="A382" s="610" t="inlineStr">
        <is>
          <t>Calvary Chapel University</t>
        </is>
      </c>
      <c r="B382" s="556" t="inlineStr">
        <is>
          <t>Steven Montgomery</t>
        </is>
      </c>
      <c r="D382" s="556" t="inlineStr">
        <is>
          <t>ResiBrands Founder/CEO</t>
        </is>
      </c>
      <c r="F382" s="556" t="inlineStr">
        <is>
          <t>BA (DROPPED OUT)</t>
        </is>
      </c>
      <c r="G382" s="556" t="inlineStr">
        <is>
          <t>⭐ College dropout to start That 1 Painter. Father was professional painter. Austin TX. Wife Emily.</t>
        </is>
      </c>
    </row>
    <row r="383" ht="28" customHeight="1" s="435">
      <c r="A383" s="603" t="inlineStr">
        <is>
          <t>Central Michigan U</t>
        </is>
      </c>
      <c r="B383" s="568" t="inlineStr">
        <is>
          <t>Brian Meussner</t>
        </is>
      </c>
      <c r="D383" s="568" t="inlineStr">
        <is>
          <t>Mr. Handyman Pres (Neighborly)</t>
        </is>
      </c>
      <c r="F383" s="568" t="inlineStr">
        <is>
          <t>1999-2002</t>
        </is>
      </c>
      <c r="G383" s="568" t="inlineStr">
        <is>
          <t>Hospitality background. Detroit MI. NEW Pres Jan 2026.</t>
        </is>
      </c>
    </row>
    <row r="384" ht="28" customHeight="1" s="435">
      <c r="A384" s="603" t="inlineStr">
        <is>
          <t>CFE certification</t>
        </is>
      </c>
      <c r="B384" s="568" t="inlineStr">
        <is>
          <t>Jay Jimenez</t>
        </is>
      </c>
      <c r="D384" s="568" t="inlineStr">
        <is>
          <t>Aire Serv Pres (Neighborly, NEW Apr 2026)</t>
        </is>
      </c>
      <c r="F384" s="568" t="inlineStr">
        <is>
          <t>CFE</t>
        </is>
      </c>
      <c r="G384" s="568" t="inlineStr">
        <is>
          <t>College pending verification.</t>
        </is>
      </c>
    </row>
    <row r="385" ht="28" customHeight="1" s="435">
      <c r="A385" s="603" t="inlineStr">
        <is>
          <t>Claremont McKenna</t>
        </is>
      </c>
      <c r="B385" s="568" t="inlineStr">
        <is>
          <t>Spencer S. Lee</t>
        </is>
      </c>
      <c r="D385" s="568" t="inlineStr">
        <is>
          <t>Roto-Rooter CEO</t>
        </is>
      </c>
      <c r="F385" s="568" t="inlineStr">
        <is>
          <t>BA Economics</t>
        </is>
      </c>
      <c r="G385" s="568" t="inlineStr">
        <is>
          <t>Also UChicago MBA.</t>
        </is>
      </c>
    </row>
    <row r="386" ht="28" customHeight="1" s="435">
      <c r="A386" s="603" t="inlineStr">
        <is>
          <t>Clemson</t>
        </is>
      </c>
      <c r="B386" s="568" t="inlineStr">
        <is>
          <t>Ryan Bowes</t>
        </is>
      </c>
      <c r="D386" s="568" t="inlineStr">
        <is>
          <t>Authority Brands CGTO</t>
        </is>
      </c>
      <c r="F386" s="568" t="inlineStr">
        <is>
          <t>BS+MS Real Estate Dev/Finance</t>
        </is>
      </c>
      <c r="G386" s="568" t="inlineStr">
        <is>
          <t>Feb 2026 hire. BuyMax GPO oversight.</t>
        </is>
      </c>
    </row>
    <row r="387" ht="28" customHeight="1" s="435">
      <c r="A387" s="603" t="inlineStr">
        <is>
          <t>Coe College</t>
        </is>
      </c>
      <c r="B387" s="568" t="inlineStr">
        <is>
          <t>Gary Bauer</t>
        </is>
      </c>
      <c r="D387" s="568" t="inlineStr">
        <is>
          <t>JAN-PRO Pres (Empower)</t>
        </is>
      </c>
      <c r="F387" s="568" t="inlineStr">
        <is>
          <t>BA</t>
        </is>
      </c>
      <c r="G387" s="568" t="inlineStr">
        <is>
          <t>30+ yrs ServiceMaster, ex-COO ServiceMaster Clean/Restore.</t>
        </is>
      </c>
    </row>
    <row r="388" ht="28" customHeight="1" s="435">
      <c r="A388" s="603" t="inlineStr">
        <is>
          <t>College of Charleston</t>
        </is>
      </c>
      <c r="B388" s="568" t="inlineStr">
        <is>
          <t>Stewart Vernon</t>
        </is>
      </c>
      <c r="D388" s="568" t="inlineStr">
        <is>
          <t>ASP Founder / Authority EVP Emerging Brands</t>
        </is>
      </c>
      <c r="F388" s="568" t="inlineStr">
        <is>
          <t>Corporate Communications</t>
        </is>
      </c>
      <c r="G388" s="568" t="inlineStr">
        <is>
          <t>Started ASP senior year. Hometown Macon GA, Stratford Academy.</t>
        </is>
      </c>
    </row>
    <row r="389" ht="28" customHeight="1" s="435">
      <c r="A389" s="603" t="inlineStr">
        <is>
          <t>Columbia College</t>
        </is>
      </c>
      <c r="B389" s="568" t="inlineStr">
        <is>
          <t>Mike Brickner</t>
        </is>
      </c>
      <c r="D389" s="568" t="inlineStr">
        <is>
          <t>Precision Door Service Pres (Neighborly)</t>
        </is>
      </c>
      <c r="F389" s="568" t="inlineStr">
        <is>
          <t>BA</t>
        </is>
      </c>
      <c r="G389" s="568" t="inlineStr">
        <is>
          <t>Ex-Brevard County Sheriff's Office Director of 911 Center.</t>
        </is>
      </c>
    </row>
    <row r="390" ht="28" customHeight="1" s="435">
      <c r="A390" s="605" t="inlineStr">
        <is>
          <t>Duke Fuqua</t>
        </is>
      </c>
      <c r="B390" s="575" t="inlineStr">
        <is>
          <t>Jay Caiafa</t>
        </is>
      </c>
      <c r="D390" s="575" t="inlineStr">
        <is>
          <t>Authority Brands CEO</t>
        </is>
      </c>
      <c r="F390" s="575" t="inlineStr">
        <is>
          <t>MBA</t>
        </is>
      </c>
      <c r="G390" s="575" t="inlineStr">
        <is>
          <t>⭐⭐⭐ Same person — dual Duke alum</t>
        </is>
      </c>
    </row>
    <row r="391" ht="28" customHeight="1" s="435">
      <c r="A391" s="605" t="inlineStr">
        <is>
          <t>Duke Law</t>
        </is>
      </c>
      <c r="B391" s="575" t="inlineStr">
        <is>
          <t>Jay Caiafa</t>
        </is>
      </c>
      <c r="D391" s="575" t="inlineStr">
        <is>
          <t>Authority Brands CEO</t>
        </is>
      </c>
      <c r="F391" s="575" t="inlineStr">
        <is>
          <t>JD</t>
        </is>
      </c>
      <c r="G391" s="575" t="inlineStr">
        <is>
          <t>⭐⭐⭐ TRIPLE: Also Duke Fuqua MBA + USAFA Captain</t>
        </is>
      </c>
    </row>
    <row r="392" ht="28" customHeight="1" s="435">
      <c r="A392" s="603" t="inlineStr">
        <is>
          <t>Eastern Michigan U</t>
        </is>
      </c>
      <c r="B392" s="568" t="inlineStr">
        <is>
          <t>Kevin "Tim" Fagan</t>
        </is>
      </c>
      <c r="D392" s="568" t="inlineStr">
        <is>
          <t>BELFOR President</t>
        </is>
      </c>
      <c r="F392" s="568" t="inlineStr">
        <is>
          <t>Post-grad in educational leadership</t>
        </is>
      </c>
      <c r="G392" s="568" t="inlineStr">
        <is>
          <t>Also UMich BS Education.</t>
        </is>
      </c>
    </row>
    <row r="393" ht="28" customHeight="1" s="435">
      <c r="A393" s="610" t="inlineStr">
        <is>
          <t>Elon University</t>
        </is>
      </c>
      <c r="B393" s="556" t="inlineStr">
        <is>
          <t>Zack Dudan</t>
        </is>
      </c>
      <c r="D393" s="556" t="inlineStr">
        <is>
          <t>HomeFront CGO</t>
        </is>
      </c>
      <c r="F393" s="556" t="inlineStr">
        <is>
          <t>BS Finance + Econ minor</t>
        </is>
      </c>
      <c r="G393" s="556" t="inlineStr">
        <is>
          <t>⭐ Love School of Business + Varsity Football</t>
        </is>
      </c>
    </row>
    <row r="394" ht="28" customHeight="1" s="435">
      <c r="A394" s="603" t="inlineStr">
        <is>
          <t>Florida Atlantic</t>
        </is>
      </c>
      <c r="B394" s="568" t="inlineStr">
        <is>
          <t>Dennis Laliberte</t>
        </is>
      </c>
      <c r="D394" s="568" t="inlineStr">
        <is>
          <t>Wrench Regional Exec Central US</t>
        </is>
      </c>
      <c r="F394" s="568" t="inlineStr">
        <is>
          <t>MBA</t>
        </is>
      </c>
      <c r="G394" s="568" t="inlineStr">
        <is>
          <t>Also OSU BS.</t>
        </is>
      </c>
    </row>
    <row r="395" ht="28" customHeight="1" s="435">
      <c r="A395" s="603" t="inlineStr">
        <is>
          <t>Florida State</t>
        </is>
      </c>
      <c r="B395" s="568" t="inlineStr">
        <is>
          <t>Stacy Lynn Bourgeois</t>
        </is>
      </c>
      <c r="D395" s="568" t="inlineStr">
        <is>
          <t>Neighborly CMO</t>
        </is>
      </c>
      <c r="F395" s="568" t="inlineStr">
        <is>
          <t>BA Communications</t>
        </is>
      </c>
      <c r="G395" s="568" t="inlineStr">
        <is>
          <t>Also Northwestern MS.</t>
        </is>
      </c>
    </row>
    <row r="396" ht="28" customHeight="1" s="435">
      <c r="A396" s="610" t="inlineStr">
        <is>
          <t>HACC Central PA Community College</t>
        </is>
      </c>
      <c r="B396" s="556" t="inlineStr">
        <is>
          <t>Eddie McFarlane</t>
        </is>
      </c>
      <c r="D396" s="556" t="inlineStr">
        <is>
          <t>Sila Services CLDO</t>
        </is>
      </c>
      <c r="F396" s="556" t="inlineStr">
        <is>
          <t>AS Business Admin 2012-2015</t>
        </is>
      </c>
      <c r="G396" s="556" t="inlineStr">
        <is>
          <t>⭐ Trade school! Service tech 2003 → Haller Pres → Sila. Scotland origin. ACCA Board Chair 2025. NATE Board Trustee.</t>
        </is>
      </c>
    </row>
    <row r="397" ht="28" customHeight="1" s="435">
      <c r="A397" s="603" t="inlineStr">
        <is>
          <t>Hamilton College</t>
        </is>
      </c>
      <c r="B397" s="568" t="inlineStr">
        <is>
          <t>Andrew DeCastro</t>
        </is>
      </c>
      <c r="D397" s="568" t="inlineStr">
        <is>
          <t>ARS SVP Corporate Dev</t>
        </is>
      </c>
      <c r="F397" s="568" t="inlineStr">
        <is>
          <t>BA Economics</t>
        </is>
      </c>
      <c r="G397" s="568" t="inlineStr">
        <is>
          <t>Also Babson F.W. Olin MBA. 13yrs HomeServe USA prior.</t>
        </is>
      </c>
    </row>
    <row r="398" ht="28" customHeight="1" s="435">
      <c r="A398" s="605" t="inlineStr">
        <is>
          <t>Harvard</t>
        </is>
      </c>
      <c r="B398" s="575" t="inlineStr">
        <is>
          <t>Gagan Sinha</t>
        </is>
      </c>
      <c r="D398" s="575" t="inlineStr">
        <is>
          <t>Neighborly CIO</t>
        </is>
      </c>
      <c r="F398" s="575" t="inlineStr">
        <is>
          <t>MS Mgmt 2011-2013</t>
        </is>
      </c>
      <c r="G398" s="575" t="inlineStr">
        <is>
          <t>⭐⭐⭐ #1 OVERALL TARGET. "Best-in-class platforms" stance.</t>
        </is>
      </c>
    </row>
    <row r="399" ht="28" customHeight="1" s="435">
      <c r="A399" s="603" t="inlineStr">
        <is>
          <t>Illinois State</t>
        </is>
      </c>
      <c r="B399" s="568" t="inlineStr">
        <is>
          <t>Todd Houghton</t>
        </is>
      </c>
      <c r="D399" s="568" t="inlineStr">
        <is>
          <t>Homewatch CareGivers Pres (Authority)</t>
        </is>
      </c>
      <c r="F399" s="568" t="inlineStr">
        <is>
          <t>BS Econ/Business</t>
        </is>
      </c>
      <c r="G399" s="568" t="inlineStr"/>
    </row>
    <row r="400" ht="40" customHeight="1" s="435">
      <c r="A400" s="605" t="inlineStr">
        <is>
          <t>Kellogg / Northwestern</t>
        </is>
      </c>
      <c r="B400" s="575" t="inlineStr">
        <is>
          <t>AJ Brown</t>
        </is>
      </c>
      <c r="D400" s="575" t="inlineStr">
        <is>
          <t>Apex Service Partners Co-CEO</t>
        </is>
      </c>
      <c r="F400" s="575" t="inlineStr">
        <is>
          <t>MBA</t>
        </is>
      </c>
      <c r="G400" s="575" t="inlineStr">
        <is>
          <t>⭐⭐⭐ Also Providence College BA Global Studies (Magna Cum Laude, Honors, D1 soccer captain) + Boston University in London (International Finance/Economics). Brentford FC. Goldman Sachs analyst → Monitor Deloitte → McNally → Avitru CFO → Apex.</t>
        </is>
      </c>
    </row>
    <row r="401" ht="28" customHeight="1" s="435">
      <c r="A401" s="603" t="inlineStr">
        <is>
          <t>Northwestern (MS)</t>
        </is>
      </c>
      <c r="B401" s="568" t="inlineStr">
        <is>
          <t>Stacy Lynn Bourgeois</t>
        </is>
      </c>
      <c r="D401" s="568" t="inlineStr">
        <is>
          <t>Neighborly CMO</t>
        </is>
      </c>
      <c r="F401" s="568" t="inlineStr">
        <is>
          <t>MS Integrated Marketing 2009-2010</t>
        </is>
      </c>
      <c r="G401" s="568" t="inlineStr">
        <is>
          <t>Also Florida State BA Communications.</t>
        </is>
      </c>
    </row>
    <row r="402" ht="28" customHeight="1" s="435">
      <c r="A402" s="603" t="inlineStr">
        <is>
          <t>Ohio State</t>
        </is>
      </c>
      <c r="B402" s="568" t="inlineStr">
        <is>
          <t>Dennis Laliberte</t>
        </is>
      </c>
      <c r="D402" s="568" t="inlineStr">
        <is>
          <t>Wrench Regional Exec Central US</t>
        </is>
      </c>
      <c r="F402" s="568" t="inlineStr">
        <is>
          <t>BS Accounting/Finance</t>
        </is>
      </c>
      <c r="G402" s="568" t="inlineStr">
        <is>
          <t>Also Florida Atlantic MBA. 18 yrs ARS prior.</t>
        </is>
      </c>
    </row>
    <row r="403" ht="28" customHeight="1" s="435">
      <c r="A403" s="603" t="inlineStr">
        <is>
          <t>Operator path - no college</t>
        </is>
      </c>
      <c r="B403" s="568" t="inlineStr">
        <is>
          <t>Ken Haines</t>
        </is>
      </c>
      <c r="D403" s="568" t="inlineStr">
        <is>
          <t>Wrench Group CEO</t>
        </is>
      </c>
      <c r="F403" s="568" t="inlineStr">
        <is>
          <t>Started Haines Air Conditioning age 19</t>
        </is>
      </c>
      <c r="G403" s="568" t="inlineStr">
        <is>
          <t>No formal degree. 40+ yrs industry. Marietta GA.</t>
        </is>
      </c>
    </row>
    <row r="404" ht="28" customHeight="1" s="435">
      <c r="A404" s="603" t="inlineStr">
        <is>
          <t>Operator path - no college</t>
        </is>
      </c>
      <c r="B404" s="568" t="inlineStr">
        <is>
          <t>Roxanne Conrad</t>
        </is>
      </c>
      <c r="D404" s="568" t="inlineStr">
        <is>
          <t>PSB COO</t>
        </is>
      </c>
      <c r="F404" s="568" t="inlineStr">
        <is>
          <t>Former 360 Painting franchisee</t>
        </is>
      </c>
      <c r="G404" s="568" t="inlineStr">
        <is>
          <t>Practitioner background.</t>
        </is>
      </c>
    </row>
    <row r="405" ht="28" customHeight="1" s="435">
      <c r="A405" s="603" t="inlineStr">
        <is>
          <t>Operator path - no college</t>
        </is>
      </c>
      <c r="B405" s="568" t="inlineStr">
        <is>
          <t>Susan McIntosh</t>
        </is>
      </c>
      <c r="D405" s="568" t="inlineStr">
        <is>
          <t>Lawn Pride Pres (Neighborly)</t>
        </is>
      </c>
      <c r="F405" s="568" t="inlineStr">
        <is>
          <t>Cardinal Ritter HS Indianapolis</t>
        </is>
      </c>
      <c r="G405" s="568" t="inlineStr">
        <is>
          <t>Came up from landscape crew. Pres March 2023.</t>
        </is>
      </c>
    </row>
    <row r="406" ht="28" customHeight="1" s="435">
      <c r="A406" s="603" t="inlineStr">
        <is>
          <t>Operator path - no college</t>
        </is>
      </c>
      <c r="B406" s="568" t="inlineStr">
        <is>
          <t>Dean Hartley</t>
        </is>
      </c>
      <c r="D406" s="568" t="inlineStr">
        <is>
          <t>Five Star Bath Pres</t>
        </is>
      </c>
      <c r="F406" s="568" t="inlineStr">
        <is>
          <t>Multi-unit operator</t>
        </is>
      </c>
      <c r="G406" s="568" t="inlineStr">
        <is>
          <t>HSS 2026 Brand Pres of Year.</t>
        </is>
      </c>
    </row>
    <row r="407" ht="28" customHeight="1" s="435">
      <c r="A407" s="610" t="inlineStr">
        <is>
          <t>Providence College</t>
        </is>
      </c>
      <c r="B407" s="556" t="inlineStr">
        <is>
          <t>AJ Brown</t>
        </is>
      </c>
      <c r="D407" s="556" t="inlineStr">
        <is>
          <t>Apex CEO</t>
        </is>
      </c>
      <c r="F407" s="556" t="inlineStr">
        <is>
          <t>BA Global Studies, Magna Cum Laude, Honors</t>
        </is>
      </c>
      <c r="G407" s="556" t="inlineStr">
        <is>
          <t>⭐ D1 soccer captain.</t>
        </is>
      </c>
    </row>
    <row r="408" ht="28" customHeight="1" s="435">
      <c r="A408" s="610" t="inlineStr">
        <is>
          <t>Purdue University</t>
        </is>
      </c>
      <c r="B408" s="556" t="inlineStr">
        <is>
          <t>Aaron Rich</t>
        </is>
      </c>
      <c r="D408" s="556" t="inlineStr">
        <is>
          <t>BluSky Restoration CIO since 2022</t>
        </is>
      </c>
      <c r="F408" s="556" t="inlineStr">
        <is>
          <t>BS Computer Science</t>
        </is>
      </c>
      <c r="G408" s="556" t="inlineStr">
        <is>
          <t>⭐ Direct FSM-relevant CIO contact. 20+ yrs software/systems integration.</t>
        </is>
      </c>
    </row>
    <row r="409" ht="28" customHeight="1" s="435">
      <c r="A409" s="603" t="inlineStr">
        <is>
          <t>SMU</t>
        </is>
      </c>
      <c r="B409" s="568" t="inlineStr">
        <is>
          <t>Farah Bhayani</t>
        </is>
      </c>
      <c r="D409" s="568" t="inlineStr">
        <is>
          <t>Authority Brands CLO</t>
        </is>
      </c>
      <c r="F409" s="568" t="inlineStr">
        <is>
          <t>BBA Real Estate Finance + JD</t>
        </is>
      </c>
      <c r="G409" s="568" t="inlineStr">
        <is>
          <t>Triple credential.</t>
        </is>
      </c>
    </row>
    <row r="410" ht="28" customHeight="1" s="435">
      <c r="A410" s="603" t="inlineStr">
        <is>
          <t>Texas A&amp;M</t>
        </is>
      </c>
      <c r="B410" s="568" t="inlineStr">
        <is>
          <t>Brad Stevenson</t>
        </is>
      </c>
      <c r="D410" s="568" t="inlineStr">
        <is>
          <t>Neighborly CDO</t>
        </is>
      </c>
      <c r="F410" s="568" t="inlineStr">
        <is>
          <t>BS Kinesiology 1991-1996</t>
        </is>
      </c>
      <c r="G410" s="568" t="inlineStr">
        <is>
          <t>Frisco TX. Master Texas A&amp;M.</t>
        </is>
      </c>
    </row>
    <row r="411" ht="28" customHeight="1" s="435">
      <c r="A411" s="603" t="inlineStr">
        <is>
          <t>Towson University</t>
        </is>
      </c>
      <c r="B411" s="568" t="inlineStr">
        <is>
          <t>Justin Waltz</t>
        </is>
      </c>
      <c r="D411" s="568" t="inlineStr">
        <is>
          <t>Junkluggers Pres (Authority)</t>
        </is>
      </c>
      <c r="F411" s="568" t="inlineStr">
        <is>
          <t>BA</t>
        </is>
      </c>
      <c r="G411" s="568" t="inlineStr">
        <is>
          <t>Started 1-800-GOT-JUNK truck driver 2005.</t>
        </is>
      </c>
    </row>
    <row r="412" ht="28" customHeight="1" s="435">
      <c r="A412" s="603" t="inlineStr">
        <is>
          <t>U Arkansas Little Rock</t>
        </is>
      </c>
      <c r="B412" s="568" t="inlineStr">
        <is>
          <t>Michael Silva-Nash</t>
        </is>
      </c>
      <c r="D412" s="568" t="inlineStr">
        <is>
          <t>Molly Maid Pres (Neighborly)</t>
        </is>
      </c>
      <c r="F412" s="568" t="inlineStr">
        <is>
          <t>International Business + Foreign Language 2010-2014</t>
        </is>
      </c>
      <c r="G412" s="568" t="inlineStr">
        <is>
          <t>CFE. Bilingual. LULAC. Wife Rebecca Nash. Maumelle AR. Family franchisee origin.</t>
        </is>
      </c>
    </row>
    <row r="413" ht="28" customHeight="1" s="435">
      <c r="A413" s="603" t="inlineStr">
        <is>
          <t>U Central Florida</t>
        </is>
      </c>
      <c r="B413" s="568" t="inlineStr">
        <is>
          <t>Steve Clemente</t>
        </is>
      </c>
      <c r="D413" s="568" t="inlineStr">
        <is>
          <t>Authority Brands Pres/COO Trade Brands</t>
        </is>
      </c>
      <c r="F413" s="568" t="inlineStr">
        <is>
          <t>BS Liberal Studies</t>
        </is>
      </c>
      <c r="G413" s="568" t="inlineStr">
        <is>
          <t>Also Webster University Master's. 30+ yrs Dick's, Target, Nebraska Book, Primrose Schools.</t>
        </is>
      </c>
    </row>
    <row r="414" ht="28" customHeight="1" s="435">
      <c r="A414" s="603" t="inlineStr">
        <is>
          <t>U Iowa Tippie</t>
        </is>
      </c>
      <c r="B414" s="568" t="inlineStr">
        <is>
          <t>Todd</t>
        </is>
      </c>
      <c r="D414" s="568" t="inlineStr">
        <is>
          <t>Wrench Group M&amp;A Leader</t>
        </is>
      </c>
      <c r="F414" s="568" t="inlineStr">
        <is>
          <t>BBA Finance</t>
        </is>
      </c>
      <c r="G414" s="568" t="inlineStr">
        <is>
          <t>Henry B. Tippie College of Business.</t>
        </is>
      </c>
    </row>
    <row r="415" ht="33" customHeight="1" s="435">
      <c r="A415" s="610" t="inlineStr">
        <is>
          <t>U Nebraska-Lincoln</t>
        </is>
      </c>
      <c r="B415" s="556" t="inlineStr">
        <is>
          <t>Brett Ponton</t>
        </is>
      </c>
      <c r="D415" s="556" t="inlineStr">
        <is>
          <t>Servpro CEO</t>
        </is>
      </c>
      <c r="F415" s="556" t="inlineStr">
        <is>
          <t>BS Finance 1988-1992</t>
        </is>
      </c>
      <c r="G415" s="556" t="inlineStr">
        <is>
          <t>⭐ Cornhusker. Born April 1970. Hilton Head SC. Career: Goodyear → Veyance/Carlyle → Heartland Jiffy Lube CEO → American Driveline CEO → Monro CEO → Terminix CEO → Rentokil NA CEO → Servpro Oct 2023.</t>
        </is>
      </c>
    </row>
    <row r="416" ht="28" customHeight="1" s="435">
      <c r="A416" s="603" t="inlineStr">
        <is>
          <t>U of Louisville</t>
        </is>
      </c>
      <c r="B416" s="568" t="inlineStr">
        <is>
          <t>Doug Smith</t>
        </is>
      </c>
      <c r="D416" s="568" t="inlineStr">
        <is>
          <t>BELFOR FG SVP Franchise Development</t>
        </is>
      </c>
      <c r="F416" s="568" t="inlineStr">
        <is>
          <t>Business</t>
        </is>
      </c>
      <c r="G416" s="568" t="inlineStr">
        <is>
          <t>FranchiseU! Episode 82 podcast 2024.</t>
        </is>
      </c>
    </row>
    <row r="417" ht="28" customHeight="1" s="435">
      <c r="A417" s="605" t="inlineStr">
        <is>
          <t>U of Manitoba</t>
        </is>
      </c>
      <c r="B417" s="575" t="inlineStr">
        <is>
          <t>Scott Abbott</t>
        </is>
      </c>
      <c r="D417" s="575" t="inlineStr">
        <is>
          <t>Five Star Franchising CEO</t>
        </is>
      </c>
      <c r="F417" s="575" t="inlineStr">
        <is>
          <t>BS Mgmt</t>
        </is>
      </c>
      <c r="G417" s="575" t="inlineStr">
        <is>
          <t>⭐⭐ Canadian. Also BYU Marriott MBA.</t>
        </is>
      </c>
    </row>
    <row r="418" ht="28" customHeight="1" s="435">
      <c r="A418" s="610" t="inlineStr">
        <is>
          <t>U of Windsor</t>
        </is>
      </c>
      <c r="B418" s="556" t="inlineStr">
        <is>
          <t>Paul Flick</t>
        </is>
      </c>
      <c r="D418" s="556" t="inlineStr">
        <is>
          <t>PSB Founder/CEO</t>
        </is>
      </c>
      <c r="F418" s="556" t="inlineStr">
        <is>
          <t>BA Political Science 1988-1991</t>
        </is>
      </c>
      <c r="G418" s="556" t="inlineStr">
        <is>
          <t>⭐ Canadian. Coca-Cola Bottling pre-PSB. Charlottesville VA. Founded Kids Lift nonprofit (daughter Anne with Trisomy 18).</t>
        </is>
      </c>
    </row>
    <row r="419" ht="28" customHeight="1" s="435">
      <c r="A419" s="603" t="inlineStr">
        <is>
          <t>U Richmond</t>
        </is>
      </c>
      <c r="B419" s="568" t="inlineStr">
        <is>
          <t>Josh Greear</t>
        </is>
      </c>
      <c r="D419" s="568" t="inlineStr">
        <is>
          <t>Authority Brands CFO</t>
        </is>
      </c>
      <c r="F419" s="568" t="inlineStr">
        <is>
          <t>BA</t>
        </is>
      </c>
      <c r="G419" s="568" t="inlineStr">
        <is>
          <t>Also Vanderbilt MA.</t>
        </is>
      </c>
    </row>
    <row r="420" ht="28" customHeight="1" s="435">
      <c r="A420" s="603" t="inlineStr">
        <is>
          <t>U San Diego</t>
        </is>
      </c>
      <c r="B420" s="568" t="inlineStr">
        <is>
          <t>Mark Minasian</t>
        </is>
      </c>
      <c r="D420" s="568" t="inlineStr">
        <is>
          <t>BluSky Restoration CEO</t>
        </is>
      </c>
      <c r="F420" s="568" t="inlineStr">
        <is>
          <t>BA International Relations</t>
        </is>
      </c>
      <c r="G420" s="568" t="inlineStr">
        <is>
          <t>Co-founded Kellermeyer Bergensons Services (KBS). 30+ yrs industry.</t>
        </is>
      </c>
    </row>
    <row r="421" ht="28" customHeight="1" s="435">
      <c r="A421" s="610" t="inlineStr">
        <is>
          <t>UNC Charlotte</t>
        </is>
      </c>
      <c r="B421" s="556" t="inlineStr">
        <is>
          <t>Tyler Kirk</t>
        </is>
      </c>
      <c r="D421" s="556" t="inlineStr">
        <is>
          <t>Window Hero Founder</t>
        </is>
      </c>
      <c r="F421" s="556" t="inlineStr">
        <is>
          <t>BA</t>
        </is>
      </c>
      <c r="G421" s="556" t="inlineStr">
        <is>
          <t>⭐ College tennis. Hearing impairment. Huntersville NC same as Dudan HQ</t>
        </is>
      </c>
    </row>
    <row r="422" ht="28" customHeight="1" s="435">
      <c r="A422" s="610" t="inlineStr">
        <is>
          <t>University of Chicago</t>
        </is>
      </c>
      <c r="B422" s="556" t="inlineStr">
        <is>
          <t>Spencer S. Lee</t>
        </is>
      </c>
      <c r="D422" s="556" t="inlineStr">
        <is>
          <t>Roto-Rooter CEO 26yrs</t>
        </is>
      </c>
      <c r="F422" s="556" t="inlineStr">
        <is>
          <t>MBA</t>
        </is>
      </c>
      <c r="G422" s="556" t="inlineStr">
        <is>
          <t>⭐ Also Claremont McKenna BA Economics. Joined Chemed 1980.</t>
        </is>
      </c>
    </row>
    <row r="423" ht="28" customHeight="1" s="435">
      <c r="A423" s="603" t="inlineStr">
        <is>
          <t>University of Kansas</t>
        </is>
      </c>
      <c r="B423" s="568" t="inlineStr">
        <is>
          <t>Scott Zide</t>
        </is>
      </c>
      <c r="D423" s="568" t="inlineStr">
        <is>
          <t>Empower Brands CEO</t>
        </is>
      </c>
      <c r="F423" s="568" t="inlineStr">
        <is>
          <t>BA</t>
        </is>
      </c>
      <c r="G423" s="568" t="inlineStr">
        <is>
          <t>Started as Mr. Goodcents franchisee at age 23. Richmond VA.</t>
        </is>
      </c>
    </row>
    <row r="424" ht="28" customHeight="1" s="435">
      <c r="A424" s="610" t="inlineStr">
        <is>
          <t>University of Michigan</t>
        </is>
      </c>
      <c r="B424" s="556" t="inlineStr">
        <is>
          <t>Kevin "Tim" Fagan</t>
        </is>
      </c>
      <c r="D424" s="556" t="inlineStr">
        <is>
          <t>BELFOR 1-800 Water Damage / Blue Kangaroo Packoutz Pres</t>
        </is>
      </c>
      <c r="F424" s="556" t="inlineStr">
        <is>
          <t>BS Education</t>
        </is>
      </c>
      <c r="G424" s="556" t="inlineStr">
        <is>
          <t>⭐ Also Eastern Michigan post-grad in educational leadership. RIA CR + WLS certifications.</t>
        </is>
      </c>
    </row>
    <row r="425" ht="28" customHeight="1" s="435">
      <c r="A425" s="605" t="inlineStr">
        <is>
          <t>USAFA</t>
        </is>
      </c>
      <c r="B425" s="575" t="inlineStr">
        <is>
          <t>Jay Caiafa</t>
        </is>
      </c>
      <c r="D425" s="575" t="inlineStr">
        <is>
          <t>Authority Brands CEO</t>
        </is>
      </c>
      <c r="F425" s="575" t="inlineStr">
        <is>
          <t>Captain</t>
        </is>
      </c>
      <c r="G425" s="575" t="inlineStr">
        <is>
          <t>⭐⭐⭐ Triple credentialed.</t>
        </is>
      </c>
    </row>
    <row r="426" ht="28" customHeight="1" s="435">
      <c r="A426" s="603" t="inlineStr">
        <is>
          <t>USC Marshall</t>
        </is>
      </c>
      <c r="B426" s="568" t="inlineStr">
        <is>
          <t>Matt Crowley</t>
        </is>
      </c>
      <c r="D426" s="568" t="inlineStr">
        <is>
          <t>Neighborly Group Pres-Specialty</t>
        </is>
      </c>
      <c r="F426" s="568" t="inlineStr">
        <is>
          <t>MBA</t>
        </is>
      </c>
      <c r="G426" s="568" t="inlineStr">
        <is>
          <t>Specialty cluster oversight.</t>
        </is>
      </c>
    </row>
    <row r="427" ht="28" customHeight="1" s="435">
      <c r="A427" s="605" t="inlineStr">
        <is>
          <t>USNA</t>
        </is>
      </c>
      <c r="B427" s="575" t="inlineStr">
        <is>
          <t>Justin Mayer</t>
        </is>
      </c>
      <c r="D427" s="575" t="inlineStr">
        <is>
          <t>Empower OLP Brand Pres</t>
        </is>
      </c>
      <c r="F427" s="575" t="inlineStr">
        <is>
          <t>BS Economics (Dean's List, GPA 3.69)</t>
        </is>
      </c>
      <c r="G427" s="575" t="inlineStr">
        <is>
          <t>⭐⭐⭐ Triple credentialed.</t>
        </is>
      </c>
    </row>
    <row r="428" ht="31" customHeight="1" s="435">
      <c r="A428" s="610" t="inlineStr">
        <is>
          <t>UVA Darden</t>
        </is>
      </c>
      <c r="B428" s="556" t="inlineStr">
        <is>
          <t>Hagan Kappler</t>
        </is>
      </c>
      <c r="D428" s="556" t="inlineStr">
        <is>
          <t>Former Threshold CEO / NOW Daisy CEO</t>
        </is>
      </c>
      <c r="F428" s="556" t="inlineStr">
        <is>
          <t>MBA 2005-2007</t>
        </is>
      </c>
      <c r="G428" s="556" t="inlineStr">
        <is>
          <t>⭐ Also Williams College BA History. Track athlete. Goldman Sachs → McKinsey → Starbucks (Blonde Roast) → ServiceMaster → Threshold → Daisy. Goldman Sachs Most Exceptional Entrepreneurs 2025.</t>
        </is>
      </c>
    </row>
    <row r="429" ht="28" customHeight="1" s="435">
      <c r="A429" s="605" t="inlineStr">
        <is>
          <t>UVA Darden</t>
        </is>
      </c>
      <c r="B429" s="575" t="inlineStr">
        <is>
          <t>Justin Mayer</t>
        </is>
      </c>
      <c r="D429" s="575" t="inlineStr">
        <is>
          <t>Empower OLP Brand Pres</t>
        </is>
      </c>
      <c r="F429" s="575" t="inlineStr">
        <is>
          <t>MBA Top 10 Academic</t>
        </is>
      </c>
      <c r="G429" s="575" t="inlineStr">
        <is>
          <t>⭐⭐⭐ Also USNA BS Economics + USMC veteran. April 2025 brand pres.</t>
        </is>
      </c>
    </row>
    <row r="430" ht="28" customHeight="1" s="435">
      <c r="A430" s="603" t="inlineStr">
        <is>
          <t>Vanderbilt</t>
        </is>
      </c>
      <c r="B430" s="568" t="inlineStr">
        <is>
          <t>Josh Greear</t>
        </is>
      </c>
      <c r="D430" s="568" t="inlineStr">
        <is>
          <t>Authority Brands CFO</t>
        </is>
      </c>
      <c r="F430" s="568" t="inlineStr">
        <is>
          <t>MA</t>
        </is>
      </c>
      <c r="G430" s="568" t="inlineStr">
        <is>
          <t>Also U Richmond BA. Sept 2025 hire.</t>
        </is>
      </c>
    </row>
    <row r="431" ht="28" customHeight="1" s="435">
      <c r="A431" s="603" t="inlineStr">
        <is>
          <t>Webster University</t>
        </is>
      </c>
      <c r="B431" s="568" t="inlineStr">
        <is>
          <t>Steve Clemente</t>
        </is>
      </c>
      <c r="D431" s="568" t="inlineStr">
        <is>
          <t>Authority Brands Pres/COO Trade Brands</t>
        </is>
      </c>
      <c r="F431" s="568" t="inlineStr">
        <is>
          <t>Master's</t>
        </is>
      </c>
      <c r="G431" s="568" t="inlineStr">
        <is>
          <t>Also UCF BS.</t>
        </is>
      </c>
    </row>
    <row r="432" ht="28" customHeight="1" s="435">
      <c r="A432" s="610" t="inlineStr">
        <is>
          <t>Williams College</t>
        </is>
      </c>
      <c r="B432" s="556" t="inlineStr">
        <is>
          <t>Hagan Kappler</t>
        </is>
      </c>
      <c r="D432" s="556" t="inlineStr">
        <is>
          <t>Former Threshold CEO / Daisy CEO</t>
        </is>
      </c>
      <c r="F432" s="556" t="inlineStr">
        <is>
          <t>BA History</t>
        </is>
      </c>
      <c r="G432" s="556" t="inlineStr">
        <is>
          <t>⭐ Track athlete.</t>
        </is>
      </c>
    </row>
    <row r="433" ht="25" customHeight="1" s="435">
      <c r="A433" s="571" t="inlineStr">
        <is>
          <t>Total named people in dataset</t>
        </is>
      </c>
      <c r="E433" s="611" t="inlineStr">
        <is>
          <t>~85-90</t>
        </is>
      </c>
      <c r="G433" s="589" t="inlineStr">
        <is>
          <t>Across Track 1 + Track 2 + Wave 6 + PE Rollups</t>
        </is>
      </c>
    </row>
    <row r="434" ht="25" customHeight="1" s="435">
      <c r="A434" s="571" t="inlineStr">
        <is>
          <t>Education VERIFIED with school name</t>
        </is>
      </c>
      <c r="E434" s="611" t="inlineStr">
        <is>
          <t>~60</t>
        </is>
      </c>
      <c r="G434" s="589" t="inlineStr">
        <is>
          <t>Confirmed via direct sources</t>
        </is>
      </c>
    </row>
    <row r="435">
      <c r="A435" s="590" t="inlineStr">
        <is>
          <t>✅ EDUCATION COVERAGE — FINAL TALLY (v15.26)</t>
        </is>
      </c>
    </row>
    <row r="436" ht="25" customHeight="1" s="435">
      <c r="A436" s="571" t="inlineStr">
        <is>
          <t>Education VERIFIED with degree details</t>
        </is>
      </c>
      <c r="E436" s="611" t="inlineStr">
        <is>
          <t>~45</t>
        </is>
      </c>
      <c r="G436" s="589" t="inlineStr">
        <is>
          <t>Years, major, specifics</t>
        </is>
      </c>
    </row>
    <row r="437" ht="25" customHeight="1" s="435">
      <c r="A437" s="571" t="inlineStr">
        <is>
          <t>Pending verification</t>
        </is>
      </c>
      <c r="E437" s="611" t="inlineStr">
        <is>
          <t>~25-30</t>
        </is>
      </c>
      <c r="G437" s="589" t="inlineStr">
        <is>
          <t>Mostly mid-tier brand presidents</t>
        </is>
      </c>
    </row>
    <row r="438" ht="25" customHeight="1" s="435">
      <c r="A438" s="571" t="inlineStr">
        <is>
          <t>OVERALL COVERAGE %</t>
        </is>
      </c>
      <c r="E438" s="611" t="inlineStr">
        <is>
          <t>~70-75%</t>
        </is>
      </c>
      <c r="G438" s="589" t="inlineStr">
        <is>
          <t>Up from ~40% in v15.23</t>
        </is>
      </c>
    </row>
    <row r="439" ht="25" customHeight="1" s="435">
      <c r="A439" s="571" t="inlineStr">
        <is>
          <t>🎯 KEY CLUSTERS UNCOVERED</t>
        </is>
      </c>
      <c r="E439" s="611" t="inlineStr">
        <is>
          <t>10</t>
        </is>
      </c>
      <c r="G439" s="589" t="inlineStr">
        <is>
          <t>NC, Baylor (4), BYU (3), Duke (1 person/2 schools), UVA Darden (2), Service Academy (2), Nebraska, Williams, Providence, Kellogg</t>
        </is>
      </c>
    </row>
    <row r="440" ht="25" customHeight="1" s="435">
      <c r="A440" s="571" t="inlineStr">
        <is>
          <t>🎯 HIGHEST-VALUE CLUSTER FOR MIKE</t>
        </is>
      </c>
      <c r="E440" s="611" t="inlineStr">
        <is>
          <t>NC SCHOOLS</t>
        </is>
      </c>
      <c r="G440" s="589" t="inlineStr">
        <is>
          <t>4 leaders at HomeFront (3 Dudans + Tyler Kirk Window Hero) — all NC alumni, Huntersville/Charlotte NC clustered</t>
        </is>
      </c>
    </row>
    <row r="441">
      <c r="A441" s="602" t="inlineStr">
        <is>
          <t>School</t>
        </is>
      </c>
      <c r="B441" s="602" t="inlineStr">
        <is>
          <t>Person</t>
        </is>
      </c>
      <c r="D441" s="602" t="inlineStr">
        <is>
          <t>Role</t>
        </is>
      </c>
      <c r="F441" s="602" t="inlineStr">
        <is>
          <t>Degree/Years</t>
        </is>
      </c>
      <c r="G441" s="602" t="inlineStr">
        <is>
          <t>Notes</t>
        </is>
      </c>
    </row>
    <row r="442" ht="28" customHeight="1" s="435">
      <c r="A442" s="605" t="inlineStr">
        <is>
          <t>Appalachian State University</t>
        </is>
      </c>
      <c r="B442" s="575" t="inlineStr">
        <is>
          <t>Jeff Dudan</t>
        </is>
      </c>
      <c r="D442" s="575" t="inlineStr">
        <is>
          <t>HomeFront CEO</t>
        </is>
      </c>
      <c r="F442" s="575" t="inlineStr">
        <is>
          <t>BA</t>
        </is>
      </c>
      <c r="G442" s="575" t="inlineStr">
        <is>
          <t>⭐⭐⭐ NC SCHOOL. Yosef Club board (athletics fundraising).</t>
        </is>
      </c>
    </row>
    <row r="443" ht="30" customHeight="1" s="435">
      <c r="A443" s="604" t="inlineStr">
        <is>
          <t>🎓 V15.27 EDUCATION DEEP DIVE — Newly Added (Push to 90% Coverage)</t>
        </is>
      </c>
    </row>
    <row r="444" ht="28" customHeight="1" s="435">
      <c r="A444" s="605" t="inlineStr">
        <is>
          <t>Appalachian State University</t>
        </is>
      </c>
      <c r="B444" s="575" t="inlineStr">
        <is>
          <t>Mike Dudan</t>
        </is>
      </c>
      <c r="D444" s="575" t="inlineStr">
        <is>
          <t>HomeFront CFO</t>
        </is>
      </c>
      <c r="F444" s="575" t="inlineStr">
        <is>
          <t>1992-1996</t>
        </is>
      </c>
      <c r="G444" s="575" t="inlineStr">
        <is>
          <t>⭐⭐⭐ NC SCHOOL. CFO Carolina Panthers 2003-2019! Schaumburg HS 1989. Deloitte Audit Mgr 2002-03, Arthur Andersen 1996-2002.</t>
        </is>
      </c>
    </row>
    <row r="445" ht="28" customHeight="1" s="435">
      <c r="A445" s="610" t="inlineStr">
        <is>
          <t>Asbury University</t>
        </is>
      </c>
      <c r="B445" s="556" t="inlineStr">
        <is>
          <t>Beth Toenies</t>
        </is>
      </c>
      <c r="D445" s="556" t="inlineStr">
        <is>
          <t>BELFOR FG VP FD</t>
        </is>
      </c>
      <c r="F445" s="556" t="inlineStr">
        <is>
          <t>'06 Journalism, varsity tennis, honors</t>
        </is>
      </c>
      <c r="G445" s="556" t="inlineStr">
        <is>
          <t>⭐ Navy military spouse. Jacksonville FL. STRONG SIGNAL.</t>
        </is>
      </c>
    </row>
    <row r="446" ht="28" customHeight="1" s="435">
      <c r="A446" s="603" t="inlineStr">
        <is>
          <t>Babson F.W. Olin Graduate School</t>
        </is>
      </c>
      <c r="B446" s="568" t="inlineStr">
        <is>
          <t>Andrew DeCastro</t>
        </is>
      </c>
      <c r="D446" s="568" t="inlineStr">
        <is>
          <t>ARS SVP Corporate Dev</t>
        </is>
      </c>
      <c r="F446" s="568" t="inlineStr">
        <is>
          <t>MBA</t>
        </is>
      </c>
      <c r="G446" s="568" t="inlineStr">
        <is>
          <t>Same person — also Hamilton BA.</t>
        </is>
      </c>
    </row>
    <row r="447" ht="28" customHeight="1" s="435">
      <c r="A447" s="610" t="inlineStr">
        <is>
          <t>Baylor University</t>
        </is>
      </c>
      <c r="B447" s="556" t="inlineStr">
        <is>
          <t>Glenn Lewis</t>
        </is>
      </c>
      <c r="D447" s="556" t="inlineStr">
        <is>
          <t>Mr. Appliance Brand Pres (Neighborly)</t>
        </is>
      </c>
      <c r="F447" s="556" t="inlineStr">
        <is>
          <t>1982-1985, CFE</t>
        </is>
      </c>
      <c r="G447" s="556" t="inlineStr">
        <is>
          <t>⭐ MULTI-GEN: Wife Leslie also Baylor. Daughter Calli also Baylor. China Spring TX. Started 1986 Jim's Formal Wear (18 yrs!) → Decor Group → Dwyer/Neighborly.</t>
        </is>
      </c>
    </row>
    <row r="448" ht="28" customHeight="1" s="435">
      <c r="A448" s="610" t="inlineStr">
        <is>
          <t>Baylor University</t>
        </is>
      </c>
      <c r="B448" s="556" t="inlineStr">
        <is>
          <t>Ben Lamb</t>
        </is>
      </c>
      <c r="D448" s="556" t="inlineStr">
        <is>
          <t>Neighborly CFO (May 2025)</t>
        </is>
      </c>
      <c r="F448" s="556" t="inlineStr">
        <is>
          <t>BBA Finance/Econ/Intl Business</t>
        </is>
      </c>
      <c r="G448" s="556" t="inlineStr">
        <is>
          <t>⭐ BAYLOR cluster.</t>
        </is>
      </c>
    </row>
    <row r="449" ht="28" customHeight="1" s="435">
      <c r="A449" s="610" t="inlineStr">
        <is>
          <t>Baylor University</t>
        </is>
      </c>
      <c r="B449" s="556" t="inlineStr">
        <is>
          <t>Josh McCormick</t>
        </is>
      </c>
      <c r="D449" s="556" t="inlineStr">
        <is>
          <t>Mr. Electric Brand Pres (Neighborly)</t>
        </is>
      </c>
      <c r="F449" s="556" t="inlineStr">
        <is>
          <t>BBA Mgmt 1999-2002</t>
        </is>
      </c>
      <c r="G449" s="556" t="inlineStr">
        <is>
          <t>⭐ BAYLOR. 18+ yrs Neighborly.</t>
        </is>
      </c>
    </row>
    <row r="450" ht="28" customHeight="1" s="435">
      <c r="A450" s="610" t="inlineStr">
        <is>
          <t>Baylor University</t>
        </is>
      </c>
      <c r="B450" s="556" t="inlineStr">
        <is>
          <t>Carter Smith</t>
        </is>
      </c>
      <c r="D450" s="556" t="inlineStr">
        <is>
          <t>Pink's Co-Founder (ResiBrands)</t>
        </is>
      </c>
      <c r="F450" s="556" t="inlineStr">
        <is>
          <t>BA</t>
        </is>
      </c>
      <c r="G450" s="556" t="inlineStr">
        <is>
          <t>⭐ BAYLOR. Led Baylor's largest mens service org (170 members). $20K/yr Mission Waco fundraise.</t>
        </is>
      </c>
    </row>
    <row r="451" ht="28" customHeight="1" s="435">
      <c r="A451" s="603" t="inlineStr">
        <is>
          <t>Boston University in London</t>
        </is>
      </c>
      <c r="B451" s="568" t="inlineStr">
        <is>
          <t>AJ Brown</t>
        </is>
      </c>
      <c r="D451" s="568" t="inlineStr">
        <is>
          <t>Apex CEO</t>
        </is>
      </c>
      <c r="F451" s="568" t="inlineStr">
        <is>
          <t>International Finance/Economics</t>
        </is>
      </c>
      <c r="G451" s="568" t="inlineStr">
        <is>
          <t>Same person.</t>
        </is>
      </c>
    </row>
    <row r="452" ht="28" customHeight="1" s="435">
      <c r="A452" s="610" t="inlineStr">
        <is>
          <t>BYU</t>
        </is>
      </c>
      <c r="B452" s="556" t="inlineStr">
        <is>
          <t>Vess Pearson</t>
        </is>
      </c>
      <c r="D452" s="556" t="inlineStr">
        <is>
          <t>Aptive Co-Founder/CEO</t>
        </is>
      </c>
      <c r="F452" s="556" t="inlineStr">
        <is>
          <t>Bachelor in Accounting 2002-2008</t>
        </is>
      </c>
      <c r="G452" s="556" t="inlineStr">
        <is>
          <t>⭐ Started pest control summer 2006 sophomore year. Aptive partner of BYU Athletics, Utah Jazz, Real Salt Lake.</t>
        </is>
      </c>
    </row>
    <row r="453" ht="28" customHeight="1" s="435">
      <c r="A453" s="605" t="inlineStr">
        <is>
          <t>BYU Marriott School</t>
        </is>
      </c>
      <c r="B453" s="575" t="inlineStr">
        <is>
          <t>Scott Abbott</t>
        </is>
      </c>
      <c r="D453" s="575" t="inlineStr">
        <is>
          <t>Five Star Franchising CEO/Co-Founder</t>
        </is>
      </c>
      <c r="F453" s="575" t="inlineStr">
        <is>
          <t>MBA 2005-2007 (Marketing/Entrepreneurship)</t>
        </is>
      </c>
      <c r="G453" s="575" t="inlineStr">
        <is>
          <t>⭐⭐ Plus University of Manitoba BS Mgmt. Spanish Fork UT. Met Chad Jones in LDS chapel Winnipeg at age 11.</t>
        </is>
      </c>
    </row>
    <row r="454" ht="28" customHeight="1" s="435">
      <c r="A454" s="610" t="inlineStr">
        <is>
          <t>Calvary Chapel University (DROPPED OUT)</t>
        </is>
      </c>
      <c r="B454" s="556" t="inlineStr">
        <is>
          <t>Steven Montgomery</t>
        </is>
      </c>
      <c r="D454" s="556" t="inlineStr">
        <is>
          <t>ResiBrands Founder/CEO</t>
        </is>
      </c>
      <c r="F454" s="556" t="inlineStr">
        <is>
          <t>BA (incomplete)</t>
        </is>
      </c>
      <c r="G454" s="556" t="inlineStr">
        <is>
          <t>⭐ College DROPOUT to launch That 1 Painter. Junk mail delivery in Australia pre-painting. Father was professional painter. Austin TX. Wife Emily.</t>
        </is>
      </c>
    </row>
    <row r="455" ht="28" customHeight="1" s="435">
      <c r="A455" s="603" t="inlineStr">
        <is>
          <t>Central Michigan University</t>
        </is>
      </c>
      <c r="B455" s="568" t="inlineStr">
        <is>
          <t>Brian Meussner</t>
        </is>
      </c>
      <c r="D455" s="568" t="inlineStr">
        <is>
          <t>Mr. Handyman Brand Pres (Neighborly)</t>
        </is>
      </c>
      <c r="F455" s="568" t="inlineStr">
        <is>
          <t>1999-2002</t>
        </is>
      </c>
      <c r="G455" s="568" t="inlineStr">
        <is>
          <t>Hospitality background. Detroit MI. NEW Pres Jan 2026.</t>
        </is>
      </c>
    </row>
    <row r="456" ht="28" customHeight="1" s="435">
      <c r="A456" s="610" t="inlineStr">
        <is>
          <t>Claremont McKenna College</t>
        </is>
      </c>
      <c r="B456" s="556" t="inlineStr">
        <is>
          <t>Spencer S. Lee</t>
        </is>
      </c>
      <c r="D456" s="556" t="inlineStr">
        <is>
          <t>Roto-Rooter CEO 26 years</t>
        </is>
      </c>
      <c r="F456" s="556" t="inlineStr">
        <is>
          <t>BA Economics</t>
        </is>
      </c>
      <c r="G456" s="556" t="inlineStr">
        <is>
          <t>⭐ Plus University of Chicago MBA. Joined Chemed 1980. Age 69.</t>
        </is>
      </c>
    </row>
    <row r="457" ht="28" customHeight="1" s="435">
      <c r="A457" s="603" t="inlineStr">
        <is>
          <t>Clemson University</t>
        </is>
      </c>
      <c r="B457" s="568" t="inlineStr">
        <is>
          <t>Ryan Bowes</t>
        </is>
      </c>
      <c r="D457" s="568" t="inlineStr">
        <is>
          <t>Authority Brands CGTO since Feb 2026</t>
        </is>
      </c>
      <c r="F457" s="568" t="inlineStr">
        <is>
          <t>BS+MS Real Estate Dev/Finance</t>
        </is>
      </c>
      <c r="G457" s="568" t="inlineStr">
        <is>
          <t>Ex-IHG, Marriott, Starwood, FirstKey Homes CIO.</t>
        </is>
      </c>
    </row>
    <row r="458" ht="28" customHeight="1" s="435">
      <c r="A458" s="603" t="inlineStr">
        <is>
          <t>Coe College</t>
        </is>
      </c>
      <c r="B458" s="568" t="inlineStr">
        <is>
          <t>Gary Bauer</t>
        </is>
      </c>
      <c r="D458" s="568" t="inlineStr">
        <is>
          <t>JAN-PRO Brand Pres (Empower)</t>
        </is>
      </c>
      <c r="F458" s="568" t="inlineStr">
        <is>
          <t>BA</t>
        </is>
      </c>
      <c r="G458" s="568" t="inlineStr">
        <is>
          <t>30+ yrs ServiceMaster, ex-COO ServiceMaster Clean/Restore.</t>
        </is>
      </c>
    </row>
    <row r="459" ht="28" customHeight="1" s="435">
      <c r="A459" s="603" t="inlineStr">
        <is>
          <t>College of Charleston</t>
        </is>
      </c>
      <c r="B459" s="568" t="inlineStr">
        <is>
          <t>Stewart Vernon</t>
        </is>
      </c>
      <c r="D459" s="568" t="inlineStr">
        <is>
          <t>ASP Founder, Authority EVP Emerging Brands</t>
        </is>
      </c>
      <c r="F459" s="568" t="inlineStr">
        <is>
          <t>corporate communications</t>
        </is>
      </c>
      <c r="G459" s="568" t="inlineStr">
        <is>
          <t>Started ASP senior year. Hometown Macon GA, Stratford Academy. Wife Shannon. 2 kids Stewart Jr + Sloan.</t>
        </is>
      </c>
    </row>
    <row r="460" ht="28" customHeight="1" s="435">
      <c r="A460" s="603" t="inlineStr">
        <is>
          <t>Columbia College</t>
        </is>
      </c>
      <c r="B460" s="568" t="inlineStr">
        <is>
          <t>Mike Brickner</t>
        </is>
      </c>
      <c r="D460" s="568" t="inlineStr">
        <is>
          <t>Precision Door Service Brand Pres (Neighborly)</t>
        </is>
      </c>
      <c r="F460" s="568" t="inlineStr">
        <is>
          <t>BA</t>
        </is>
      </c>
      <c r="G460" s="568" t="inlineStr">
        <is>
          <t>Ex-Brevard County Sheriff's Office Director of 911 Center. At Precision since 2011.</t>
        </is>
      </c>
    </row>
    <row r="461" ht="28" customHeight="1" s="435">
      <c r="A461" s="603" t="inlineStr">
        <is>
          <t>Duke Fuqua</t>
        </is>
      </c>
      <c r="B461" s="568" t="inlineStr">
        <is>
          <t>Jay Caiafa</t>
        </is>
      </c>
      <c r="D461" s="568" t="inlineStr">
        <is>
          <t>Authority Brands CEO</t>
        </is>
      </c>
      <c r="F461" s="568" t="inlineStr">
        <is>
          <t>MBA</t>
        </is>
      </c>
      <c r="G461" s="568" t="inlineStr">
        <is>
          <t>Same person.</t>
        </is>
      </c>
    </row>
    <row r="462" ht="28" customHeight="1" s="435">
      <c r="A462" s="603" t="inlineStr">
        <is>
          <t>Duke Law</t>
        </is>
      </c>
      <c r="B462" s="568" t="inlineStr">
        <is>
          <t>Jay Caiafa</t>
        </is>
      </c>
      <c r="D462" s="568" t="inlineStr">
        <is>
          <t>Authority Brands CEO</t>
        </is>
      </c>
      <c r="F462" s="568" t="inlineStr">
        <is>
          <t>JD</t>
        </is>
      </c>
      <c r="G462" s="568" t="inlineStr">
        <is>
          <t>Same person — dual Duke alum (also Fuqua MBA).</t>
        </is>
      </c>
    </row>
    <row r="463" ht="28" customHeight="1" s="435">
      <c r="A463" s="603" t="inlineStr">
        <is>
          <t>Eastern Michigan University</t>
        </is>
      </c>
      <c r="B463" s="568" t="inlineStr">
        <is>
          <t>Kevin Fagan</t>
        </is>
      </c>
      <c r="D463" s="568" t="inlineStr">
        <is>
          <t>BELFOR Pres</t>
        </is>
      </c>
      <c r="F463" s="568" t="inlineStr">
        <is>
          <t>Post-grad in Educational Leadership</t>
        </is>
      </c>
      <c r="G463" s="568" t="inlineStr">
        <is>
          <t>Same person.</t>
        </is>
      </c>
    </row>
    <row r="464" ht="28" customHeight="1" s="435">
      <c r="A464" s="605" t="inlineStr">
        <is>
          <t>Elon University Love School</t>
        </is>
      </c>
      <c r="B464" s="575" t="inlineStr">
        <is>
          <t>Zack Dudan</t>
        </is>
      </c>
      <c r="D464" s="575" t="inlineStr">
        <is>
          <t>HomeFront CGO (Jeff's son)</t>
        </is>
      </c>
      <c r="F464" s="575" t="inlineStr">
        <is>
          <t>BS Finance + Econ minor</t>
        </is>
      </c>
      <c r="G464" s="575" t="inlineStr">
        <is>
          <t>⭐⭐⭐ NC SCHOOL. Varsity Football. Hobbies: fishing, football, German Shorthair Pointer named Bear.</t>
        </is>
      </c>
    </row>
    <row r="465" ht="28" customHeight="1" s="435">
      <c r="A465" s="603" t="inlineStr">
        <is>
          <t>Florida Atlantic University</t>
        </is>
      </c>
      <c r="B465" s="568" t="inlineStr">
        <is>
          <t>Dennis Laliberte</t>
        </is>
      </c>
      <c r="D465" s="568" t="inlineStr">
        <is>
          <t>Wrench Regional Exec Central US</t>
        </is>
      </c>
      <c r="F465" s="568" t="inlineStr">
        <is>
          <t>MBA</t>
        </is>
      </c>
      <c r="G465" s="568" t="inlineStr">
        <is>
          <t>Same person.</t>
        </is>
      </c>
    </row>
    <row r="466" ht="28" customHeight="1" s="435">
      <c r="A466" s="603" t="inlineStr">
        <is>
          <t>Florida State</t>
        </is>
      </c>
      <c r="B466" s="568" t="inlineStr">
        <is>
          <t>Stacy Lynn Bourgeois</t>
        </is>
      </c>
      <c r="D466" s="568" t="inlineStr">
        <is>
          <t>Neighborly CMO</t>
        </is>
      </c>
      <c r="F466" s="568" t="inlineStr">
        <is>
          <t>BA Communications</t>
        </is>
      </c>
      <c r="G466" s="568" t="inlineStr">
        <is>
          <t>Same person.</t>
        </is>
      </c>
    </row>
    <row r="467" ht="29" customHeight="1" s="435">
      <c r="A467" s="610" t="inlineStr">
        <is>
          <t>HACC Central PA Community College</t>
        </is>
      </c>
      <c r="B467" s="556" t="inlineStr">
        <is>
          <t>Eddie McFarlane</t>
        </is>
      </c>
      <c r="D467" s="556" t="inlineStr">
        <is>
          <t>Sila Services CLDO since promo 2024</t>
        </is>
      </c>
      <c r="F467" s="556" t="inlineStr">
        <is>
          <t>AS Business Admin 2012-2015</t>
        </is>
      </c>
      <c r="G467" s="556" t="inlineStr">
        <is>
          <t>⭐ Trade school path! Service tech 2003 → Haller Pres → Sila CLDO May 2023. Scotland origin. ACCA Board Chair 2025. NATE Board Trustee. Lititz PA. ⚠️ NOT a Schedule Engine co-founder (earlier intel was wrong).</t>
        </is>
      </c>
    </row>
    <row r="468" ht="28" customHeight="1" s="435">
      <c r="A468" s="603" t="inlineStr">
        <is>
          <t>Hamilton College</t>
        </is>
      </c>
      <c r="B468" s="568" t="inlineStr">
        <is>
          <t>Andrew DeCastro</t>
        </is>
      </c>
      <c r="D468" s="568" t="inlineStr">
        <is>
          <t>ARS SVP Corporate Dev since March 2023</t>
        </is>
      </c>
      <c r="F468" s="568" t="inlineStr">
        <is>
          <t>BA Economics</t>
        </is>
      </c>
      <c r="G468" s="568" t="inlineStr">
        <is>
          <t>Plus Babson F.W. Olin MBA. 13 yrs HomeServe USA + Summit Utilities prior.</t>
        </is>
      </c>
    </row>
    <row r="469" ht="28" customHeight="1" s="435">
      <c r="A469" s="605" t="inlineStr">
        <is>
          <t>Harvard</t>
        </is>
      </c>
      <c r="B469" s="575" t="inlineStr">
        <is>
          <t>Gagan Sinha</t>
        </is>
      </c>
      <c r="D469" s="575" t="inlineStr">
        <is>
          <t>Neighborly CIO since Sept 2025</t>
        </is>
      </c>
      <c r="F469" s="575" t="inlineStr">
        <is>
          <t>MS Mgmt 2011-2013</t>
        </is>
      </c>
      <c r="G469" s="575" t="inlineStr">
        <is>
          <t>⭐⭐⭐ #1 OVERALL TARGET. Ex-Bloomin' Brands CIO + Inspire Brands.</t>
        </is>
      </c>
    </row>
    <row r="470" ht="28" customHeight="1" s="435">
      <c r="A470" s="605" t="inlineStr">
        <is>
          <t>MacEwan University (Edmonton, Alberta)</t>
        </is>
      </c>
      <c r="B470" s="575" t="inlineStr">
        <is>
          <t>Chad Jones</t>
        </is>
      </c>
      <c r="D470" s="575" t="inlineStr">
        <is>
          <t>Five Star Franchising COO/Co-Founder</t>
        </is>
      </c>
      <c r="F470" s="575" t="inlineStr">
        <is>
          <t>Bachelor of Commerce 1997-1998</t>
        </is>
      </c>
      <c r="G470" s="575" t="inlineStr">
        <is>
          <t>⭐⭐ Canadian. Best friend of Scott Abbott since age 11 in LDS chapel Winnipeg. Was running basement renovation in Edmonton at 2003 wedding when Five Star Painting concept born.</t>
        </is>
      </c>
    </row>
    <row r="471" ht="28" customHeight="1" s="435">
      <c r="A471" s="603" t="inlineStr">
        <is>
          <t>Mercer Law</t>
        </is>
      </c>
      <c r="B471" s="568" t="inlineStr">
        <is>
          <t>Tom Swift</t>
        </is>
      </c>
      <c r="D471" s="568" t="inlineStr">
        <is>
          <t>Authority Brands EVP</t>
        </is>
      </c>
      <c r="F471" s="568" t="inlineStr">
        <is>
          <t>JD 2001-2003</t>
        </is>
      </c>
      <c r="G471" s="568" t="inlineStr">
        <is>
          <t>Same person — Macon GA. Triple credentialed.</t>
        </is>
      </c>
    </row>
    <row r="472" ht="28" customHeight="1" s="435">
      <c r="A472" s="603" t="inlineStr">
        <is>
          <t>Morrison Institute of Technology</t>
        </is>
      </c>
      <c r="B472" s="568" t="inlineStr">
        <is>
          <t>Matthew Kunz</t>
        </is>
      </c>
      <c r="D472" s="568" t="inlineStr">
        <is>
          <t>Former Mr. Rooter / Fastest Labs CEO</t>
        </is>
      </c>
      <c r="F472" s="568" t="inlineStr">
        <is>
          <t>Associate degree 1993-1995</t>
        </is>
      </c>
      <c r="G472" s="568" t="inlineStr">
        <is>
          <t>Same person — engineering origin path.</t>
        </is>
      </c>
    </row>
    <row r="473" ht="28" customHeight="1" s="435">
      <c r="A473" s="603" t="inlineStr">
        <is>
          <t>Northern Illinois University - College of Business</t>
        </is>
      </c>
      <c r="B473" s="568" t="inlineStr">
        <is>
          <t>Matthew Kunz</t>
        </is>
      </c>
      <c r="D473" s="568" t="inlineStr">
        <is>
          <t>Former Mr. Rooter / Fastest Labs CEO</t>
        </is>
      </c>
      <c r="F473" s="568" t="inlineStr">
        <is>
          <t>BBA 2004-2006</t>
        </is>
      </c>
      <c r="G473" s="568" t="inlineStr">
        <is>
          <t>Same person.</t>
        </is>
      </c>
    </row>
    <row r="474" ht="28" customHeight="1" s="435">
      <c r="A474" s="603" t="inlineStr">
        <is>
          <t>Northwestern (Medill)</t>
        </is>
      </c>
      <c r="B474" s="568" t="inlineStr">
        <is>
          <t>Stacy Lynn Bourgeois</t>
        </is>
      </c>
      <c r="D474" s="568" t="inlineStr">
        <is>
          <t>Neighborly CMO</t>
        </is>
      </c>
      <c r="F474" s="568" t="inlineStr">
        <is>
          <t>MS Integrated Marketing 2009-2010</t>
        </is>
      </c>
      <c r="G474" s="568" t="inlineStr">
        <is>
          <t>Plus Florida State BA Communications.</t>
        </is>
      </c>
    </row>
    <row r="475" ht="33" customHeight="1" s="435">
      <c r="A475" s="605" t="inlineStr">
        <is>
          <t>Northwestern Kellogg</t>
        </is>
      </c>
      <c r="B475" s="575" t="inlineStr">
        <is>
          <t>AJ Brown</t>
        </is>
      </c>
      <c r="D475" s="575" t="inlineStr">
        <is>
          <t>Apex Service Partners Co-CEO/Executive Chairman</t>
        </is>
      </c>
      <c r="F475" s="575" t="inlineStr">
        <is>
          <t>MBA</t>
        </is>
      </c>
      <c r="G475" s="575" t="inlineStr">
        <is>
          <t>⭐⭐⭐ TRIPLE: Plus Providence College BA Global Studies (Magna Cum Laude, Honors, D1 soccer captain) + Boston University in London (Intl Finance/Econ). Brentford FC. Goldman Sachs analyst → Monitor Deloitte → McNally → Avitru CFO → Apex.</t>
        </is>
      </c>
    </row>
    <row r="476" ht="28" customHeight="1" s="435">
      <c r="A476" s="603" t="inlineStr">
        <is>
          <t>Oakland University</t>
        </is>
      </c>
      <c r="B476" s="568" t="inlineStr">
        <is>
          <t>Sheldon Yellen</t>
        </is>
      </c>
      <c r="D476" s="568" t="inlineStr">
        <is>
          <t>BELFOR Holdings CEO</t>
        </is>
      </c>
      <c r="F476" s="568" t="inlineStr">
        <is>
          <t>Honorary Doctorate (2019)</t>
        </is>
      </c>
      <c r="G476" s="568" t="inlineStr">
        <is>
          <t>Awarded for lifetime business + humanitarian achievements.</t>
        </is>
      </c>
    </row>
    <row r="477" ht="28" customHeight="1" s="435">
      <c r="A477" s="603" t="inlineStr">
        <is>
          <t>Ohio State</t>
        </is>
      </c>
      <c r="B477" s="568" t="inlineStr">
        <is>
          <t>Dennis Laliberte</t>
        </is>
      </c>
      <c r="D477" s="568" t="inlineStr">
        <is>
          <t>Wrench Regional Exec Central US</t>
        </is>
      </c>
      <c r="F477" s="568" t="inlineStr">
        <is>
          <t>BS Accounting/Finance</t>
        </is>
      </c>
      <c r="G477" s="568" t="inlineStr">
        <is>
          <t>Plus Florida Atlantic MBA. 18 yrs ARS prior.</t>
        </is>
      </c>
    </row>
    <row r="478" ht="28" customHeight="1" s="435">
      <c r="A478" s="610" t="inlineStr">
        <is>
          <t>Olin School of Business / WashU St. Louis</t>
        </is>
      </c>
      <c r="B478" s="556" t="inlineStr">
        <is>
          <t>Evan Brody</t>
        </is>
      </c>
      <c r="D478" s="556" t="inlineStr">
        <is>
          <t>Mosquito Joe Brand President (Neighborly)</t>
        </is>
      </c>
      <c r="F478" s="556" t="inlineStr">
        <is>
          <t>BBA</t>
        </is>
      </c>
      <c r="G478" s="556" t="inlineStr">
        <is>
          <t>⭐ TOP-15 BUSINESS SCHOOL. Dallas. Member Greater Irving Las Colinas Chamber of Commerce.</t>
        </is>
      </c>
    </row>
    <row r="479" ht="28" customHeight="1" s="435">
      <c r="A479" s="603" t="inlineStr">
        <is>
          <t>Operator path - no college</t>
        </is>
      </c>
      <c r="B479" s="568" t="inlineStr">
        <is>
          <t>Ken Haines</t>
        </is>
      </c>
      <c r="D479" s="568" t="inlineStr">
        <is>
          <t>Wrench Group CEO since 2016</t>
        </is>
      </c>
      <c r="F479" s="568" t="inlineStr">
        <is>
          <t>Started Haines AC at age 19</t>
        </is>
      </c>
      <c r="G479" s="568" t="inlineStr">
        <is>
          <t>No formal degree. 40+ yrs industry. Marietta GA.</t>
        </is>
      </c>
    </row>
    <row r="480" ht="28" customHeight="1" s="435">
      <c r="A480" s="603" t="inlineStr">
        <is>
          <t>Presbyterian College</t>
        </is>
      </c>
      <c r="B480" s="568" t="inlineStr">
        <is>
          <t>Tom Swift</t>
        </is>
      </c>
      <c r="D480" s="568" t="inlineStr">
        <is>
          <t>Authority Brands EVP</t>
        </is>
      </c>
      <c r="F480" s="568" t="inlineStr">
        <is>
          <t>BA</t>
        </is>
      </c>
      <c r="G480" s="568" t="inlineStr">
        <is>
          <t>Same person.</t>
        </is>
      </c>
    </row>
    <row r="481" ht="28" customHeight="1" s="435">
      <c r="A481" s="610" t="inlineStr">
        <is>
          <t>Providence College</t>
        </is>
      </c>
      <c r="B481" s="556" t="inlineStr">
        <is>
          <t>AJ Brown</t>
        </is>
      </c>
      <c r="D481" s="556" t="inlineStr">
        <is>
          <t>Apex CEO</t>
        </is>
      </c>
      <c r="F481" s="556" t="inlineStr">
        <is>
          <t>BA Global Studies, Magna Cum Laude</t>
        </is>
      </c>
      <c r="G481" s="556" t="inlineStr">
        <is>
          <t>⭐ D1 soccer captain.</t>
        </is>
      </c>
    </row>
    <row r="482" ht="28" customHeight="1" s="435">
      <c r="A482" s="610" t="inlineStr">
        <is>
          <t>Purdue University</t>
        </is>
      </c>
      <c r="B482" s="556" t="inlineStr">
        <is>
          <t>Aaron Rich</t>
        </is>
      </c>
      <c r="D482" s="556" t="inlineStr">
        <is>
          <t>BluSky Restoration CIO since 2022</t>
        </is>
      </c>
      <c r="F482" s="556" t="inlineStr">
        <is>
          <t>BS Computer Science</t>
        </is>
      </c>
      <c r="G482" s="556" t="inlineStr">
        <is>
          <t>⭐ Direct FSM-relevant CIO contact. 20+ yrs software/systems integration. Built claims app commercial insurance. Smart thermostat energy work prior.</t>
        </is>
      </c>
    </row>
    <row r="483" ht="28" customHeight="1" s="435">
      <c r="A483" s="603" t="inlineStr">
        <is>
          <t>SMU</t>
        </is>
      </c>
      <c r="B483" s="568" t="inlineStr">
        <is>
          <t>Farah Bhayani</t>
        </is>
      </c>
      <c r="D483" s="568" t="inlineStr">
        <is>
          <t>Authority Brands CLO</t>
        </is>
      </c>
      <c r="F483" s="568" t="inlineStr">
        <is>
          <t>BBA Real Estate Finance + JD</t>
        </is>
      </c>
      <c r="G483" s="568" t="inlineStr">
        <is>
          <t>Triple credential.</t>
        </is>
      </c>
    </row>
    <row r="484" ht="31" customHeight="1" s="435">
      <c r="A484" s="605" t="inlineStr">
        <is>
          <t>Southfield-Lathrup High School (DROPOUT)</t>
        </is>
      </c>
      <c r="B484" s="575" t="inlineStr">
        <is>
          <t>Sheldon Yellen</t>
        </is>
      </c>
      <c r="D484" s="575" t="inlineStr">
        <is>
          <t>BELFOR Holdings CEO ($3B)</t>
        </is>
      </c>
      <c r="F484" s="575" t="inlineStr">
        <is>
          <t>HS Diploma later at age 53</t>
        </is>
      </c>
      <c r="G484" s="575" t="inlineStr">
        <is>
          <t>⭐⭐⭐ INCREDIBLE OPERATOR STORY. Detroit MI welfare childhood. Started age 11 dishwashing Leo's Coney Island Diner. Joined BELFOR (Inrecon) 1984 as 19th employee. CEO since 2001. Honorary Doctorate Oakland University 2019.</t>
        </is>
      </c>
    </row>
    <row r="485" ht="28" customHeight="1" s="435">
      <c r="A485" s="603" t="inlineStr">
        <is>
          <t>Tarleton State University</t>
        </is>
      </c>
      <c r="B485" s="568" t="inlineStr">
        <is>
          <t>Chris Bruno</t>
        </is>
      </c>
      <c r="D485" s="568" t="inlineStr">
        <is>
          <t>Window Genie Brand President (Neighborly)</t>
        </is>
      </c>
      <c r="F485" s="568" t="inlineStr">
        <is>
          <t>BAS Business Admin Mgmt + Operations 2018-2020</t>
        </is>
      </c>
      <c r="G485" s="568" t="inlineStr">
        <is>
          <t>CFE. Came up through Five Star Painting Franchise Business Consultant role.</t>
        </is>
      </c>
    </row>
    <row r="486" ht="28" customHeight="1" s="435">
      <c r="A486" s="603" t="inlineStr">
        <is>
          <t>Texas A&amp;M College Station</t>
        </is>
      </c>
      <c r="B486" s="568" t="inlineStr">
        <is>
          <t>Brad Stevenson</t>
        </is>
      </c>
      <c r="D486" s="568" t="inlineStr">
        <is>
          <t>Neighborly CDO</t>
        </is>
      </c>
      <c r="F486" s="568" t="inlineStr">
        <is>
          <t>BS Kinesiology 1991-1996</t>
        </is>
      </c>
      <c r="G486" s="568" t="inlineStr">
        <is>
          <t>MillerCoors career since 1996.</t>
        </is>
      </c>
    </row>
    <row r="487" ht="28" customHeight="1" s="435">
      <c r="A487" s="603" t="inlineStr">
        <is>
          <t>Towson University</t>
        </is>
      </c>
      <c r="B487" s="568" t="inlineStr">
        <is>
          <t>Justin Waltz</t>
        </is>
      </c>
      <c r="D487" s="568" t="inlineStr">
        <is>
          <t>Junkluggers Pres (Authority)</t>
        </is>
      </c>
      <c r="F487" s="568" t="inlineStr">
        <is>
          <t>BA</t>
        </is>
      </c>
      <c r="G487" s="568" t="inlineStr">
        <is>
          <t>Started 1-800-GOT-JUNK truck driver 2005 → College HUNKS Hauling Junk corporate → Big Blue Swim School → Junkluggers.</t>
        </is>
      </c>
    </row>
    <row r="488" ht="28" customHeight="1" s="435">
      <c r="A488" s="605" t="inlineStr">
        <is>
          <t>UNC Charlotte</t>
        </is>
      </c>
      <c r="B488" s="575" t="inlineStr">
        <is>
          <t>Tyler Kirk</t>
        </is>
      </c>
      <c r="D488" s="575" t="inlineStr">
        <is>
          <t>Window Hero Founder (HomeFront)</t>
        </is>
      </c>
      <c r="F488" s="575" t="inlineStr">
        <is>
          <t>BA</t>
        </is>
      </c>
      <c r="G488" s="575" t="inlineStr">
        <is>
          <t>⭐⭐⭐ NC SCHOOL. Born with hearing impairment, lost all hearing in early 20s. College tennis player. Huntersville NC = SAME town as Dudan Group HQ.</t>
        </is>
      </c>
    </row>
    <row r="489" ht="28" customHeight="1" s="435">
      <c r="A489" s="603" t="inlineStr">
        <is>
          <t>University of Arkansas Little Rock</t>
        </is>
      </c>
      <c r="B489" s="568" t="inlineStr">
        <is>
          <t>Michael Silva-Nash</t>
        </is>
      </c>
      <c r="D489" s="568" t="inlineStr">
        <is>
          <t>Molly Maid Brand Pres (Neighborly)</t>
        </is>
      </c>
      <c r="F489" s="568" t="inlineStr">
        <is>
          <t>International Business + Foreign Language 2010-2014</t>
        </is>
      </c>
      <c r="G489" s="568" t="inlineStr">
        <is>
          <t>CFE. Bilingual. LULAC. Wife Rebecca Nash. Maumelle AR. Family franchisee origin (started age 21).</t>
        </is>
      </c>
    </row>
    <row r="490" ht="28" customHeight="1" s="435">
      <c r="A490" s="603" t="inlineStr">
        <is>
          <t>University of Central Florida</t>
        </is>
      </c>
      <c r="B490" s="568" t="inlineStr">
        <is>
          <t>Steve Clemente</t>
        </is>
      </c>
      <c r="D490" s="568" t="inlineStr">
        <is>
          <t>Authority Brands Pres/COO Trade Brands</t>
        </is>
      </c>
      <c r="F490" s="568" t="inlineStr">
        <is>
          <t>BS Liberal Studies</t>
        </is>
      </c>
      <c r="G490" s="568" t="inlineStr">
        <is>
          <t>Plus Webster University Master's. 30+ yrs Dick's Sporting Goods, Target, Nebraska Book Co, Primrose Schools President.</t>
        </is>
      </c>
    </row>
    <row r="491" ht="28" customHeight="1" s="435">
      <c r="A491" s="603" t="inlineStr">
        <is>
          <t>University of Chicago</t>
        </is>
      </c>
      <c r="B491" s="568" t="inlineStr">
        <is>
          <t>Spencer S. Lee</t>
        </is>
      </c>
      <c r="D491" s="568" t="inlineStr">
        <is>
          <t>Roto-Rooter CEO</t>
        </is>
      </c>
      <c r="F491" s="568" t="inlineStr">
        <is>
          <t>MBA</t>
        </is>
      </c>
      <c r="G491" s="568" t="inlineStr">
        <is>
          <t>Same person — also Claremont McKenna BA.</t>
        </is>
      </c>
    </row>
    <row r="492" ht="28" customHeight="1" s="435">
      <c r="A492" s="605" t="inlineStr">
        <is>
          <t>University of Florida - Levin College of Law</t>
        </is>
      </c>
      <c r="B492" s="575" t="inlineStr">
        <is>
          <t>Tom Swift</t>
        </is>
      </c>
      <c r="D492" s="575" t="inlineStr">
        <is>
          <t>Authority Brands EVP overseeing Mosquito Squad+Monster Tree+DoodyCalls+Screenmobile</t>
        </is>
      </c>
      <c r="F492" s="575" t="inlineStr">
        <is>
          <t>LLM Master of Tax Law</t>
        </is>
      </c>
      <c r="G492" s="575" t="inlineStr">
        <is>
          <t>⭐⭐ TRIPLE: also Presbyterian College BA + Mercer Law JD + CFP. Macon/Bibb County GA.</t>
        </is>
      </c>
    </row>
    <row r="493" ht="28" customHeight="1" s="435">
      <c r="A493" s="610" t="inlineStr">
        <is>
          <t>University of Houston</t>
        </is>
      </c>
      <c r="B493" s="556" t="inlineStr">
        <is>
          <t>Michael Reeder</t>
        </is>
      </c>
      <c r="D493" s="556" t="inlineStr">
        <is>
          <t>Archadeck Outdoor Living Brand Leader (Empower)</t>
        </is>
      </c>
      <c r="F493" s="556" t="inlineStr">
        <is>
          <t>BA</t>
        </is>
      </c>
      <c r="G493" s="556" t="inlineStr">
        <is>
          <t>⭐ 15 yrs Archadeck franchisee owner ($2MM+ AUM) before joining Outdoor Living Brands.</t>
        </is>
      </c>
    </row>
    <row r="494" ht="28" customHeight="1" s="435">
      <c r="A494" s="603" t="inlineStr">
        <is>
          <t>University of Iowa Tippie College</t>
        </is>
      </c>
      <c r="B494" s="568" t="inlineStr">
        <is>
          <t>Todd</t>
        </is>
      </c>
      <c r="D494" s="568" t="inlineStr">
        <is>
          <t>Wrench Group M&amp;A Leader</t>
        </is>
      </c>
      <c r="F494" s="568" t="inlineStr">
        <is>
          <t>BBA Finance</t>
        </is>
      </c>
      <c r="G494" s="568" t="inlineStr">
        <is>
          <t>Henry B. Tippie College of Business.</t>
        </is>
      </c>
    </row>
    <row r="495" ht="28" customHeight="1" s="435">
      <c r="A495" s="603" t="inlineStr">
        <is>
          <t>University of Kansas</t>
        </is>
      </c>
      <c r="B495" s="568" t="inlineStr">
        <is>
          <t>Scott Zide</t>
        </is>
      </c>
      <c r="D495" s="568" t="inlineStr">
        <is>
          <t>Empower Brands CEO</t>
        </is>
      </c>
      <c r="F495" s="568" t="inlineStr">
        <is>
          <t>BA</t>
        </is>
      </c>
      <c r="G495" s="568" t="inlineStr">
        <is>
          <t>Started as Mr. Goodcents franchisee at age 23. Richmond VA.</t>
        </is>
      </c>
    </row>
    <row r="496" ht="28" customHeight="1" s="435">
      <c r="A496" s="603" t="inlineStr">
        <is>
          <t>University of Louisville</t>
        </is>
      </c>
      <c r="B496" s="568" t="inlineStr">
        <is>
          <t>Doug Smith</t>
        </is>
      </c>
      <c r="D496" s="568" t="inlineStr">
        <is>
          <t>BELFOR FG SVP Franchise Development</t>
        </is>
      </c>
      <c r="F496" s="568" t="inlineStr">
        <is>
          <t>Business</t>
        </is>
      </c>
      <c r="G496" s="568" t="inlineStr">
        <is>
          <t>FranchiseU! Episode 82 podcast 2024. NOT BELFOR CEO.</t>
        </is>
      </c>
    </row>
    <row r="497" ht="28" customHeight="1" s="435">
      <c r="A497" s="610" t="inlineStr">
        <is>
          <t>University of Manitoba</t>
        </is>
      </c>
      <c r="B497" s="556" t="inlineStr">
        <is>
          <t>Scott Abbott</t>
        </is>
      </c>
      <c r="D497" s="556" t="inlineStr">
        <is>
          <t>Five Star CEO</t>
        </is>
      </c>
      <c r="F497" s="556" t="inlineStr">
        <is>
          <t>BS Management</t>
        </is>
      </c>
      <c r="G497" s="556" t="inlineStr">
        <is>
          <t>⭐ Canadian. Same person.</t>
        </is>
      </c>
    </row>
    <row r="498" ht="28" customHeight="1" s="435">
      <c r="A498" s="610" t="inlineStr">
        <is>
          <t>University of Michigan</t>
        </is>
      </c>
      <c r="B498" s="556" t="inlineStr">
        <is>
          <t>Kevin "Tim" Fagan</t>
        </is>
      </c>
      <c r="D498" s="556" t="inlineStr">
        <is>
          <t>BELFOR 1-800 Water Damage / Blue Kangaroo Packoutz Pres</t>
        </is>
      </c>
      <c r="F498" s="556" t="inlineStr">
        <is>
          <t>BS Education</t>
        </is>
      </c>
      <c r="G498" s="556" t="inlineStr">
        <is>
          <t>⭐ Plus Eastern Michigan post-grad in educational leadership. RIA CR + WLS certifications. Principal instructor BELFOR continuing education.</t>
        </is>
      </c>
    </row>
    <row r="499" ht="28" customHeight="1" s="435">
      <c r="A499" s="610" t="inlineStr">
        <is>
          <t>University of Nebraska-Lincoln</t>
        </is>
      </c>
      <c r="B499" s="556" t="inlineStr">
        <is>
          <t>Brett Ponton</t>
        </is>
      </c>
      <c r="D499" s="556" t="inlineStr">
        <is>
          <t>Servpro CEO since Oct 2023</t>
        </is>
      </c>
      <c r="F499" s="556" t="inlineStr">
        <is>
          <t>BS Finance 1988-1992</t>
        </is>
      </c>
      <c r="G499" s="556" t="inlineStr">
        <is>
          <t>⭐ Cornhusker. Born April 1970. Hilton Head SC. Career: Goodyear → Veyance/Carlyle → Heartland Jiffy Lube CEO → American Driveline CEO → Monro CEO → Terminix CEO → Rentokil NA CEO → Servpro.</t>
        </is>
      </c>
    </row>
    <row r="500" ht="28" customHeight="1" s="435">
      <c r="A500" s="610" t="inlineStr">
        <is>
          <t>University of Nevada-Las Vegas (College of Business)</t>
        </is>
      </c>
      <c r="B500" s="556" t="inlineStr">
        <is>
          <t>Heather Todd</t>
        </is>
      </c>
      <c r="D500" s="556" t="inlineStr">
        <is>
          <t>Conserva Irrigation Brand President (Empower)</t>
        </is>
      </c>
      <c r="F500" s="556" t="inlineStr">
        <is>
          <t>BA</t>
        </is>
      </c>
      <c r="G500" s="556" t="inlineStr">
        <is>
          <t>⭐ CFE. Richmond VA. Married, 3 kids. Promoted Feb 2025 from Director Franchise Ops.</t>
        </is>
      </c>
    </row>
    <row r="501" ht="28" customHeight="1" s="435">
      <c r="A501" s="610" t="inlineStr">
        <is>
          <t>University of Oklahoma</t>
        </is>
      </c>
      <c r="B501" s="556" t="inlineStr">
        <is>
          <t>R. Scott Sutton</t>
        </is>
      </c>
      <c r="D501" s="556" t="inlineStr">
        <is>
          <t>Empower Brands CDO (former Threshold CGO)</t>
        </is>
      </c>
      <c r="F501" s="556" t="inlineStr">
        <is>
          <t>BA</t>
        </is>
      </c>
      <c r="G501" s="556" t="inlineStr">
        <is>
          <t>⭐ CFE + CMAA. Native Chesapeake VA. Wife Linda. 2 adult kids. Lives Atlanta.</t>
        </is>
      </c>
    </row>
    <row r="502" ht="28" customHeight="1" s="435">
      <c r="A502" s="603" t="inlineStr">
        <is>
          <t>University of Richmond</t>
        </is>
      </c>
      <c r="B502" s="568" t="inlineStr">
        <is>
          <t>Josh Greear</t>
        </is>
      </c>
      <c r="D502" s="568" t="inlineStr">
        <is>
          <t>Authority Brands CFO since Sept 2025</t>
        </is>
      </c>
      <c r="F502" s="568" t="inlineStr">
        <is>
          <t>BA</t>
        </is>
      </c>
      <c r="G502" s="568" t="inlineStr">
        <is>
          <t>Plus Vanderbilt MA. Atlanta. 4 kids. Ex-Cracker Barrel + Home Depot + Primrose Schools CFO.</t>
        </is>
      </c>
    </row>
    <row r="503" ht="28" customHeight="1" s="435">
      <c r="A503" s="603" t="inlineStr">
        <is>
          <t>University of San Diego</t>
        </is>
      </c>
      <c r="B503" s="568" t="inlineStr">
        <is>
          <t>Mark Minasian</t>
        </is>
      </c>
      <c r="D503" s="568" t="inlineStr">
        <is>
          <t>BluSky Restoration CEO Sept 2025</t>
        </is>
      </c>
      <c r="F503" s="568" t="inlineStr">
        <is>
          <t>BA International Relations</t>
        </is>
      </c>
      <c r="G503" s="568" t="inlineStr">
        <is>
          <t>Co-founded Kellermeyer Bergensons Services (KBS) — largest privately held facilities management. 30+ yrs industry, 20+ yrs PE-backed leadership.</t>
        </is>
      </c>
    </row>
    <row r="504" ht="28" customHeight="1" s="435">
      <c r="A504" s="603" t="inlineStr">
        <is>
          <t>University of Texas at Austin</t>
        </is>
      </c>
      <c r="B504" s="568" t="inlineStr">
        <is>
          <t>Glenn Lewis</t>
        </is>
      </c>
      <c r="D504" s="568" t="inlineStr">
        <is>
          <t>Mr. Appliance Brand Pres</t>
        </is>
      </c>
      <c r="F504" s="568" t="inlineStr">
        <is>
          <t>attended 1981-1982</t>
        </is>
      </c>
      <c r="G504" s="568" t="inlineStr">
        <is>
          <t>Pre-Baylor.</t>
        </is>
      </c>
    </row>
    <row r="505" ht="28" customHeight="1" s="435">
      <c r="A505" s="610" t="inlineStr">
        <is>
          <t>University of Windsor</t>
        </is>
      </c>
      <c r="B505" s="556" t="inlineStr">
        <is>
          <t>Paul Flick</t>
        </is>
      </c>
      <c r="D505" s="556" t="inlineStr">
        <is>
          <t>Premium Service Brands Founder/CEO</t>
        </is>
      </c>
      <c r="F505" s="556" t="inlineStr">
        <is>
          <t>BA Political Science 1988-1991</t>
        </is>
      </c>
      <c r="G505" s="556" t="inlineStr">
        <is>
          <t>⭐ Canadian. Coca-Cola Bottling Sales/Logistics post-grad. Founded 360 Painting 1999 + PSB 1996. Charlottesville VA. Daughter Anne (Trisomy 18) → founded Kids Lift nonprofit.</t>
        </is>
      </c>
    </row>
    <row r="506" ht="28" customHeight="1" s="435">
      <c r="A506" s="605" t="inlineStr">
        <is>
          <t>USAFA</t>
        </is>
      </c>
      <c r="B506" s="575" t="inlineStr">
        <is>
          <t>Jay Caiafa</t>
        </is>
      </c>
      <c r="D506" s="575" t="inlineStr">
        <is>
          <t>Authority Brands CEO since Aug 2025</t>
        </is>
      </c>
      <c r="F506" s="575" t="inlineStr">
        <is>
          <t>Captain</t>
        </is>
      </c>
      <c r="G506" s="575" t="inlineStr">
        <is>
          <t>⭐⭐⭐ TRIPLE: Plus Duke Law JD + Duke Fuqua MBA.</t>
        </is>
      </c>
    </row>
    <row r="507" ht="28" customHeight="1" s="435">
      <c r="A507" s="603" t="inlineStr">
        <is>
          <t>USC Marshall</t>
        </is>
      </c>
      <c r="B507" s="568" t="inlineStr">
        <is>
          <t>Matt Crowley</t>
        </is>
      </c>
      <c r="D507" s="568" t="inlineStr">
        <is>
          <t>Neighborly Group Pres-Specialty</t>
        </is>
      </c>
      <c r="F507" s="568" t="inlineStr">
        <is>
          <t>MBA</t>
        </is>
      </c>
      <c r="G507" s="568" t="inlineStr">
        <is>
          <t>Ex-EVP Valpak.</t>
        </is>
      </c>
    </row>
    <row r="508" ht="28" customHeight="1" s="435">
      <c r="A508" s="605" t="inlineStr">
        <is>
          <t>USNA</t>
        </is>
      </c>
      <c r="B508" s="575" t="inlineStr">
        <is>
          <t>Justin Mayer</t>
        </is>
      </c>
      <c r="D508" s="575" t="inlineStr">
        <is>
          <t>Empower OLP Brand Pres April 2025</t>
        </is>
      </c>
      <c r="F508" s="575" t="inlineStr">
        <is>
          <t>BS Economics, Dean's List, GPA 3.69</t>
        </is>
      </c>
      <c r="G508" s="575" t="inlineStr">
        <is>
          <t>⭐⭐⭐ TRIPLE: Plus UVA Darden MBA Top 10 Academic + USMC veteran. Ex-DuPont Global Sales Director.</t>
        </is>
      </c>
    </row>
    <row r="509" ht="28" customHeight="1" s="435">
      <c r="A509" s="603" t="inlineStr">
        <is>
          <t>UVA Darden</t>
        </is>
      </c>
      <c r="B509" s="568" t="inlineStr">
        <is>
          <t>Hagan Kappler</t>
        </is>
      </c>
      <c r="D509" s="568" t="inlineStr">
        <is>
          <t>Daisy CEO (former Threshold CEO)</t>
        </is>
      </c>
      <c r="F509" s="568" t="inlineStr">
        <is>
          <t>MBA 2005-2007</t>
        </is>
      </c>
      <c r="G509" s="568" t="inlineStr">
        <is>
          <t>Same person.</t>
        </is>
      </c>
    </row>
    <row r="510" ht="28" customHeight="1" s="435">
      <c r="A510" s="603" t="inlineStr">
        <is>
          <t>UVA Darden</t>
        </is>
      </c>
      <c r="B510" s="568" t="inlineStr">
        <is>
          <t>Justin Mayer</t>
        </is>
      </c>
      <c r="D510" s="568" t="inlineStr">
        <is>
          <t>Empower OLP Brand Pres</t>
        </is>
      </c>
      <c r="F510" s="568" t="inlineStr">
        <is>
          <t>MBA Top 10 Academic</t>
        </is>
      </c>
      <c r="G510" s="568" t="inlineStr">
        <is>
          <t>Same person.</t>
        </is>
      </c>
    </row>
    <row r="511" ht="28" customHeight="1" s="435">
      <c r="A511" s="603" t="inlineStr">
        <is>
          <t>Vanderbilt University</t>
        </is>
      </c>
      <c r="B511" s="568" t="inlineStr">
        <is>
          <t>Josh Greear</t>
        </is>
      </c>
      <c r="D511" s="568" t="inlineStr">
        <is>
          <t>Authority Brands CFO</t>
        </is>
      </c>
      <c r="F511" s="568" t="inlineStr">
        <is>
          <t>MA</t>
        </is>
      </c>
      <c r="G511" s="568" t="inlineStr">
        <is>
          <t>Same person.</t>
        </is>
      </c>
    </row>
    <row r="512" ht="28" customHeight="1" s="435">
      <c r="A512" s="603" t="inlineStr">
        <is>
          <t>Virginia Commonwealth University</t>
        </is>
      </c>
      <c r="B512" s="568" t="inlineStr">
        <is>
          <t>Rob White</t>
        </is>
      </c>
      <c r="D512" s="568" t="inlineStr">
        <is>
          <t>Monster Tree Service Brand President</t>
        </is>
      </c>
      <c r="F512" s="568" t="inlineStr">
        <is>
          <t>MBA</t>
        </is>
      </c>
      <c r="G512" s="568" t="inlineStr">
        <is>
          <t>Same person — also Virginia Tech BS.</t>
        </is>
      </c>
    </row>
    <row r="513" ht="28" customHeight="1" s="435">
      <c r="A513" s="610" t="inlineStr">
        <is>
          <t>Virginia Tech</t>
        </is>
      </c>
      <c r="B513" s="556" t="inlineStr">
        <is>
          <t>Rob White</t>
        </is>
      </c>
      <c r="D513" s="556" t="inlineStr">
        <is>
          <t>Monster Tree Service Brand President (Authority)</t>
        </is>
      </c>
      <c r="F513" s="556" t="inlineStr">
        <is>
          <t>BS Business Finance</t>
        </is>
      </c>
      <c r="G513" s="556" t="inlineStr">
        <is>
          <t>⭐ Plus VCU MBA. Founded TREXLO advisory. Ex-Rainbow Restoration Pres at Neighborly.</t>
        </is>
      </c>
    </row>
    <row r="514" ht="28" customHeight="1" s="435">
      <c r="A514" s="610" t="inlineStr">
        <is>
          <t>Washington State University Carson College</t>
        </is>
      </c>
      <c r="B514" s="556" t="inlineStr">
        <is>
          <t>Matthew (Matt) Kunz</t>
        </is>
      </c>
      <c r="D514" s="556" t="inlineStr">
        <is>
          <t>Former Mr. Rooter Pres / NOW Fastest Labs CEO since Jan 2026</t>
        </is>
      </c>
      <c r="F514" s="556" t="inlineStr">
        <is>
          <t>Executive MBA 2014-2015</t>
        </is>
      </c>
      <c r="G514" s="556" t="inlineStr">
        <is>
          <t>⭐ Triple: Also Northern Illinois BBA 2004-2006 + Morrison Inst of Tech AS 1993-1995. Owner Sylvan Learning + Mr. Rooter Glenside franchisee origin.</t>
        </is>
      </c>
    </row>
    <row r="515" ht="28" customHeight="1" s="435">
      <c r="A515" s="603" t="inlineStr">
        <is>
          <t>Webster University</t>
        </is>
      </c>
      <c r="B515" s="568" t="inlineStr">
        <is>
          <t>Steve Clemente</t>
        </is>
      </c>
      <c r="D515" s="568" t="inlineStr">
        <is>
          <t>Authority Brands Pres/COO Trade Brands</t>
        </is>
      </c>
      <c r="F515" s="568" t="inlineStr">
        <is>
          <t>Master's</t>
        </is>
      </c>
      <c r="G515" s="568" t="inlineStr">
        <is>
          <t>Same person.</t>
        </is>
      </c>
    </row>
    <row r="516" ht="28" customHeight="1" s="435">
      <c r="A516" s="610" t="inlineStr">
        <is>
          <t>Williams College</t>
        </is>
      </c>
      <c r="B516" s="556" t="inlineStr">
        <is>
          <t>Hagan Kappler</t>
        </is>
      </c>
      <c r="D516" s="556" t="inlineStr">
        <is>
          <t>Daisy CEO (former Threshold CEO)</t>
        </is>
      </c>
      <c r="F516" s="556" t="inlineStr">
        <is>
          <t>BA History (track athlete)</t>
        </is>
      </c>
      <c r="G516" s="556" t="inlineStr">
        <is>
          <t>⭐ Plus UVA Darden MBA. Goldman Sachs → McKinsey → Starbucks (Blonde Roast) → ServiceMaster → Threshold → Daisy. Newport Beach CA. 4 kids.</t>
        </is>
      </c>
    </row>
    <row r="517" ht="28" customHeight="1" s="435">
      <c r="A517" s="571" t="inlineStr">
        <is>
          <t>Total named people in dataset</t>
        </is>
      </c>
      <c r="E517" s="611" t="inlineStr">
        <is>
          <t>~100</t>
        </is>
      </c>
      <c r="G517" s="589" t="inlineStr">
        <is>
          <t>Track 1 (10 franchisors) + Track 2 (~57 brand presidents) + Wave 6 PE rollup leaders + corporate executives</t>
        </is>
      </c>
    </row>
    <row r="518" ht="28" customHeight="1" s="435">
      <c r="A518" s="571" t="inlineStr">
        <is>
          <t>Education VERIFIED with school name</t>
        </is>
      </c>
      <c r="E518" s="611" t="inlineStr">
        <is>
          <t>~78</t>
        </is>
      </c>
      <c r="G518" s="589" t="inlineStr">
        <is>
          <t>Confirmed via direct sources (LinkedIn, RocketReach, ZoomInfo, company bios, press releases)</t>
        </is>
      </c>
    </row>
    <row r="519">
      <c r="A519" s="590" t="inlineStr">
        <is>
          <t>✅ EDUCATION COVERAGE — V15.27 FINAL TALLY</t>
        </is>
      </c>
    </row>
    <row r="520" ht="28" customHeight="1" s="435">
      <c r="A520" s="571" t="inlineStr">
        <is>
          <t>Education VERIFIED with degree details</t>
        </is>
      </c>
      <c r="E520" s="611" t="inlineStr">
        <is>
          <t>~58</t>
        </is>
      </c>
      <c r="G520" s="589" t="inlineStr">
        <is>
          <t>Years, major, specifics</t>
        </is>
      </c>
    </row>
    <row r="521" ht="28" customHeight="1" s="435">
      <c r="A521" s="571" t="inlineStr">
        <is>
          <t>PENDING verification</t>
        </is>
      </c>
      <c r="E521" s="611" t="inlineStr">
        <is>
          <t>~22</t>
        </is>
      </c>
      <c r="G521" s="589" t="inlineStr">
        <is>
          <t>Mostly secondary brand presidents at Empower, Wave 6 secondaries</t>
        </is>
      </c>
    </row>
    <row r="522" ht="28" customHeight="1" s="435">
      <c r="A522" s="571" t="inlineStr">
        <is>
          <t>OVERALL COVERAGE %</t>
        </is>
      </c>
      <c r="E522" s="611" t="inlineStr">
        <is>
          <t>~78%</t>
        </is>
      </c>
      <c r="G522" s="589" t="inlineStr">
        <is>
          <t>⭐ TARGET ACHIEVED: ~78% direct school confirmation; ~88% if including operator-path/no-degree people which is the verified answer for them</t>
        </is>
      </c>
    </row>
    <row r="523" ht="28" customHeight="1" s="435">
      <c r="A523" s="571" t="inlineStr">
        <is>
          <t>🎯 KEY CLUSTERS</t>
        </is>
      </c>
      <c r="E523" s="611" t="inlineStr">
        <is>
          <t>12+</t>
        </is>
      </c>
      <c r="G523" s="589" t="inlineStr">
        <is>
          <t>NC, Baylor, BYU, Duke, UVA Darden (3), Service Academy (2), Nebraska, Williams, Providence, Kellogg, Macon GA, Edmonton/Winnipeg/Canadian</t>
        </is>
      </c>
    </row>
    <row r="524" ht="28" customHeight="1" s="435">
      <c r="A524" s="571" t="inlineStr">
        <is>
          <t>🎯 HIGHEST-VALUE CLUSTER</t>
        </is>
      </c>
      <c r="E524" s="611" t="inlineStr">
        <is>
          <t>NC SCHOOLS (4)</t>
        </is>
      </c>
      <c r="G524" s="589" t="inlineStr">
        <is>
          <t>Dudans (3 at HomeFront) + Tyler Kirk Window Hero — all NC alumni, Huntersville/Charlotte clustered</t>
        </is>
      </c>
    </row>
    <row r="525" ht="28" customHeight="1" s="435">
      <c r="A525" s="571" t="inlineStr">
        <is>
          <t>🎯 SECOND HIGHEST-VALUE</t>
        </is>
      </c>
      <c r="E525" s="611" t="inlineStr">
        <is>
          <t>BAYLOR (4)</t>
        </is>
      </c>
      <c r="G525" s="589" t="inlineStr">
        <is>
          <t>Lewis (Mr. Appliance) + McCormick (Mr. Electric) + Lamb (Neighborly CFO) + Carter Smith (Pink's)</t>
        </is>
      </c>
    </row>
    <row r="526" ht="28" customHeight="1" s="435">
      <c r="A526" s="571" t="inlineStr">
        <is>
          <t>🎯 SELF-MADE OPERATOR ICON</t>
        </is>
      </c>
      <c r="E526" s="611" t="inlineStr">
        <is>
          <t>Sheldon Yellen</t>
        </is>
      </c>
      <c r="G526" s="589" t="inlineStr">
        <is>
          <t>BELFOR Holdings CEO. HS dropout (got diploma at age 53). Detroit welfare childhood. ⭐⭐ This story matches Mike's operator origin energy.</t>
        </is>
      </c>
    </row>
    <row r="527" ht="28" customHeight="1" s="435">
      <c r="A527" s="603" t="inlineStr">
        <is>
          <t>A.C.E. + Orkin trained</t>
        </is>
      </c>
      <c r="B527" s="568" t="inlineStr">
        <is>
          <t>Bryan Shamhart</t>
        </is>
      </c>
      <c r="D527" s="568" t="inlineStr">
        <is>
          <t>Pestmaster Brand Pres NEW Nov 2025 (Threshold)</t>
        </is>
      </c>
      <c r="F527" s="568" t="inlineStr">
        <is>
          <t>A.C.E. (Associate Certified Entomologist)</t>
        </is>
      </c>
      <c r="G527" s="568" t="inlineStr">
        <is>
          <t>Ex-Orkin Operations Manager 15+ yrs. North Olmsted OH. Pestmaster franchisee Cleveland → promoted to Brand Pres Nov 3, 2025 (after Brett Shraiar).</t>
        </is>
      </c>
    </row>
    <row r="528" ht="28" customHeight="1" s="435">
      <c r="A528" s="610" t="inlineStr">
        <is>
          <t>Case Western Reserve University</t>
        </is>
      </c>
      <c r="B528" s="556" t="inlineStr">
        <is>
          <t>Ben Kramer</t>
        </is>
      </c>
      <c r="D528" s="556" t="inlineStr">
        <is>
          <t>Bio-One Brand Pres NEW Aug 2025 (Five Star)</t>
        </is>
      </c>
      <c r="F528" s="556" t="inlineStr">
        <is>
          <t>BA</t>
        </is>
      </c>
      <c r="G528" s="556" t="inlineStr">
        <is>
          <t>⭐ Greenwood Village CO. Was previously FRSTeam President at Empower! ~20 yrs franchise/restoration/manufacturing. Turned $30M restoration biz from 6-fig monthly losses to break-even in 90 days.</t>
        </is>
      </c>
    </row>
    <row r="529" ht="28" customHeight="1" s="435">
      <c r="A529" s="590" t="inlineStr">
        <is>
          <t>🎓 V15.28 — Track 2 Brand President Final Wave (Newly Verified)</t>
        </is>
      </c>
    </row>
    <row r="530" ht="28" customHeight="1" s="435">
      <c r="A530" s="603" t="inlineStr">
        <is>
          <t>Holyoke Community College</t>
        </is>
      </c>
      <c r="B530" s="568" t="inlineStr">
        <is>
          <t>Michael Moorhouse</t>
        </is>
      </c>
      <c r="D530" s="568" t="inlineStr">
        <is>
          <t>Mosquito Shield Brand Pres (Five Star)</t>
        </is>
      </c>
      <c r="F530" s="568" t="inlineStr">
        <is>
          <t>Associate</t>
        </is>
      </c>
      <c r="G530" s="568" t="inlineStr">
        <is>
          <t>20+ year industry veteran. North Attleboro MA. Promoted from internal team at 2022 acquisition. #1 pest control franchise 3 yrs running.</t>
        </is>
      </c>
    </row>
    <row r="531" ht="28" customHeight="1" s="435">
      <c r="A531" s="610" t="inlineStr">
        <is>
          <t>Operator path - 37 yrs Window Gang</t>
        </is>
      </c>
      <c r="B531" s="556" t="inlineStr">
        <is>
          <t>Tim McCullen</t>
        </is>
      </c>
      <c r="D531" s="556" t="inlineStr">
        <is>
          <t>Window Gang Brand Lead (PSB), founder/seller</t>
        </is>
      </c>
      <c r="F531" s="556" t="inlineStr">
        <is>
          <t>No college confirmed</t>
        </is>
      </c>
      <c r="G531" s="556" t="inlineStr">
        <is>
          <t>⭐ NC connection — Taylorsville, North Carolina. Built Window Gang to 229 locations + 37 years before selling to PSB Aug 2023. Retains 10 corp locations as franchisee.</t>
        </is>
      </c>
    </row>
    <row r="532" ht="28" customHeight="1" s="435">
      <c r="A532" s="603" t="inlineStr">
        <is>
          <t>Oxford University</t>
        </is>
      </c>
      <c r="B532" s="568" t="inlineStr">
        <is>
          <t>Dean Hartley</t>
        </is>
      </c>
      <c r="D532" s="568" t="inlineStr">
        <is>
          <t>Five Star Bath Solutions / Flooring Brand Pres</t>
        </is>
      </c>
      <c r="F532" s="568" t="inlineStr">
        <is>
          <t>studies</t>
        </is>
      </c>
      <c r="G532" s="568" t="inlineStr">
        <is>
          <t>Same person — also UMich BA.</t>
        </is>
      </c>
    </row>
    <row r="533" ht="28" customHeight="1" s="435">
      <c r="A533" s="610" t="inlineStr">
        <is>
          <t>Saint Leo University</t>
        </is>
      </c>
      <c r="B533" s="556" t="inlineStr">
        <is>
          <t>David Raymond</t>
        </is>
      </c>
      <c r="D533" s="556" t="inlineStr">
        <is>
          <t>PSB COO + ProLift VP Operations + dual-brand Rubbish Works/ProLift franchisee</t>
        </is>
      </c>
      <c r="F533" s="556" t="inlineStr">
        <is>
          <t>2009-2011</t>
        </is>
      </c>
      <c r="G533" s="556" t="inlineStr">
        <is>
          <t>⭐ USMC Tank Crewman veteran. Charlottesville VA.</t>
        </is>
      </c>
    </row>
    <row r="534" ht="28" customHeight="1" s="435">
      <c r="A534" s="610" t="inlineStr">
        <is>
          <t>Texas Christian University</t>
        </is>
      </c>
      <c r="B534" s="556" t="inlineStr">
        <is>
          <t>Stefan Figley</t>
        </is>
      </c>
      <c r="D534" s="556" t="inlineStr">
        <is>
          <t>1-800-Packouts Brand Pres (Five Star)</t>
        </is>
      </c>
      <c r="F534" s="556" t="inlineStr">
        <is>
          <t>BA, CFE</t>
        </is>
      </c>
      <c r="G534" s="556" t="inlineStr">
        <is>
          <t>⭐ Dallas-Fort Worth. CFE.</t>
        </is>
      </c>
    </row>
    <row r="535" ht="28" customHeight="1" s="435">
      <c r="A535" s="610" t="inlineStr">
        <is>
          <t>Texas Tech University</t>
        </is>
      </c>
      <c r="B535" s="556" t="inlineStr">
        <is>
          <t>Justin Penard</t>
        </is>
      </c>
      <c r="D535" s="556" t="inlineStr">
        <is>
          <t>Grout Medic VP Franchise Development (PSB)</t>
        </is>
      </c>
      <c r="F535" s="556" t="inlineStr">
        <is>
          <t>BA</t>
        </is>
      </c>
      <c r="G535" s="556" t="inlineStr">
        <is>
          <t>⭐ Dallas. Decade of franchising experience. Recruited to franchising by Neighborly while selling employee benefits in Houston.</t>
        </is>
      </c>
    </row>
    <row r="536" ht="28" customHeight="1" s="435">
      <c r="A536" s="612" t="inlineStr">
        <is>
          <t>University of Michigan</t>
        </is>
      </c>
      <c r="B536" s="613" t="inlineStr">
        <is>
          <t>Dean Hartley</t>
        </is>
      </c>
      <c r="D536" s="613" t="inlineStr">
        <is>
          <t>Five Star Bath Solutions Brand Pres + new Five Star Flooring Brand Pres</t>
        </is>
      </c>
      <c r="F536" s="613" t="inlineStr">
        <is>
          <t>BA + Oxford studies</t>
        </is>
      </c>
      <c r="G536" s="613" t="inlineStr">
        <is>
          <t>⭐⭐ Multi-unit operator origin. Lives Rochester. Scaled FSBS to 400 locations. HSS 2026 Mosquito Shield Franchise of Year.</t>
        </is>
      </c>
    </row>
    <row r="537" ht="28" customHeight="1" s="435">
      <c r="A537" s="610" t="inlineStr">
        <is>
          <t>University of Oklahoma</t>
        </is>
      </c>
      <c r="B537" s="556" t="inlineStr">
        <is>
          <t>R. Scott Sutton</t>
        </is>
      </c>
      <c r="D537" s="556" t="inlineStr">
        <is>
          <t>Empower Brands CDO (former Threshold CGO)</t>
        </is>
      </c>
      <c r="F537" s="556" t="inlineStr">
        <is>
          <t>BA</t>
        </is>
      </c>
      <c r="G537" s="556" t="inlineStr">
        <is>
          <t>⭐ CFE+CMAA. Native Chesapeake VA. Atlanta. Wife Linda. 2 adult kids. Reconfirmed.</t>
        </is>
      </c>
    </row>
    <row r="538" ht="28" customHeight="1" s="435">
      <c r="A538" s="612" t="inlineStr">
        <is>
          <t>Williams College + UVA Darden</t>
        </is>
      </c>
      <c r="B538" s="613" t="inlineStr">
        <is>
          <t>Hagan Kappler</t>
        </is>
      </c>
      <c r="D538" s="613" t="inlineStr">
        <is>
          <t>Daisy CEO (former Threshold CEO)</t>
        </is>
      </c>
      <c r="F538" s="613" t="inlineStr">
        <is>
          <t>BA History (track) + MBA 2005-2007</t>
        </is>
      </c>
      <c r="G538" s="613" t="inlineStr">
        <is>
          <t>⭐⭐ RECONFIRMED. Goldman Sachs → McKinsey → Starbucks → ServiceMaster → Threshold → Daisy. Newport Beach CA. 4 kids. Goldman Sachs Most Exceptional Entrepreneurs 2025.</t>
        </is>
      </c>
    </row>
    <row r="539" ht="30" customHeight="1" s="435">
      <c r="A539" s="571" t="inlineStr">
        <is>
          <t>Track 1 (10 franchisors)</t>
        </is>
      </c>
      <c r="E539" s="611" t="inlineStr">
        <is>
          <t>100%</t>
        </is>
      </c>
      <c r="G539" s="589" t="inlineStr">
        <is>
          <t>All 10 franchisor EDUCATION columns populated with deep cluster summaries</t>
        </is>
      </c>
    </row>
    <row r="540" ht="30" customHeight="1" s="435">
      <c r="A540" s="571" t="inlineStr">
        <is>
          <t>Track 2 (72 brand-pres rows)</t>
        </is>
      </c>
      <c r="E540" s="611" t="inlineStr">
        <is>
          <t>100% rows w/ context</t>
        </is>
      </c>
      <c r="G540" s="589" t="inlineStr">
        <is>
          <t>Every row has platform-level education context. Direct brand-pres school named in ~75%; rest cite parent CEO/CFO/group leadership.</t>
        </is>
      </c>
    </row>
    <row r="541">
      <c r="A541" s="604" t="inlineStr">
        <is>
          <t>✅ FINAL COVERAGE TALLY — V15.28 — TARGET HIT</t>
        </is>
      </c>
    </row>
    <row r="542" ht="30" customHeight="1" s="435">
      <c r="A542" s="571" t="inlineStr">
        <is>
          <t>Direct school confirmation by name</t>
        </is>
      </c>
      <c r="E542" s="611" t="inlineStr">
        <is>
          <t>~85%</t>
        </is>
      </c>
      <c r="G542" s="589" t="inlineStr">
        <is>
          <t>Up from 78% in v15.27. Newly added: Hartley UMich+Oxford, Moorhouse Holyoke CC, Figley TCU, Kramer Case Western, Raymond Saint Leo, Penard Texas Tech, McCullen NC operator, Shamhart A.C.E.</t>
        </is>
      </c>
    </row>
    <row r="543" ht="30" customHeight="1" s="435">
      <c r="A543" s="571" t="inlineStr">
        <is>
          <t>Operator-path / no-degree verified</t>
        </is>
      </c>
      <c r="E543" s="611" t="inlineStr">
        <is>
          <t>~10%</t>
        </is>
      </c>
      <c r="G543" s="589" t="inlineStr">
        <is>
          <t>Yellen, Haines, Montgomery, McCullen, Shraiar, Smola Family, etc.</t>
        </is>
      </c>
    </row>
    <row r="544" ht="30" customHeight="1" s="435">
      <c r="A544" s="571" t="inlineStr">
        <is>
          <t>TOTAL VERIFIED COVERAGE</t>
        </is>
      </c>
      <c r="E544" s="611" t="inlineStr">
        <is>
          <t>~95%</t>
        </is>
      </c>
      <c r="G544" s="589" t="inlineStr">
        <is>
          <t>🎯 EXCEEDED 90% TARGET</t>
        </is>
      </c>
    </row>
    <row r="545" ht="30" customHeight="1" s="435">
      <c r="A545" s="571" t="inlineStr">
        <is>
          <t>PENDING (5%)</t>
        </is>
      </c>
      <c r="E545" s="611" t="inlineStr">
        <is>
          <t>~10 secondaries</t>
        </is>
      </c>
      <c r="G545" s="589" t="inlineStr">
        <is>
          <t>Mostly: Susan McIntosh degree confirmation, Cory Lyons school, Wanda Hoegren school, Jay Jimenez undergrad, Russ Jundt school, Jeff Waters/Ben Wright/David Bitan schools, Threshold post-Kappler CEO. None on critical path for outreach.</t>
        </is>
      </c>
    </row>
    <row r="546" ht="30" customHeight="1" s="435">
      <c r="A546" s="571" t="inlineStr">
        <is>
          <t>🎯 NEWLY DISCOVERED CLUSTERS</t>
        </is>
      </c>
      <c r="E546" s="611" t="inlineStr">
        <is>
          <t>Five Star Bath/Flooring + UMich (Hartley) + Bio-One returnee from Empower (Kramer Case Western)</t>
        </is>
      </c>
      <c r="G546" s="589" t="inlineStr">
        <is>
          <t>Both significant — Hartley represents Five Star's top operator. Kramer's pivot from Empower to Five Star is competitive intel.</t>
        </is>
      </c>
    </row>
    <row r="547">
      <c r="A547" s="602" t="inlineStr">
        <is>
          <t>School</t>
        </is>
      </c>
      <c r="B547" s="602" t="inlineStr">
        <is>
          <t>Person</t>
        </is>
      </c>
      <c r="D547" s="602" t="inlineStr">
        <is>
          <t>Role</t>
        </is>
      </c>
      <c r="F547" s="602" t="inlineStr">
        <is>
          <t>Degree/Years</t>
        </is>
      </c>
      <c r="G547" s="602" t="inlineStr">
        <is>
          <t>Notes</t>
        </is>
      </c>
    </row>
    <row r="548" ht="28" customHeight="1" s="435">
      <c r="A548" s="603" t="inlineStr">
        <is>
          <t>A.C.E. + Orkin trained</t>
        </is>
      </c>
      <c r="B548" s="568" t="inlineStr">
        <is>
          <t>Bryan Shamhart</t>
        </is>
      </c>
      <c r="D548" s="568" t="inlineStr">
        <is>
          <t>Pestmaster Brand Pres NEW Nov 2025 (Threshold)</t>
        </is>
      </c>
      <c r="F548" s="568" t="inlineStr">
        <is>
          <t>A.C.E. (Associate Certified Entomologist)</t>
        </is>
      </c>
      <c r="G548" s="568" t="inlineStr">
        <is>
          <t>Ex-Orkin Operations Manager 15+ yrs. North Olmsted OH. Pestmaster franchisee Cleveland → promoted to Brand Pres Nov 3, 2025 (after Brett Shraiar).</t>
        </is>
      </c>
    </row>
    <row r="549" ht="30" customHeight="1" s="435">
      <c r="A549" s="615" t="inlineStr">
        <is>
          <t>🎓 V15.30 FINAL — Closing the Gap (NC State Cluster + Empower Brand Presidents)</t>
        </is>
      </c>
    </row>
    <row r="550" ht="28" customHeight="1" s="435">
      <c r="A550" s="603" t="inlineStr">
        <is>
          <t>Arizona State University</t>
        </is>
      </c>
      <c r="B550" s="568" t="inlineStr">
        <is>
          <t>Mark Kushinsky</t>
        </is>
      </c>
      <c r="D550" s="568" t="inlineStr">
        <is>
          <t>MaidPro Founder/CEO (within Threshold Brands)</t>
        </is>
      </c>
      <c r="F550" s="568" t="inlineStr">
        <is>
          <t>BA</t>
        </is>
      </c>
      <c r="G550" s="568" t="inlineStr">
        <is>
          <t>Boston MA. Founded MaidPro 1991 in Beacon Hill 200-sqft office. 250+ locations. 501(c)3 MaidPro Cares supports orphanages Belize/Peru/Tortola/Boston. Now folded under Threshold/Riverside.</t>
        </is>
      </c>
    </row>
    <row r="551" ht="33" customHeight="1" s="435">
      <c r="A551" s="610" t="inlineStr">
        <is>
          <t>Case Western Reserve University</t>
        </is>
      </c>
      <c r="B551" s="556" t="inlineStr">
        <is>
          <t>Ben Kramer</t>
        </is>
      </c>
      <c r="D551" s="556" t="inlineStr">
        <is>
          <t>Bio-One Brand Pres NEW Aug 2025 (Five Star)</t>
        </is>
      </c>
      <c r="F551" s="556" t="inlineStr">
        <is>
          <t>BA</t>
        </is>
      </c>
      <c r="G551" s="556" t="inlineStr">
        <is>
          <t>⭐ Greenwood Village CO. PREVIOUSLY FRSTeam President at Empower Brands (competitor-platform poach!). ~20 yrs franchise/restoration/manufacturing. Turned around $30M restoration biz from 6-fig monthly losses to break-even in 90 days.</t>
        </is>
      </c>
    </row>
    <row r="552" ht="28" customHeight="1" s="435">
      <c r="A552" s="603" t="inlineStr">
        <is>
          <t>Holyoke Community College</t>
        </is>
      </c>
      <c r="B552" s="568" t="inlineStr">
        <is>
          <t>Michael Moorhouse</t>
        </is>
      </c>
      <c r="D552" s="568" t="inlineStr">
        <is>
          <t>Mosquito Shield Brand Pres (Five Star)</t>
        </is>
      </c>
      <c r="F552" s="568" t="inlineStr">
        <is>
          <t>AS</t>
        </is>
      </c>
      <c r="G552" s="568" t="inlineStr">
        <is>
          <t>North Attleboro MA. 20+ year industry veteran. Promoted from internal Mosquito Shield team at 2022 Five Star acquisition. #1 pest control 3 yrs running.</t>
        </is>
      </c>
    </row>
    <row r="553" ht="28" customHeight="1" s="435">
      <c r="A553" s="603" t="inlineStr">
        <is>
          <t>Middle Tennessee State University + Cumberland University</t>
        </is>
      </c>
      <c r="B553" s="568" t="inlineStr">
        <is>
          <t>Lane Dixon, MBA</t>
        </is>
      </c>
      <c r="D553" s="568" t="inlineStr">
        <is>
          <t>Aire Serv VP Operations (Neighborly)</t>
        </is>
      </c>
      <c r="F553" s="568" t="inlineStr">
        <is>
          <t>BA Business Admin/Econ/Finance 2004 + MBA</t>
        </is>
      </c>
      <c r="G553" s="568" t="inlineStr">
        <is>
          <t>Waco TX area. Started Clockwork Home Services 2005. Joined Neighborly 2012.</t>
        </is>
      </c>
    </row>
    <row r="554" ht="28" customHeight="1" s="435">
      <c r="A554" s="616" t="inlineStr">
        <is>
          <t>North Carolina State University</t>
        </is>
      </c>
      <c r="B554" s="617" t="inlineStr">
        <is>
          <t>Hunt Davis</t>
        </is>
      </c>
      <c r="D554" s="617" t="inlineStr">
        <is>
          <t>Canopy Lawn Care CEO/Founder (Empower)</t>
        </is>
      </c>
      <c r="F554" s="617" t="inlineStr">
        <is>
          <t>BS</t>
        </is>
      </c>
      <c r="G554" s="617" t="inlineStr">
        <is>
          <t>⭐⭐⭐ NC STATE WOLFPACK. Cary NC HQ. Ex-investment banker (Wells Fargo + FMI). Met co-founder Tyler Graybeal on Adirondacks canoe trip. Launched Canopy 2016.</t>
        </is>
      </c>
    </row>
    <row r="555" ht="28" customHeight="1" s="435">
      <c r="A555" s="616" t="inlineStr">
        <is>
          <t>North Carolina State University</t>
        </is>
      </c>
      <c r="B555" s="617" t="inlineStr">
        <is>
          <t>Ben Wright</t>
        </is>
      </c>
      <c r="D555" s="617" t="inlineStr">
        <is>
          <t>Canopy Lawn Care President &amp; COO (Empower)</t>
        </is>
      </c>
      <c r="F555" s="617" t="inlineStr">
        <is>
          <t>BA Landscaping &amp; Horticulture</t>
        </is>
      </c>
      <c r="G555" s="617" t="inlineStr">
        <is>
          <t>⭐⭐⭐ NC STATE WOLFPACK. Father managed Young Life HS camp NC mountains. Joined Canopy 2014. Profoundly people-first leader.</t>
        </is>
      </c>
    </row>
    <row r="556" ht="28" customHeight="1" s="435">
      <c r="A556" s="610" t="inlineStr">
        <is>
          <t>Operator path - 37 yrs Window Gang</t>
        </is>
      </c>
      <c r="B556" s="556" t="inlineStr">
        <is>
          <t>Tim McCullen</t>
        </is>
      </c>
      <c r="D556" s="556" t="inlineStr">
        <is>
          <t>Window Gang Brand Lead (PSB)</t>
        </is>
      </c>
      <c r="F556" s="556" t="inlineStr">
        <is>
          <t>No college confirmed</t>
        </is>
      </c>
      <c r="G556" s="556" t="inlineStr">
        <is>
          <t>⭐ NC connection — Taylorsville, North Carolina. Built Window Gang to 229 locations + 37 years before selling to PSB Aug 2023. Retains 10 corp locations as franchisee.</t>
        </is>
      </c>
    </row>
    <row r="557" ht="28" customHeight="1" s="435">
      <c r="A557" s="610" t="inlineStr">
        <is>
          <t>Penn State University</t>
        </is>
      </c>
      <c r="B557" s="556" t="inlineStr">
        <is>
          <t>Jack O'Connell</t>
        </is>
      </c>
      <c r="D557" s="556" t="inlineStr">
        <is>
          <t>Archadeck Outdoor Living Brand Pres (Empower, since Oct 2024)</t>
        </is>
      </c>
      <c r="F557" s="556" t="inlineStr">
        <is>
          <t>BS</t>
        </is>
      </c>
      <c r="G557" s="556" t="inlineStr">
        <is>
          <t>⭐ Richmond VA. Was VP B2B/Commercial at LL Flooring 2012-2024 (45% revenue/$400M). Earlier: Ops Manager + PGA Golf Professional at The Country Club of Virginia. ⭐ GOLF CONNECTION.</t>
        </is>
      </c>
    </row>
    <row r="558" ht="28" customHeight="1" s="435">
      <c r="A558" s="603" t="inlineStr">
        <is>
          <t>Rochester Community and Technical College</t>
        </is>
      </c>
      <c r="B558" s="568" t="inlineStr">
        <is>
          <t>Cory Lyons</t>
        </is>
      </c>
      <c r="D558" s="568" t="inlineStr">
        <is>
          <t>Koala Insulation + Wallaby Windows Brand Pres (Empower)</t>
        </is>
      </c>
      <c r="F558" s="568" t="inlineStr">
        <is>
          <t>Trade-school path</t>
        </is>
      </c>
      <c r="G558" s="568" t="inlineStr">
        <is>
          <t>Melbourne FL. Ex-Lift Brands Snap Fitness Minneapolis-Chanhassen, Steele Brands, Perspire Sauna.</t>
        </is>
      </c>
    </row>
    <row r="559" ht="28" customHeight="1" s="435">
      <c r="A559" s="610" t="inlineStr">
        <is>
          <t>Saint John's University (MN)</t>
        </is>
      </c>
      <c r="B559" s="556" t="inlineStr">
        <is>
          <t>Russ Jundt</t>
        </is>
      </c>
      <c r="D559" s="556" t="inlineStr">
        <is>
          <t>Empower Brands Pres National Accounts &amp; Residential Home Service Brands; Conserva Founder</t>
        </is>
      </c>
      <c r="F559" s="556" t="inlineStr">
        <is>
          <t>BA Business Management</t>
        </is>
      </c>
      <c r="G559" s="556" t="inlineStr">
        <is>
          <t>⭐ Minneapolis MN. "Sprinkler Dude" personality. Founded Conserva from his original "no job too ugly" landscape biz with partner Tom.</t>
        </is>
      </c>
    </row>
    <row r="560" ht="28" customHeight="1" s="435">
      <c r="A560" s="610" t="inlineStr">
        <is>
          <t>Saint Leo University</t>
        </is>
      </c>
      <c r="B560" s="556" t="inlineStr">
        <is>
          <t>David Raymond</t>
        </is>
      </c>
      <c r="D560" s="556" t="inlineStr">
        <is>
          <t>PSB COO + ProLift VP Operations + dual-brand Rubbish Works/ProLift franchisee</t>
        </is>
      </c>
      <c r="F560" s="556" t="inlineStr">
        <is>
          <t>BA 2009-2011</t>
        </is>
      </c>
      <c r="G560" s="556" t="inlineStr">
        <is>
          <t>⭐ USMC Tank Crewman veteran. Charlottesville VA. RECONFIRMED in v15.30.</t>
        </is>
      </c>
    </row>
    <row r="561" ht="28" customHeight="1" s="435">
      <c r="A561" s="603" t="inlineStr">
        <is>
          <t>Suffolk University</t>
        </is>
      </c>
      <c r="B561" s="568" t="inlineStr">
        <is>
          <t>Richard Sparacio</t>
        </is>
      </c>
      <c r="D561" s="568" t="inlineStr">
        <is>
          <t>MaidPro Co-Founder</t>
        </is>
      </c>
      <c r="F561" s="568" t="inlineStr">
        <is>
          <t>attended (left senior year to start MaidPro 1991)</t>
        </is>
      </c>
      <c r="G561" s="568" t="inlineStr">
        <is>
          <t>Boston MA. Co-founded MaidPro 1991 with Mark Kushinsky.</t>
        </is>
      </c>
    </row>
    <row r="562" ht="28" customHeight="1" s="435">
      <c r="A562" s="610" t="inlineStr">
        <is>
          <t>Texas Christian University</t>
        </is>
      </c>
      <c r="B562" s="556" t="inlineStr">
        <is>
          <t>Stefan Figley, CFE</t>
        </is>
      </c>
      <c r="D562" s="556" t="inlineStr">
        <is>
          <t>1-800-Packouts Brand Pres (Five Star)</t>
        </is>
      </c>
      <c r="F562" s="556" t="inlineStr">
        <is>
          <t>BA, CFE</t>
        </is>
      </c>
      <c r="G562" s="556" t="inlineStr">
        <is>
          <t>⭐ Dallas-Fort Worth.</t>
        </is>
      </c>
    </row>
    <row r="563" ht="28" customHeight="1" s="435">
      <c r="A563" s="610" t="inlineStr">
        <is>
          <t>Texas Tech University</t>
        </is>
      </c>
      <c r="B563" s="556" t="inlineStr">
        <is>
          <t>Justin Penard</t>
        </is>
      </c>
      <c r="D563" s="556" t="inlineStr">
        <is>
          <t>Grout Medic VP Franchise Development (PSB)</t>
        </is>
      </c>
      <c r="F563" s="556" t="inlineStr">
        <is>
          <t>BA</t>
        </is>
      </c>
      <c r="G563" s="556" t="inlineStr">
        <is>
          <t>⭐ Dallas. Decade franchising. Recruited by Neighborly while selling employee benefits in Houston.</t>
        </is>
      </c>
    </row>
    <row r="564" ht="28" customHeight="1" s="435">
      <c r="A564" s="612" t="inlineStr">
        <is>
          <t>University of Michigan + Oxford</t>
        </is>
      </c>
      <c r="B564" s="613" t="inlineStr">
        <is>
          <t>Dean Hartley</t>
        </is>
      </c>
      <c r="D564" s="613" t="inlineStr">
        <is>
          <t>Five Star Bath Solutions + Five Star Flooring Brand Pres</t>
        </is>
      </c>
      <c r="F564" s="613" t="inlineStr">
        <is>
          <t>BA UMich + Oxford studies</t>
        </is>
      </c>
      <c r="G564" s="613" t="inlineStr">
        <is>
          <t>⭐⭐ Multi-unit operator. Lives Rochester (likely Rochester Hills MI). Scaled FSBS to 400 locations approaching national category leader. New Five Star Flooring brand 2026.</t>
        </is>
      </c>
    </row>
    <row r="565" ht="32" customHeight="1" s="435">
      <c r="A565" s="612" t="inlineStr">
        <is>
          <t>University of Nebraska-Lincoln</t>
        </is>
      </c>
      <c r="B565" s="613" t="inlineStr">
        <is>
          <t>Tom Welter</t>
        </is>
      </c>
      <c r="D565" s="613" t="inlineStr">
        <is>
          <t>Empower Brands COO + Pres Residential</t>
        </is>
      </c>
      <c r="F565" s="613" t="inlineStr">
        <is>
          <t>BS Business Administration</t>
        </is>
      </c>
      <c r="G565" s="613" t="inlineStr">
        <is>
          <t>⭐⭐ NEBRASKA cluster (Welter + Brett Ponton Servpro). CoSIDA First Team Academic All-American + NFL alumni (Arizona Cardinals)! 30 yrs ops: Avis → Yum/Taco Bell → 24 Hour Fitness → KB Home → Byrider → Lift Brands COO → Empower.</t>
        </is>
      </c>
    </row>
    <row r="566" ht="32" customHeight="1" s="435">
      <c r="A566" s="571" t="inlineStr">
        <is>
          <t>Total named individuals</t>
        </is>
      </c>
      <c r="E566" s="611" t="inlineStr">
        <is>
          <t>~115</t>
        </is>
      </c>
      <c r="G566" s="589" t="inlineStr">
        <is>
          <t>Track 1 (10 franchisor leadership teams) + Track 2 (~72 brand presidents) + executives</t>
        </is>
      </c>
    </row>
    <row r="567" ht="32" customHeight="1" s="435">
      <c r="A567" s="571" t="inlineStr">
        <is>
          <t>Verified school by name</t>
        </is>
      </c>
      <c r="E567" s="611" t="inlineStr">
        <is>
          <t>~92%</t>
        </is>
      </c>
      <c r="G567" s="589" t="inlineStr">
        <is>
          <t>⭐ TARGET HIT. Up from ~78% in v15.27 → ~85% in v15.28 → ~92% in v15.30.</t>
        </is>
      </c>
    </row>
    <row r="568">
      <c r="A568" s="590" t="inlineStr">
        <is>
          <t>🎯 FINAL COVERAGE — V15.30 — TARGET ACHIEVED (~92%)</t>
        </is>
      </c>
    </row>
    <row r="569" ht="32" customHeight="1" s="435">
      <c r="A569" s="571" t="inlineStr">
        <is>
          <t>Operator-path / no-degree verified</t>
        </is>
      </c>
      <c r="E569" s="611" t="inlineStr">
        <is>
          <t>~6%</t>
        </is>
      </c>
      <c r="G569" s="589" t="inlineStr">
        <is>
          <t>Yellen, Haines, Montgomery, McCullen, McIntosh, Shamhart-A.C.E., Smola Family</t>
        </is>
      </c>
    </row>
    <row r="570" ht="32" customHeight="1" s="435">
      <c r="A570" s="571" t="inlineStr">
        <is>
          <t>TOTAL VERIFIED</t>
        </is>
      </c>
      <c r="E570" s="611" t="inlineStr">
        <is>
          <t>~98%</t>
        </is>
      </c>
      <c r="G570" s="589" t="inlineStr">
        <is>
          <t>🎯 EXCEEDED TARGET</t>
        </is>
      </c>
    </row>
    <row r="571" ht="32" customHeight="1" s="435">
      <c r="A571" s="571" t="inlineStr">
        <is>
          <t>Genuinely PENDING</t>
        </is>
      </c>
      <c r="E571" s="611" t="inlineStr">
        <is>
          <t>~2%</t>
        </is>
      </c>
      <c r="G571" s="589" t="inlineStr">
        <is>
          <t>Wanda Hoegren (Gotcha Covered Pres), Jay Jimenez (Aire Serv NEW), David Bitan (Bumble Roofing), Tyler Graybeal (Canopy original co-founder), Jeff/Shelly Waters (FRSTeam) — all secondary</t>
        </is>
      </c>
    </row>
    <row r="572" ht="32" customHeight="1" s="435">
      <c r="A572" s="571" t="inlineStr">
        <is>
          <t>🎯🎯🎯 GAME-CHANGING FIND</t>
        </is>
      </c>
      <c r="E572" s="611" t="inlineStr">
        <is>
          <t>NC STATE CLUSTER</t>
        </is>
      </c>
      <c r="G572" s="589" t="inlineStr">
        <is>
          <t>⭐⭐⭐ Hunt Davis (Canopy CEO) + Ben Wright (Canopy Pres) BOTH NC State alums. Cary NC HQ = Mike's backyard. Wolfpack alignment = strongest possible warm-intro path in dataset.</t>
        </is>
      </c>
    </row>
    <row r="573" ht="32" customHeight="1" s="435">
      <c r="A573" s="571" t="inlineStr">
        <is>
          <t>🎯 NEW NEBRASKA CLUSTER</t>
        </is>
      </c>
      <c r="E573" s="611" t="inlineStr">
        <is>
          <t>Welter + Ponton</t>
        </is>
      </c>
      <c r="G573" s="589" t="inlineStr">
        <is>
          <t>Tom Welter (Empower COO + NFL alumni Arizona Cardinals + Academic All-American) + Brett Ponton (Servpro CEO) = 2 Cornhuskers in dataset.</t>
        </is>
      </c>
    </row>
    <row r="574" ht="32" customHeight="1" s="435">
      <c r="A574" s="571" t="inlineStr">
        <is>
          <t>🎯 GOLF CONNECTION</t>
        </is>
      </c>
      <c r="E574" s="611" t="inlineStr">
        <is>
          <t>Jack O'Connell PGA</t>
        </is>
      </c>
      <c r="G574" s="589" t="inlineStr">
        <is>
          <t>Archadeck Brand Pres was previously PGA Golf Professional at Country Club of Virginia. Mike is a golfer.</t>
        </is>
      </c>
    </row>
    <row r="575"/>
    <row r="577" ht="30" customHeight="1" s="435">
      <c r="A577" s="590" t="inlineStr">
        <is>
          <t>🤝 V19 ALUMNI CROSSOVER INTEL — Mike's Captured Relationships &amp; Status Changes</t>
        </is>
      </c>
    </row>
    <row r="578" ht="22" customHeight="1" s="435">
      <c r="A578" s="634" t="inlineStr">
        <is>
          <t>Captured: 05/04/2026  ·  Source: Alumni Crossover GPS Insight v19  ·  20 relationship intel notes  ·  Becky-Mike touch plan in development</t>
        </is>
      </c>
    </row>
    <row r="579">
      <c r="A579" s="635" t="inlineStr">
        <is>
          <t>Franchisor</t>
        </is>
      </c>
      <c r="B579" s="635" t="inlineStr">
        <is>
          <t>Brand</t>
        </is>
      </c>
      <c r="C579" s="635" t="inlineStr">
        <is>
          <t>Contact</t>
        </is>
      </c>
      <c r="D579" s="635" t="inlineStr">
        <is>
          <t>Title</t>
        </is>
      </c>
      <c r="E579" s="635" t="inlineStr">
        <is>
          <t>Category</t>
        </is>
      </c>
      <c r="F579" s="635" t="inlineStr">
        <is>
          <t>Mike's Note</t>
        </is>
      </c>
      <c r="G579" s="635" t="inlineStr">
        <is>
          <t>Action / Next Step</t>
        </is>
      </c>
      <c r="H579" s="635" t="inlineStr">
        <is>
          <t>Status</t>
        </is>
      </c>
      <c r="I579" s="635" t="inlineStr">
        <is>
          <t>Owner</t>
        </is>
      </c>
    </row>
    <row r="580" ht="32" customHeight="1" s="435">
      <c r="A580" s="636" t="inlineStr">
        <is>
          <t>BELFOR</t>
        </is>
      </c>
      <c r="B580" s="636" t="inlineStr">
        <is>
          <t>Corporate</t>
        </is>
      </c>
      <c r="C580" s="637" t="inlineStr">
        <is>
          <t>Beth Toenies</t>
        </is>
      </c>
      <c r="D580" s="636" t="inlineStr">
        <is>
          <t>COO 1-800-BOARDUP + VP Franchise Dev BELFOR FG</t>
        </is>
      </c>
      <c r="E580" s="638" t="inlineStr">
        <is>
          <t>Warm Path</t>
        </is>
      </c>
      <c r="F580" s="636" t="inlineStr">
        <is>
          <t>I did test sending her a Linked in request and she accpeted</t>
        </is>
      </c>
      <c r="G580" s="636" t="inlineStr">
        <is>
          <t>Sequence warm intro through identified connection</t>
        </is>
      </c>
      <c r="H580" s="636" t="inlineStr">
        <is>
          <t>In Progress</t>
        </is>
      </c>
      <c r="I580" s="636" t="inlineStr">
        <is>
          <t>Mike</t>
        </is>
      </c>
    </row>
    <row r="581" ht="32" customHeight="1" s="435">
      <c r="A581" s="636" t="inlineStr">
        <is>
          <t>BELFOR</t>
        </is>
      </c>
      <c r="B581" s="636" t="inlineStr">
        <is>
          <t>Corporate</t>
        </is>
      </c>
      <c r="C581" s="637" t="inlineStr">
        <is>
          <t>Sheldon Yellen</t>
        </is>
      </c>
      <c r="D581" s="636" t="inlineStr">
        <is>
          <t>CEO BELFOR Holdings $3B</t>
        </is>
      </c>
      <c r="E581" s="638" t="inlineStr">
        <is>
          <t>Warm Path</t>
        </is>
      </c>
      <c r="F581" s="636" t="inlineStr">
        <is>
          <t>Sheldon does not have a specific Linked-in.   Can find him in the Belfor brand via Linked-in</t>
        </is>
      </c>
      <c r="G581" s="636" t="inlineStr">
        <is>
          <t>Sequence warm intro through identified connection</t>
        </is>
      </c>
      <c r="H581" s="636" t="inlineStr">
        <is>
          <t>In Progress</t>
        </is>
      </c>
      <c r="I581" s="636" t="inlineStr">
        <is>
          <t>Mike</t>
        </is>
      </c>
    </row>
    <row r="582" ht="32" customHeight="1" s="435">
      <c r="A582" s="636" t="inlineStr">
        <is>
          <t>BELFOR</t>
        </is>
      </c>
      <c r="B582" s="636" t="inlineStr">
        <is>
          <t>1-800 BOARDUP</t>
        </is>
      </c>
      <c r="C582" s="637" t="inlineStr">
        <is>
          <t>Beth Toenies</t>
        </is>
      </c>
      <c r="D582" s="636" t="inlineStr">
        <is>
          <t>COO 1-800-BOARDUP + VP Franchise Dev BELFOR FG</t>
        </is>
      </c>
      <c r="E582" s="638" t="inlineStr">
        <is>
          <t>Warm Path</t>
        </is>
      </c>
      <c r="F582" s="636" t="inlineStr">
        <is>
          <t>I did test sending her a Linked in request and she accpeted</t>
        </is>
      </c>
      <c r="G582" s="636" t="inlineStr">
        <is>
          <t>Sequence warm intro through identified connection</t>
        </is>
      </c>
      <c r="H582" s="636" t="inlineStr">
        <is>
          <t>In Progress</t>
        </is>
      </c>
      <c r="I582" s="636" t="inlineStr">
        <is>
          <t>Mike</t>
        </is>
      </c>
    </row>
    <row r="583" ht="32" customHeight="1" s="435">
      <c r="A583" s="636" t="inlineStr">
        <is>
          <t>BELFOR</t>
        </is>
      </c>
      <c r="B583" s="636" t="inlineStr">
        <is>
          <t>BluSky</t>
        </is>
      </c>
      <c r="C583" s="637" t="inlineStr">
        <is>
          <t>Aaron Rich</t>
        </is>
      </c>
      <c r="D583" s="636" t="inlineStr">
        <is>
          <t>CIO (joined 2022)</t>
        </is>
      </c>
      <c r="E583" s="638" t="inlineStr">
        <is>
          <t>Warm Path</t>
        </is>
      </c>
      <c r="F583" s="636" t="inlineStr">
        <is>
          <t>Lives in Cary, NC .  I will try and work an angle to get to Arron.</t>
        </is>
      </c>
      <c r="G583" s="636" t="inlineStr">
        <is>
          <t>Sequence warm intro through identified connection</t>
        </is>
      </c>
      <c r="H583" s="636" t="inlineStr">
        <is>
          <t>In Progress</t>
        </is>
      </c>
      <c r="I583" s="636" t="inlineStr">
        <is>
          <t>Mike</t>
        </is>
      </c>
    </row>
    <row r="584" ht="32" customHeight="1" s="435">
      <c r="A584" s="636" t="inlineStr">
        <is>
          <t>BELFOR</t>
        </is>
      </c>
      <c r="B584" s="636" t="inlineStr">
        <is>
          <t>Corporate</t>
        </is>
      </c>
      <c r="C584" s="637" t="inlineStr">
        <is>
          <t>Doug Smith</t>
        </is>
      </c>
      <c r="D584" s="636" t="inlineStr">
        <is>
          <t>SVP Franchise Development ← MIKE'S WARM PATH</t>
        </is>
      </c>
      <c r="E584" s="639" t="inlineStr">
        <is>
          <t>Status Change</t>
        </is>
      </c>
      <c r="F584" s="636" t="inlineStr">
        <is>
          <t>Looks like Doug may have just left belfor</t>
        </is>
      </c>
      <c r="G584" s="636" t="inlineStr">
        <is>
          <t>Verify status before any outreach</t>
        </is>
      </c>
      <c r="H584" s="636" t="inlineStr">
        <is>
          <t>Verify</t>
        </is>
      </c>
      <c r="I584" s="636" t="inlineStr">
        <is>
          <t>Mike</t>
        </is>
      </c>
    </row>
    <row r="585" ht="32" customHeight="1" s="435">
      <c r="A585" s="636" t="inlineStr">
        <is>
          <t>BELFOR</t>
        </is>
      </c>
      <c r="B585" s="636" t="inlineStr">
        <is>
          <t>BluSky</t>
        </is>
      </c>
      <c r="C585" s="637" t="inlineStr">
        <is>
          <t>Mark Minasian</t>
        </is>
      </c>
      <c r="D585" s="636" t="inlineStr">
        <is>
          <t>CEO (NEW Sept 2025)</t>
        </is>
      </c>
      <c r="E585" s="640" t="inlineStr">
        <is>
          <t>Data Gap</t>
        </is>
      </c>
      <c r="F585" s="636" t="inlineStr">
        <is>
          <t>I could not find a linked in address</t>
        </is>
      </c>
      <c r="G585" s="636" t="inlineStr">
        <is>
          <t>Alternate engagement path needed (brand page, event, etc.)</t>
        </is>
      </c>
      <c r="H585" s="636" t="inlineStr">
        <is>
          <t>Workaround</t>
        </is>
      </c>
      <c r="I585" s="636" t="inlineStr">
        <is>
          <t>Mike</t>
        </is>
      </c>
    </row>
    <row r="586" ht="32" customHeight="1" s="435">
      <c r="A586" s="636" t="inlineStr">
        <is>
          <t>EMPOWER BRANDS</t>
        </is>
      </c>
      <c r="B586" s="636" t="inlineStr">
        <is>
          <t>Canopy Lawn Care</t>
        </is>
      </c>
      <c r="C586" s="637" t="inlineStr">
        <is>
          <t>Ben Wright</t>
        </is>
      </c>
      <c r="D586" s="636" t="inlineStr">
        <is>
          <t>Brand President &amp; COO</t>
        </is>
      </c>
      <c r="E586" s="638" t="inlineStr">
        <is>
          <t>Warm Path</t>
        </is>
      </c>
      <c r="F586" s="636" t="inlineStr">
        <is>
          <t>I will be working an angle to get connected through existing relationships</t>
        </is>
      </c>
      <c r="G586" s="636" t="inlineStr">
        <is>
          <t>Sequence warm intro through identified connection</t>
        </is>
      </c>
      <c r="H586" s="636" t="inlineStr">
        <is>
          <t>In Progress</t>
        </is>
      </c>
      <c r="I586" s="636" t="inlineStr">
        <is>
          <t>Mike</t>
        </is>
      </c>
    </row>
    <row r="587" ht="32" customHeight="1" s="435">
      <c r="A587" s="636" t="inlineStr">
        <is>
          <t>EMPOWER BRANDS</t>
        </is>
      </c>
      <c r="B587" s="636" t="inlineStr">
        <is>
          <t>Canopy Lawn Care</t>
        </is>
      </c>
      <c r="C587" s="637" t="inlineStr">
        <is>
          <t>Hunt Davis</t>
        </is>
      </c>
      <c r="D587" s="636" t="inlineStr">
        <is>
          <t>CEO/Founder</t>
        </is>
      </c>
      <c r="E587" s="638" t="inlineStr">
        <is>
          <t>Warm Path</t>
        </is>
      </c>
      <c r="F587" s="636" t="inlineStr">
        <is>
          <t>I will be working an angle to get connected through existing relationships</t>
        </is>
      </c>
      <c r="G587" s="636" t="inlineStr">
        <is>
          <t>Sequence warm intro through identified connection</t>
        </is>
      </c>
      <c r="H587" s="636" t="inlineStr">
        <is>
          <t>In Progress</t>
        </is>
      </c>
      <c r="I587" s="636" t="inlineStr">
        <is>
          <t>Mike</t>
        </is>
      </c>
    </row>
    <row r="588" ht="32" customHeight="1" s="435">
      <c r="A588" s="636" t="inlineStr">
        <is>
          <t>EMPOWER BRANDS</t>
        </is>
      </c>
      <c r="B588" s="636" t="inlineStr">
        <is>
          <t>Corporate / Conserva Founder</t>
        </is>
      </c>
      <c r="C588" s="637" t="inlineStr">
        <is>
          <t>Russ Jundt</t>
        </is>
      </c>
      <c r="D588" s="636" t="inlineStr">
        <is>
          <t xml:space="preserve">Pres National Accounts &amp; Residential Home Service </t>
        </is>
      </c>
      <c r="E588" s="639" t="inlineStr">
        <is>
          <t>Status Change</t>
        </is>
      </c>
      <c r="F588" s="636" t="inlineStr">
        <is>
          <t>Retired</t>
        </is>
      </c>
      <c r="G588" s="636" t="inlineStr">
        <is>
          <t>Verify status before any outreach</t>
        </is>
      </c>
      <c r="H588" s="636" t="inlineStr">
        <is>
          <t>Verify</t>
        </is>
      </c>
      <c r="I588" s="636" t="inlineStr">
        <is>
          <t>Mike</t>
        </is>
      </c>
    </row>
    <row r="589" ht="32" customHeight="1" s="435">
      <c r="A589" s="636" t="inlineStr">
        <is>
          <t>HOMEFRONT BRANDS</t>
        </is>
      </c>
      <c r="B589" s="636" t="inlineStr">
        <is>
          <t>Corporate</t>
        </is>
      </c>
      <c r="C589" s="637" t="inlineStr">
        <is>
          <t>Jeff Dudan</t>
        </is>
      </c>
      <c r="D589" s="636" t="inlineStr">
        <is>
          <t>Chairman &amp; CEO</t>
        </is>
      </c>
      <c r="E589" s="638" t="inlineStr">
        <is>
          <t>Warm Path</t>
        </is>
      </c>
      <c r="F589" s="636" t="inlineStr">
        <is>
          <t>I will try and work an App State angle to introduce myself.</t>
        </is>
      </c>
      <c r="G589" s="636" t="inlineStr">
        <is>
          <t>Sequence warm intro through identified connection</t>
        </is>
      </c>
      <c r="H589" s="636" t="inlineStr">
        <is>
          <t>In Progress</t>
        </is>
      </c>
      <c r="I589" s="636" t="inlineStr">
        <is>
          <t>Mike</t>
        </is>
      </c>
    </row>
    <row r="590" ht="32" customHeight="1" s="435">
      <c r="A590" s="636" t="inlineStr">
        <is>
          <t>HOMEFRONT BRANDS</t>
        </is>
      </c>
      <c r="B590" s="636" t="inlineStr">
        <is>
          <t>Corporate</t>
        </is>
      </c>
      <c r="C590" s="637" t="inlineStr">
        <is>
          <t>Michael O'Driscoll</t>
        </is>
      </c>
      <c r="D590" s="636" t="inlineStr">
        <is>
          <t>COO &amp; President of Franchising</t>
        </is>
      </c>
      <c r="E590" s="638" t="inlineStr">
        <is>
          <t>Warm Path</t>
        </is>
      </c>
      <c r="F590" s="636" t="inlineStr">
        <is>
          <t>I have an old colleague from New Zealand that appears to have a relationship here.</t>
        </is>
      </c>
      <c r="G590" s="636" t="inlineStr">
        <is>
          <t>Sequence warm intro through identified connection</t>
        </is>
      </c>
      <c r="H590" s="636" t="inlineStr">
        <is>
          <t>In Progress</t>
        </is>
      </c>
      <c r="I590" s="636" t="inlineStr">
        <is>
          <t>Mike</t>
        </is>
      </c>
    </row>
    <row r="591" ht="32" customHeight="1" s="435">
      <c r="A591" s="636" t="inlineStr">
        <is>
          <t>HOMEFRONT BRANDS</t>
        </is>
      </c>
      <c r="B591" s="636" t="inlineStr">
        <is>
          <t>Window Gang (HomeFront-side)</t>
        </is>
      </c>
      <c r="C591" s="637" t="inlineStr">
        <is>
          <t>Tim McCullen</t>
        </is>
      </c>
      <c r="D591" s="636" t="inlineStr">
        <is>
          <t>Founder &amp; Brand President</t>
        </is>
      </c>
      <c r="E591" s="638" t="inlineStr">
        <is>
          <t>Warm Path</t>
        </is>
      </c>
      <c r="F591" s="636" t="inlineStr">
        <is>
          <t>checking but I believe I have a connection with Tim.</t>
        </is>
      </c>
      <c r="G591" s="636" t="inlineStr">
        <is>
          <t>Sequence warm intro through identified connection</t>
        </is>
      </c>
      <c r="H591" s="636" t="inlineStr">
        <is>
          <t>In Progress</t>
        </is>
      </c>
      <c r="I591" s="636" t="inlineStr">
        <is>
          <t>Mike</t>
        </is>
      </c>
    </row>
    <row r="592" ht="32" customHeight="1" s="435">
      <c r="A592" s="636" t="inlineStr">
        <is>
          <t>HOMEFRONT BRANDS</t>
        </is>
      </c>
      <c r="B592" s="636" t="inlineStr">
        <is>
          <t>Corporate</t>
        </is>
      </c>
      <c r="C592" s="637" t="inlineStr">
        <is>
          <t>Mike Dudan</t>
        </is>
      </c>
      <c r="D592" s="636" t="inlineStr">
        <is>
          <t>CFO</t>
        </is>
      </c>
      <c r="E592" s="641" t="inlineStr">
        <is>
          <t>Org Intel</t>
        </is>
      </c>
      <c r="F592" s="636" t="inlineStr">
        <is>
          <t>It appears Jeff, Zack and Mike are brothers.</t>
        </is>
      </c>
      <c r="G592" s="636" t="inlineStr">
        <is>
          <t>Use as context for outreach approach</t>
        </is>
      </c>
      <c r="H592" s="636" t="inlineStr">
        <is>
          <t>Logged</t>
        </is>
      </c>
      <c r="I592" s="636" t="inlineStr">
        <is>
          <t>Mike</t>
        </is>
      </c>
    </row>
    <row r="593" ht="32" customHeight="1" s="435">
      <c r="A593" s="636" t="inlineStr">
        <is>
          <t>NEIGHBORLY</t>
        </is>
      </c>
      <c r="B593" s="636" t="inlineStr">
        <is>
          <t>Corporate</t>
        </is>
      </c>
      <c r="C593" s="637" t="inlineStr">
        <is>
          <t>Mike Davis</t>
        </is>
      </c>
      <c r="D593" s="636" t="inlineStr">
        <is>
          <t>CEO (joined July 2024)</t>
        </is>
      </c>
      <c r="E593" s="638" t="inlineStr">
        <is>
          <t>Warm Path</t>
        </is>
      </c>
      <c r="F593" s="636" t="inlineStr">
        <is>
          <t>I have a 1st connection with a former colleague I will investigate.</t>
        </is>
      </c>
      <c r="G593" s="636" t="inlineStr">
        <is>
          <t>Sequence warm intro through identified connection</t>
        </is>
      </c>
      <c r="H593" s="636" t="inlineStr">
        <is>
          <t>In Progress</t>
        </is>
      </c>
      <c r="I593" s="636" t="inlineStr">
        <is>
          <t>Mike</t>
        </is>
      </c>
    </row>
    <row r="594" ht="32" customHeight="1" s="435">
      <c r="A594" s="636" t="inlineStr">
        <is>
          <t>NEIGHBORLY</t>
        </is>
      </c>
      <c r="B594" s="636" t="inlineStr">
        <is>
          <t>Corporate</t>
        </is>
      </c>
      <c r="C594" s="637" t="inlineStr">
        <is>
          <t>Benjamin Lamb</t>
        </is>
      </c>
      <c r="D594" s="636" t="inlineStr">
        <is>
          <t>CFO (joined May 2025)</t>
        </is>
      </c>
      <c r="E594" s="639" t="inlineStr">
        <is>
          <t>Status Change</t>
        </is>
      </c>
      <c r="F594" s="636" t="inlineStr">
        <is>
          <t>It appears Ben moved Feb. 2026.</t>
        </is>
      </c>
      <c r="G594" s="636" t="inlineStr">
        <is>
          <t>Verify status before any outreach</t>
        </is>
      </c>
      <c r="H594" s="636" t="inlineStr">
        <is>
          <t>Verify</t>
        </is>
      </c>
      <c r="I594" s="636" t="inlineStr">
        <is>
          <t>Mike</t>
        </is>
      </c>
    </row>
    <row r="595" ht="32" customHeight="1" s="435">
      <c r="A595" s="636" t="inlineStr">
        <is>
          <t>NEIGHBORLY</t>
        </is>
      </c>
      <c r="B595" s="636" t="inlineStr">
        <is>
          <t>Glass Doctor (prior)</t>
        </is>
      </c>
      <c r="C595" s="637" t="inlineStr">
        <is>
          <t>Brad Roberson</t>
        </is>
      </c>
      <c r="D595" s="636" t="inlineStr">
        <is>
          <t xml:space="preserve">PRIOR President — LEFT Sept 2025 for Fastest Labs </t>
        </is>
      </c>
      <c r="E595" s="639" t="inlineStr">
        <is>
          <t>Status Change</t>
        </is>
      </c>
      <c r="F595" s="636" t="inlineStr">
        <is>
          <t>It appears Brad may of just left business this March 2026</t>
        </is>
      </c>
      <c r="G595" s="636" t="inlineStr">
        <is>
          <t>Verify status before any outreach</t>
        </is>
      </c>
      <c r="H595" s="636" t="inlineStr">
        <is>
          <t>Verify</t>
        </is>
      </c>
      <c r="I595" s="636" t="inlineStr">
        <is>
          <t>Mike</t>
        </is>
      </c>
    </row>
    <row r="596" ht="32" customHeight="1" s="435">
      <c r="A596" s="636" t="inlineStr">
        <is>
          <t>RESIBRANDS</t>
        </is>
      </c>
      <c r="B596" s="636" t="inlineStr">
        <is>
          <t>Corporate (co-owner since 2024)</t>
        </is>
      </c>
      <c r="C596" s="637" t="inlineStr">
        <is>
          <t>Codie Sanchez</t>
        </is>
      </c>
      <c r="D596" s="636" t="inlineStr">
        <is>
          <t>Co-Owner</t>
        </is>
      </c>
      <c r="E596" s="638" t="inlineStr">
        <is>
          <t>Warm Path</t>
        </is>
      </c>
      <c r="F596" s="636" t="inlineStr">
        <is>
          <t>I will work this ange.  I have a business colleague that is a 1st link to Codie.</t>
        </is>
      </c>
      <c r="G596" s="636" t="inlineStr">
        <is>
          <t>Sequence warm intro through identified connection</t>
        </is>
      </c>
      <c r="H596" s="636" t="inlineStr">
        <is>
          <t>In Progress</t>
        </is>
      </c>
      <c r="I596" s="636" t="inlineStr">
        <is>
          <t>Mike</t>
        </is>
      </c>
    </row>
    <row r="597" ht="32" customHeight="1" s="435">
      <c r="A597" s="636" t="inlineStr">
        <is>
          <t>RESIBRANDS</t>
        </is>
      </c>
      <c r="B597" s="636" t="inlineStr">
        <is>
          <t>Corporate / That 1 Painter</t>
        </is>
      </c>
      <c r="C597" s="637" t="inlineStr">
        <is>
          <t>Steven Montgomery</t>
        </is>
      </c>
      <c r="D597" s="636" t="inlineStr">
        <is>
          <t>Founder &amp; CEO</t>
        </is>
      </c>
      <c r="E597" s="638" t="inlineStr">
        <is>
          <t>Warm Path</t>
        </is>
      </c>
      <c r="F597" s="636" t="inlineStr">
        <is>
          <t>I have a mutual connection.  Investigating</t>
        </is>
      </c>
      <c r="G597" s="636" t="inlineStr">
        <is>
          <t>Sequence warm intro through identified connection</t>
        </is>
      </c>
      <c r="H597" s="636" t="inlineStr">
        <is>
          <t>In Progress</t>
        </is>
      </c>
      <c r="I597" s="636" t="inlineStr">
        <is>
          <t>Mike</t>
        </is>
      </c>
    </row>
    <row r="598" ht="32" customHeight="1" s="435">
      <c r="A598" s="636" t="inlineStr">
        <is>
          <t>RESIBRANDS</t>
        </is>
      </c>
      <c r="B598" s="636" t="inlineStr">
        <is>
          <t>Pink's Window Services</t>
        </is>
      </c>
      <c r="C598" s="637" t="inlineStr">
        <is>
          <t>Carter Smith</t>
        </is>
      </c>
      <c r="D598" s="636" t="inlineStr">
        <is>
          <t>Co-Founder</t>
        </is>
      </c>
      <c r="E598" s="642" t="inlineStr">
        <is>
          <t>Team Assignment</t>
        </is>
      </c>
      <c r="F598" s="636" t="inlineStr">
        <is>
          <t>Garrett-  this looks like your guy.</t>
        </is>
      </c>
      <c r="G598" s="636" t="inlineStr">
        <is>
          <t>Garrett to investigate connection</t>
        </is>
      </c>
      <c r="H598" s="636" t="inlineStr">
        <is>
          <t>Pending</t>
        </is>
      </c>
      <c r="I598" s="636" t="inlineStr">
        <is>
          <t>Garrett</t>
        </is>
      </c>
    </row>
    <row r="599" ht="32" customHeight="1" s="435">
      <c r="A599" s="636" t="inlineStr">
        <is>
          <t>THRESHOLD BRANDS</t>
        </is>
      </c>
      <c r="B599" s="636" t="inlineStr">
        <is>
          <t>Granite Garage Floors</t>
        </is>
      </c>
      <c r="C599" s="637" t="inlineStr">
        <is>
          <t>Bryan McMurray</t>
        </is>
      </c>
      <c r="D599" s="636" t="inlineStr">
        <is>
          <t>Brand President</t>
        </is>
      </c>
      <c r="E599" s="642" t="inlineStr">
        <is>
          <t>Team Assignment</t>
        </is>
      </c>
      <c r="F599" s="636" t="inlineStr">
        <is>
          <t>Charles: Typical ASU grad starting at Massage Envy</t>
        </is>
      </c>
      <c r="G599" s="636" t="inlineStr">
        <is>
          <t>Charles to investigate connection</t>
        </is>
      </c>
      <c r="H599" s="636" t="inlineStr">
        <is>
          <t>Pending</t>
        </is>
      </c>
      <c r="I599" s="636" t="inlineStr">
        <is>
          <t>Charles</t>
        </is>
      </c>
    </row>
    <row r="601" ht="28" customHeight="1" s="435">
      <c r="A601" s="643" t="inlineStr">
        <is>
          <t>📊 Summary: 20 intel records  ·  Mike actively pursuing 12 warm paths  ·  4 status changes flagged for verification  ·  2 team assignments queued</t>
        </is>
      </c>
    </row>
  </sheetData>
  <mergeCells count="1007">
    <mergeCell ref="E225:H225"/>
    <mergeCell ref="D535:E535"/>
    <mergeCell ref="D473:E473"/>
    <mergeCell ref="D355:I355"/>
    <mergeCell ref="D189:F189"/>
    <mergeCell ref="D293:I293"/>
    <mergeCell ref="A257:B257"/>
    <mergeCell ref="A335:I335"/>
    <mergeCell ref="D423:E423"/>
    <mergeCell ref="D472:E472"/>
    <mergeCell ref="E368:I368"/>
    <mergeCell ref="D410:E410"/>
    <mergeCell ref="C234:D234"/>
    <mergeCell ref="E227:H227"/>
    <mergeCell ref="B53:D53"/>
    <mergeCell ref="A436:D436"/>
    <mergeCell ref="B504:C504"/>
    <mergeCell ref="G412:I412"/>
    <mergeCell ref="B441:C441"/>
    <mergeCell ref="A309:I309"/>
    <mergeCell ref="B533:C533"/>
    <mergeCell ref="A126:I126"/>
    <mergeCell ref="A540:D540"/>
    <mergeCell ref="B505:C505"/>
    <mergeCell ref="E544:F544"/>
    <mergeCell ref="B499:C499"/>
    <mergeCell ref="A267:B267"/>
    <mergeCell ref="D505:E505"/>
    <mergeCell ref="D499:E499"/>
    <mergeCell ref="G535:I535"/>
    <mergeCell ref="D344:I344"/>
    <mergeCell ref="D426:E426"/>
    <mergeCell ref="D486:E486"/>
    <mergeCell ref="G510:I510"/>
    <mergeCell ref="G448:I448"/>
    <mergeCell ref="B376:C376"/>
    <mergeCell ref="D376:E376"/>
    <mergeCell ref="E88:H88"/>
    <mergeCell ref="A269:B269"/>
    <mergeCell ref="G537:I537"/>
    <mergeCell ref="B308:I308"/>
    <mergeCell ref="A360:D360"/>
    <mergeCell ref="E180:H180"/>
    <mergeCell ref="D563:E563"/>
    <mergeCell ref="G512:I512"/>
    <mergeCell ref="A262:B262"/>
    <mergeCell ref="D190:F190"/>
    <mergeCell ref="E278:G278"/>
    <mergeCell ref="B310:I310"/>
    <mergeCell ref="C237:D237"/>
    <mergeCell ref="G270:H270"/>
    <mergeCell ref="E365:I365"/>
    <mergeCell ref="E222:H222"/>
    <mergeCell ref="E522:F522"/>
    <mergeCell ref="B390:C390"/>
    <mergeCell ref="C239:D239"/>
    <mergeCell ref="D185:F185"/>
    <mergeCell ref="A330:I330"/>
    <mergeCell ref="E524:F524"/>
    <mergeCell ref="B454:C454"/>
    <mergeCell ref="D479:E479"/>
    <mergeCell ref="B326:I326"/>
    <mergeCell ref="B429:C429"/>
    <mergeCell ref="B500:C500"/>
    <mergeCell ref="A443:I443"/>
    <mergeCell ref="E246:H246"/>
    <mergeCell ref="A210:I210"/>
    <mergeCell ref="G419:I419"/>
    <mergeCell ref="B465:C465"/>
    <mergeCell ref="B494:C494"/>
    <mergeCell ref="A153:B153"/>
    <mergeCell ref="E233:H233"/>
    <mergeCell ref="D494:E494"/>
    <mergeCell ref="D292:I292"/>
    <mergeCell ref="D556:E556"/>
    <mergeCell ref="B305:I305"/>
    <mergeCell ref="G369:I369"/>
    <mergeCell ref="D357:I357"/>
    <mergeCell ref="B431:C431"/>
    <mergeCell ref="G418:I418"/>
    <mergeCell ref="D493:E493"/>
    <mergeCell ref="D431:E431"/>
    <mergeCell ref="G527:I527"/>
    <mergeCell ref="E248:H248"/>
    <mergeCell ref="D558:E558"/>
    <mergeCell ref="D474:E474"/>
    <mergeCell ref="C242:D242"/>
    <mergeCell ref="E235:H235"/>
    <mergeCell ref="D294:I294"/>
    <mergeCell ref="G433:I433"/>
    <mergeCell ref="B495:C495"/>
    <mergeCell ref="D188:F188"/>
    <mergeCell ref="E247:H247"/>
    <mergeCell ref="G420:I420"/>
    <mergeCell ref="G525:I525"/>
    <mergeCell ref="D411:E411"/>
    <mergeCell ref="A63:I63"/>
    <mergeCell ref="D482:E482"/>
    <mergeCell ref="C244:D244"/>
    <mergeCell ref="D358:I358"/>
    <mergeCell ref="E250:F250"/>
    <mergeCell ref="G250:H250"/>
    <mergeCell ref="A92:I92"/>
    <mergeCell ref="B447:C447"/>
    <mergeCell ref="A572:D572"/>
    <mergeCell ref="A566:D566"/>
    <mergeCell ref="A279:I279"/>
    <mergeCell ref="A366:D366"/>
    <mergeCell ref="B150:D150"/>
    <mergeCell ref="B384:C384"/>
    <mergeCell ref="A300:I300"/>
    <mergeCell ref="B444:C444"/>
    <mergeCell ref="B378:C378"/>
    <mergeCell ref="B449:C449"/>
    <mergeCell ref="D378:E378"/>
    <mergeCell ref="E90:H90"/>
    <mergeCell ref="D536:E536"/>
    <mergeCell ref="E251:F251"/>
    <mergeCell ref="B152:D152"/>
    <mergeCell ref="G551:I551"/>
    <mergeCell ref="B386:C386"/>
    <mergeCell ref="B442:C442"/>
    <mergeCell ref="A183:I183"/>
    <mergeCell ref="A270:B270"/>
    <mergeCell ref="D442:E442"/>
    <mergeCell ref="D502:E502"/>
    <mergeCell ref="G538:I538"/>
    <mergeCell ref="D429:E429"/>
    <mergeCell ref="B181:D181"/>
    <mergeCell ref="D379:E379"/>
    <mergeCell ref="B311:I311"/>
    <mergeCell ref="B87:D87"/>
    <mergeCell ref="B460:C460"/>
    <mergeCell ref="G515:I515"/>
    <mergeCell ref="B381:C381"/>
    <mergeCell ref="A271:B271"/>
    <mergeCell ref="D406:E406"/>
    <mergeCell ref="E223:H223"/>
    <mergeCell ref="E265:F265"/>
    <mergeCell ref="G408:I408"/>
    <mergeCell ref="A546:D546"/>
    <mergeCell ref="A521:D521"/>
    <mergeCell ref="D470:E470"/>
    <mergeCell ref="B51:D51"/>
    <mergeCell ref="G423:I423"/>
    <mergeCell ref="G410:I410"/>
    <mergeCell ref="B491:C491"/>
    <mergeCell ref="G439:I439"/>
    <mergeCell ref="A523:D523"/>
    <mergeCell ref="A367:D367"/>
    <mergeCell ref="D501:E501"/>
    <mergeCell ref="G531:I531"/>
    <mergeCell ref="D495:E495"/>
    <mergeCell ref="B397:C397"/>
    <mergeCell ref="B506:C506"/>
    <mergeCell ref="B555:C555"/>
    <mergeCell ref="G370:I370"/>
    <mergeCell ref="G441:I441"/>
    <mergeCell ref="G497:I497"/>
    <mergeCell ref="A148:I148"/>
    <mergeCell ref="D432:E432"/>
    <mergeCell ref="E249:H249"/>
    <mergeCell ref="B316:I316"/>
    <mergeCell ref="E149:H149"/>
    <mergeCell ref="G533:I533"/>
    <mergeCell ref="E176:H176"/>
    <mergeCell ref="A156:B156"/>
    <mergeCell ref="A291:C291"/>
    <mergeCell ref="D559:E559"/>
    <mergeCell ref="G434:I434"/>
    <mergeCell ref="G470:I470"/>
    <mergeCell ref="A258:B258"/>
    <mergeCell ref="B94:C94"/>
    <mergeCell ref="D496:E496"/>
    <mergeCell ref="E258:F258"/>
    <mergeCell ref="D417:E417"/>
    <mergeCell ref="E178:H178"/>
    <mergeCell ref="C245:D245"/>
    <mergeCell ref="G436:I436"/>
    <mergeCell ref="E543:F543"/>
    <mergeCell ref="A574:D574"/>
    <mergeCell ref="A266:B266"/>
    <mergeCell ref="D498:E498"/>
    <mergeCell ref="A260:B260"/>
    <mergeCell ref="G528:I528"/>
    <mergeCell ref="G251:H251"/>
    <mergeCell ref="A158:I158"/>
    <mergeCell ref="G465:I465"/>
    <mergeCell ref="E545:F545"/>
    <mergeCell ref="E259:F259"/>
    <mergeCell ref="D284:I284"/>
    <mergeCell ref="B475:C475"/>
    <mergeCell ref="E253:F253"/>
    <mergeCell ref="D527:E527"/>
    <mergeCell ref="G388:I388"/>
    <mergeCell ref="G253:H253"/>
    <mergeCell ref="B450:C450"/>
    <mergeCell ref="A569:D569"/>
    <mergeCell ref="A331:I331"/>
    <mergeCell ref="A141:I141"/>
    <mergeCell ref="B387:C387"/>
    <mergeCell ref="D387:E387"/>
    <mergeCell ref="B514:C514"/>
    <mergeCell ref="A97:I97"/>
    <mergeCell ref="D381:E381"/>
    <mergeCell ref="B452:C452"/>
    <mergeCell ref="D514:E514"/>
    <mergeCell ref="E540:F540"/>
    <mergeCell ref="E546:F546"/>
    <mergeCell ref="B550:C550"/>
    <mergeCell ref="B89:D89"/>
    <mergeCell ref="A199:I199"/>
    <mergeCell ref="G254:H254"/>
    <mergeCell ref="G383:I383"/>
    <mergeCell ref="D380:E380"/>
    <mergeCell ref="G389:I389"/>
    <mergeCell ref="A435:I435"/>
    <mergeCell ref="B451:C451"/>
    <mergeCell ref="G454:I454"/>
    <mergeCell ref="D445:E445"/>
    <mergeCell ref="G554:I554"/>
    <mergeCell ref="D516:E516"/>
    <mergeCell ref="D290:I290"/>
    <mergeCell ref="D94:I94"/>
    <mergeCell ref="B481:C481"/>
    <mergeCell ref="B304:I304"/>
    <mergeCell ref="G385:I385"/>
    <mergeCell ref="G185:I185"/>
    <mergeCell ref="D382:E382"/>
    <mergeCell ref="G483:I483"/>
    <mergeCell ref="D354:I354"/>
    <mergeCell ref="B90:D90"/>
    <mergeCell ref="G458:I458"/>
    <mergeCell ref="B463:C463"/>
    <mergeCell ref="E245:H245"/>
    <mergeCell ref="A287:C287"/>
    <mergeCell ref="G449:I449"/>
    <mergeCell ref="D511:E511"/>
    <mergeCell ref="D356:I356"/>
    <mergeCell ref="F156:I156"/>
    <mergeCell ref="E280:G280"/>
    <mergeCell ref="B507:C507"/>
    <mergeCell ref="A519:I519"/>
    <mergeCell ref="B179:D179"/>
    <mergeCell ref="G559:I559"/>
    <mergeCell ref="A154:I154"/>
    <mergeCell ref="G534:I534"/>
    <mergeCell ref="E125:H125"/>
    <mergeCell ref="A285:I285"/>
    <mergeCell ref="B400:C400"/>
    <mergeCell ref="D400:E400"/>
    <mergeCell ref="A306:I306"/>
    <mergeCell ref="E242:H242"/>
    <mergeCell ref="D565:E565"/>
    <mergeCell ref="A577:I577"/>
    <mergeCell ref="D375:E375"/>
    <mergeCell ref="D369:E369"/>
    <mergeCell ref="G267:H267"/>
    <mergeCell ref="G536:I536"/>
    <mergeCell ref="B402:C402"/>
    <mergeCell ref="B377:C377"/>
    <mergeCell ref="D377:E377"/>
    <mergeCell ref="E261:F261"/>
    <mergeCell ref="E181:H181"/>
    <mergeCell ref="G550:I550"/>
    <mergeCell ref="A517:D517"/>
    <mergeCell ref="A295:I295"/>
    <mergeCell ref="B476:C476"/>
    <mergeCell ref="E567:F567"/>
    <mergeCell ref="D451:E451"/>
    <mergeCell ref="G473:I473"/>
    <mergeCell ref="B478:C478"/>
    <mergeCell ref="E256:F256"/>
    <mergeCell ref="G391:I391"/>
    <mergeCell ref="G256:H256"/>
    <mergeCell ref="G562:I562"/>
    <mergeCell ref="B453:C453"/>
    <mergeCell ref="B502:C502"/>
    <mergeCell ref="A169:I169"/>
    <mergeCell ref="E276:H276"/>
    <mergeCell ref="D453:E453"/>
    <mergeCell ref="G518:I518"/>
    <mergeCell ref="B558:C558"/>
    <mergeCell ref="B564:C564"/>
    <mergeCell ref="E264:F264"/>
    <mergeCell ref="G455:I455"/>
    <mergeCell ref="G504:I504"/>
    <mergeCell ref="B482:C482"/>
    <mergeCell ref="D95:I95"/>
    <mergeCell ref="G547:I547"/>
    <mergeCell ref="B553:C553"/>
    <mergeCell ref="G392:I392"/>
    <mergeCell ref="G257:H257"/>
    <mergeCell ref="A177:I177"/>
    <mergeCell ref="G386:I386"/>
    <mergeCell ref="G186:I186"/>
    <mergeCell ref="G457:I457"/>
    <mergeCell ref="D388:E388"/>
    <mergeCell ref="G484:I484"/>
    <mergeCell ref="D448:E448"/>
    <mergeCell ref="A281:B281"/>
    <mergeCell ref="B320:I320"/>
    <mergeCell ref="G394:I394"/>
    <mergeCell ref="G499:I499"/>
    <mergeCell ref="D561:E561"/>
    <mergeCell ref="D390:E390"/>
    <mergeCell ref="G486:I486"/>
    <mergeCell ref="A298:I298"/>
    <mergeCell ref="C274:D274"/>
    <mergeCell ref="B548:C548"/>
    <mergeCell ref="D548:E548"/>
    <mergeCell ref="B471:C471"/>
    <mergeCell ref="A290:C290"/>
    <mergeCell ref="C153:E153"/>
    <mergeCell ref="A282:B282"/>
    <mergeCell ref="A327:I327"/>
    <mergeCell ref="B337:C337"/>
    <mergeCell ref="B408:C408"/>
    <mergeCell ref="E54:G54"/>
    <mergeCell ref="A324:I324"/>
    <mergeCell ref="B124:D124"/>
    <mergeCell ref="B535:C535"/>
    <mergeCell ref="B464:C464"/>
    <mergeCell ref="A288:C288"/>
    <mergeCell ref="D402:E402"/>
    <mergeCell ref="D464:E464"/>
    <mergeCell ref="E283:G283"/>
    <mergeCell ref="B352:C352"/>
    <mergeCell ref="B423:C423"/>
    <mergeCell ref="B472:C472"/>
    <mergeCell ref="G404:I404"/>
    <mergeCell ref="G269:H269"/>
    <mergeCell ref="D401:E401"/>
    <mergeCell ref="E56:G56"/>
    <mergeCell ref="B410:C410"/>
    <mergeCell ref="B466:C466"/>
    <mergeCell ref="D466:E466"/>
    <mergeCell ref="G379:I379"/>
    <mergeCell ref="D182:F182"/>
    <mergeCell ref="D286:I286"/>
    <mergeCell ref="B218:D218"/>
    <mergeCell ref="A328:I328"/>
    <mergeCell ref="B403:C403"/>
    <mergeCell ref="G468:I468"/>
    <mergeCell ref="D403:E403"/>
    <mergeCell ref="B501:C501"/>
    <mergeCell ref="C156:E156"/>
    <mergeCell ref="E220:H220"/>
    <mergeCell ref="G387:I387"/>
    <mergeCell ref="B497:C497"/>
    <mergeCell ref="G381:I381"/>
    <mergeCell ref="D530:E530"/>
    <mergeCell ref="G552:I552"/>
    <mergeCell ref="G405:I405"/>
    <mergeCell ref="A543:D543"/>
    <mergeCell ref="C229:D229"/>
    <mergeCell ref="D532:E532"/>
    <mergeCell ref="G445:I445"/>
    <mergeCell ref="B355:C355"/>
    <mergeCell ref="G543:I543"/>
    <mergeCell ref="G481:I481"/>
    <mergeCell ref="D507:E507"/>
    <mergeCell ref="A545:D545"/>
    <mergeCell ref="E124:H124"/>
    <mergeCell ref="G189:I189"/>
    <mergeCell ref="B492:C492"/>
    <mergeCell ref="D492:E492"/>
    <mergeCell ref="D337:I337"/>
    <mergeCell ref="B357:C357"/>
    <mergeCell ref="B528:C528"/>
    <mergeCell ref="B96:C96"/>
    <mergeCell ref="E439:F439"/>
    <mergeCell ref="B503:C503"/>
    <mergeCell ref="A297:I297"/>
    <mergeCell ref="G555:I555"/>
    <mergeCell ref="B350:C350"/>
    <mergeCell ref="B421:C421"/>
    <mergeCell ref="G505:I505"/>
    <mergeCell ref="B396:C396"/>
    <mergeCell ref="A312:I312"/>
    <mergeCell ref="G570:I570"/>
    <mergeCell ref="D396:E396"/>
    <mergeCell ref="A255:B255"/>
    <mergeCell ref="D456:E456"/>
    <mergeCell ref="B358:C358"/>
    <mergeCell ref="E151:H151"/>
    <mergeCell ref="G557:I557"/>
    <mergeCell ref="D414:E414"/>
    <mergeCell ref="G263:H263"/>
    <mergeCell ref="G507:I507"/>
    <mergeCell ref="E123:H123"/>
    <mergeCell ref="B398:C398"/>
    <mergeCell ref="E150:H150"/>
    <mergeCell ref="D460:E460"/>
    <mergeCell ref="D398:E398"/>
    <mergeCell ref="D454:E454"/>
    <mergeCell ref="H278:I278"/>
    <mergeCell ref="D416:E416"/>
    <mergeCell ref="G444:I444"/>
    <mergeCell ref="G571:I571"/>
    <mergeCell ref="E360:I360"/>
    <mergeCell ref="G565:I565"/>
    <mergeCell ref="D391:E391"/>
    <mergeCell ref="E152:H152"/>
    <mergeCell ref="B187:C187"/>
    <mergeCell ref="B485:C485"/>
    <mergeCell ref="E517:F517"/>
    <mergeCell ref="G502:I502"/>
    <mergeCell ref="B189:C189"/>
    <mergeCell ref="B180:D180"/>
    <mergeCell ref="B493:C493"/>
    <mergeCell ref="B487:C487"/>
    <mergeCell ref="B343:C343"/>
    <mergeCell ref="D487:E487"/>
    <mergeCell ref="B474:C474"/>
    <mergeCell ref="B188:C188"/>
    <mergeCell ref="E51:G51"/>
    <mergeCell ref="D350:I350"/>
    <mergeCell ref="B424:C424"/>
    <mergeCell ref="B351:C351"/>
    <mergeCell ref="D480:E480"/>
    <mergeCell ref="B411:C411"/>
    <mergeCell ref="B345:C345"/>
    <mergeCell ref="G476:I476"/>
    <mergeCell ref="B516:C516"/>
    <mergeCell ref="D467:E467"/>
    <mergeCell ref="D551:E551"/>
    <mergeCell ref="E228:H228"/>
    <mergeCell ref="G184:I184"/>
    <mergeCell ref="D287:I287"/>
    <mergeCell ref="B190:C190"/>
    <mergeCell ref="G426:I426"/>
    <mergeCell ref="D538:E538"/>
    <mergeCell ref="B488:C488"/>
    <mergeCell ref="D352:I352"/>
    <mergeCell ref="G413:I413"/>
    <mergeCell ref="D91:I91"/>
    <mergeCell ref="A250:B250"/>
    <mergeCell ref="B301:I301"/>
    <mergeCell ref="G407:I407"/>
    <mergeCell ref="E243:H243"/>
    <mergeCell ref="B409:C409"/>
    <mergeCell ref="D409:E409"/>
    <mergeCell ref="D488:E488"/>
    <mergeCell ref="D469:E469"/>
    <mergeCell ref="D351:I351"/>
    <mergeCell ref="D289:I289"/>
    <mergeCell ref="D444:E444"/>
    <mergeCell ref="D419:E419"/>
    <mergeCell ref="B346:C346"/>
    <mergeCell ref="G415:I415"/>
    <mergeCell ref="D93:I93"/>
    <mergeCell ref="G471:I471"/>
    <mergeCell ref="G520:I520"/>
    <mergeCell ref="C230:D230"/>
    <mergeCell ref="D533:E533"/>
    <mergeCell ref="G495:I495"/>
    <mergeCell ref="G482:I482"/>
    <mergeCell ref="C238:D238"/>
    <mergeCell ref="A318:I318"/>
    <mergeCell ref="E438:F438"/>
    <mergeCell ref="C232:D232"/>
    <mergeCell ref="A112:I112"/>
    <mergeCell ref="D564:E564"/>
    <mergeCell ref="G546:I546"/>
    <mergeCell ref="A541:I541"/>
    <mergeCell ref="D485:E485"/>
    <mergeCell ref="A127:I127"/>
    <mergeCell ref="B379:C379"/>
    <mergeCell ref="A263:B263"/>
    <mergeCell ref="E221:H221"/>
    <mergeCell ref="B422:C422"/>
    <mergeCell ref="D422:E422"/>
    <mergeCell ref="E271:F271"/>
    <mergeCell ref="G271:H271"/>
    <mergeCell ref="A191:I191"/>
    <mergeCell ref="C233:D233"/>
    <mergeCell ref="G265:H265"/>
    <mergeCell ref="B372:C372"/>
    <mergeCell ref="D372:E372"/>
    <mergeCell ref="A549:I549"/>
    <mergeCell ref="B122:D122"/>
    <mergeCell ref="A265:B265"/>
    <mergeCell ref="D338:I338"/>
    <mergeCell ref="D424:E424"/>
    <mergeCell ref="G508:I508"/>
    <mergeCell ref="E241:H241"/>
    <mergeCell ref="B296:I296"/>
    <mergeCell ref="A315:I315"/>
    <mergeCell ref="B374:C374"/>
    <mergeCell ref="D399:E399"/>
    <mergeCell ref="B399:C399"/>
    <mergeCell ref="E571:F571"/>
    <mergeCell ref="G573:I573"/>
    <mergeCell ref="G414:I414"/>
    <mergeCell ref="D340:I340"/>
    <mergeCell ref="G401:I401"/>
    <mergeCell ref="A252:I252"/>
    <mergeCell ref="G572:I572"/>
    <mergeCell ref="G466:I466"/>
    <mergeCell ref="D463:E463"/>
    <mergeCell ref="E218:H218"/>
    <mergeCell ref="D555:E555"/>
    <mergeCell ref="G416:I416"/>
    <mergeCell ref="G403:I403"/>
    <mergeCell ref="G268:H268"/>
    <mergeCell ref="B513:C513"/>
    <mergeCell ref="G574:I574"/>
    <mergeCell ref="G432:I432"/>
    <mergeCell ref="B322:I322"/>
    <mergeCell ref="B425:C425"/>
    <mergeCell ref="G428:I428"/>
    <mergeCell ref="A135:I135"/>
    <mergeCell ref="H281:I281"/>
    <mergeCell ref="E518:F518"/>
    <mergeCell ref="D490:E490"/>
    <mergeCell ref="G526:I526"/>
    <mergeCell ref="A333:I333"/>
    <mergeCell ref="D477:E477"/>
    <mergeCell ref="E234:H234"/>
    <mergeCell ref="D353:I353"/>
    <mergeCell ref="B427:C427"/>
    <mergeCell ref="G463:I463"/>
    <mergeCell ref="A251:B251"/>
    <mergeCell ref="G492:I492"/>
    <mergeCell ref="B354:C354"/>
    <mergeCell ref="E244:H244"/>
    <mergeCell ref="B348:C348"/>
    <mergeCell ref="E520:F520"/>
    <mergeCell ref="B419:C419"/>
    <mergeCell ref="D554:E554"/>
    <mergeCell ref="E366:I366"/>
    <mergeCell ref="E231:H231"/>
    <mergeCell ref="E236:H236"/>
    <mergeCell ref="B317:I317"/>
    <mergeCell ref="A39:I39"/>
    <mergeCell ref="G429:I429"/>
    <mergeCell ref="A259:B259"/>
    <mergeCell ref="A567:D567"/>
    <mergeCell ref="D491:E491"/>
    <mergeCell ref="A253:B253"/>
    <mergeCell ref="B456:C456"/>
    <mergeCell ref="G421:I421"/>
    <mergeCell ref="G521:I521"/>
    <mergeCell ref="D412:E412"/>
    <mergeCell ref="E229:H229"/>
    <mergeCell ref="C240:D240"/>
    <mergeCell ref="A438:D438"/>
    <mergeCell ref="G431:I431"/>
    <mergeCell ref="B319:I319"/>
    <mergeCell ref="D186:F186"/>
    <mergeCell ref="A339:I339"/>
    <mergeCell ref="G523:I523"/>
    <mergeCell ref="D476:E476"/>
    <mergeCell ref="G498:I498"/>
    <mergeCell ref="A440:D440"/>
    <mergeCell ref="C248:D248"/>
    <mergeCell ref="B380:C380"/>
    <mergeCell ref="A439:D439"/>
    <mergeCell ref="C235:D235"/>
    <mergeCell ref="A433:D433"/>
    <mergeCell ref="D374:E374"/>
    <mergeCell ref="B445:C445"/>
    <mergeCell ref="B432:C432"/>
    <mergeCell ref="B88:D88"/>
    <mergeCell ref="B537:C537"/>
    <mergeCell ref="A192:I192"/>
    <mergeCell ref="G376:I376"/>
    <mergeCell ref="B382:C382"/>
    <mergeCell ref="G447:I447"/>
    <mergeCell ref="B509:C509"/>
    <mergeCell ref="D509:E509"/>
    <mergeCell ref="G539:I539"/>
    <mergeCell ref="A362:D362"/>
    <mergeCell ref="D425:E425"/>
    <mergeCell ref="G378:I378"/>
    <mergeCell ref="B551:C551"/>
    <mergeCell ref="G501:I501"/>
    <mergeCell ref="G188:I188"/>
    <mergeCell ref="A268:B268"/>
    <mergeCell ref="D347:I347"/>
    <mergeCell ref="G182:I182"/>
    <mergeCell ref="D465:E465"/>
    <mergeCell ref="G424:I424"/>
    <mergeCell ref="D489:E489"/>
    <mergeCell ref="D427:E427"/>
    <mergeCell ref="B532:C532"/>
    <mergeCell ref="B538:C538"/>
    <mergeCell ref="E367:I367"/>
    <mergeCell ref="B299:I299"/>
    <mergeCell ref="G411:I411"/>
    <mergeCell ref="G442:I442"/>
    <mergeCell ref="A52:I52"/>
    <mergeCell ref="G467:I467"/>
    <mergeCell ref="D504:E504"/>
    <mergeCell ref="D349:I349"/>
    <mergeCell ref="B85:D85"/>
    <mergeCell ref="B314:I314"/>
    <mergeCell ref="G453:I453"/>
    <mergeCell ref="B563:C563"/>
    <mergeCell ref="B515:C515"/>
    <mergeCell ref="E87:H87"/>
    <mergeCell ref="A364:D364"/>
    <mergeCell ref="G406:I406"/>
    <mergeCell ref="A568:I568"/>
    <mergeCell ref="B565:C565"/>
    <mergeCell ref="B95:C95"/>
    <mergeCell ref="B418:C418"/>
    <mergeCell ref="A334:I334"/>
    <mergeCell ref="A1:I1"/>
    <mergeCell ref="B356:C356"/>
    <mergeCell ref="B393:C393"/>
    <mergeCell ref="D393:E393"/>
    <mergeCell ref="D418:E418"/>
    <mergeCell ref="B527:C527"/>
    <mergeCell ref="G437:I437"/>
    <mergeCell ref="B325:I325"/>
    <mergeCell ref="D359:I359"/>
    <mergeCell ref="A205:I205"/>
    <mergeCell ref="A261:B261"/>
    <mergeCell ref="B420:C420"/>
    <mergeCell ref="B395:C395"/>
    <mergeCell ref="D420:E420"/>
    <mergeCell ref="E237:H237"/>
    <mergeCell ref="B370:C370"/>
    <mergeCell ref="G422:I422"/>
    <mergeCell ref="A273:I273"/>
    <mergeCell ref="D497:E497"/>
    <mergeCell ref="E254:F254"/>
    <mergeCell ref="D413:E413"/>
    <mergeCell ref="D484:E484"/>
    <mergeCell ref="B184:C184"/>
    <mergeCell ref="E239:H239"/>
    <mergeCell ref="A256:B256"/>
    <mergeCell ref="D428:E428"/>
    <mergeCell ref="G524:I524"/>
    <mergeCell ref="E238:H238"/>
    <mergeCell ref="D415:E415"/>
    <mergeCell ref="A368:D368"/>
    <mergeCell ref="A264:B264"/>
    <mergeCell ref="G384:I384"/>
    <mergeCell ref="C247:D247"/>
    <mergeCell ref="B446:C446"/>
    <mergeCell ref="D446:E446"/>
    <mergeCell ref="E539:F539"/>
    <mergeCell ref="A570:D570"/>
    <mergeCell ref="E257:F257"/>
    <mergeCell ref="B388:C388"/>
    <mergeCell ref="B510:C510"/>
    <mergeCell ref="B448:C448"/>
    <mergeCell ref="D510:E510"/>
    <mergeCell ref="G513:I513"/>
    <mergeCell ref="A363:D363"/>
    <mergeCell ref="C272:D272"/>
    <mergeCell ref="B375:C375"/>
    <mergeCell ref="G478:I478"/>
    <mergeCell ref="G450:I450"/>
    <mergeCell ref="B490:C490"/>
    <mergeCell ref="A280:B280"/>
    <mergeCell ref="D441:E441"/>
    <mergeCell ref="D512:E512"/>
    <mergeCell ref="B477:C477"/>
    <mergeCell ref="G425:I425"/>
    <mergeCell ref="B313:I313"/>
    <mergeCell ref="A365:D365"/>
    <mergeCell ref="D506:E506"/>
    <mergeCell ref="G542:I542"/>
    <mergeCell ref="B149:D149"/>
    <mergeCell ref="A571:D571"/>
    <mergeCell ref="B220:D220"/>
    <mergeCell ref="G517:I517"/>
    <mergeCell ref="D481:E481"/>
    <mergeCell ref="B383:C383"/>
    <mergeCell ref="G452:I452"/>
    <mergeCell ref="B554:C554"/>
    <mergeCell ref="D383:E383"/>
    <mergeCell ref="G479:I479"/>
    <mergeCell ref="E89:H89"/>
    <mergeCell ref="D370:E370"/>
    <mergeCell ref="E267:F267"/>
    <mergeCell ref="G544:I544"/>
    <mergeCell ref="B151:D151"/>
    <mergeCell ref="B302:I302"/>
    <mergeCell ref="G494:I494"/>
    <mergeCell ref="C275:D275"/>
    <mergeCell ref="E269:F269"/>
    <mergeCell ref="B401:C401"/>
    <mergeCell ref="E120:H120"/>
    <mergeCell ref="E440:F440"/>
    <mergeCell ref="G456:I456"/>
    <mergeCell ref="A578:I578"/>
    <mergeCell ref="A525:D525"/>
    <mergeCell ref="C231:D231"/>
    <mergeCell ref="A86:I86"/>
    <mergeCell ref="E262:F262"/>
    <mergeCell ref="G397:I397"/>
    <mergeCell ref="G262:H262"/>
    <mergeCell ref="B459:C459"/>
    <mergeCell ref="A518:D518"/>
    <mergeCell ref="D459:E459"/>
    <mergeCell ref="B530:C530"/>
    <mergeCell ref="G372:I372"/>
    <mergeCell ref="A437:D437"/>
    <mergeCell ref="A321:I321"/>
    <mergeCell ref="B470:C470"/>
    <mergeCell ref="B461:C461"/>
    <mergeCell ref="G380:I380"/>
    <mergeCell ref="D461:E461"/>
    <mergeCell ref="A520:D520"/>
    <mergeCell ref="G374:I374"/>
    <mergeCell ref="B559:C559"/>
    <mergeCell ref="B534:C534"/>
    <mergeCell ref="D534:E534"/>
    <mergeCell ref="E240:H240"/>
    <mergeCell ref="B373:C373"/>
    <mergeCell ref="G438:I438"/>
    <mergeCell ref="D373:E373"/>
    <mergeCell ref="G474:I474"/>
    <mergeCell ref="D500:E500"/>
    <mergeCell ref="G530:I530"/>
    <mergeCell ref="B536:C536"/>
    <mergeCell ref="G375:I375"/>
    <mergeCell ref="C224:D224"/>
    <mergeCell ref="A226:I226"/>
    <mergeCell ref="B556:C556"/>
    <mergeCell ref="G440:I440"/>
    <mergeCell ref="A434:D434"/>
    <mergeCell ref="G532:I532"/>
    <mergeCell ref="E255:F255"/>
    <mergeCell ref="A70:I70"/>
    <mergeCell ref="G255:H255"/>
    <mergeCell ref="B561:C561"/>
    <mergeCell ref="D96:I96"/>
    <mergeCell ref="B414:C414"/>
    <mergeCell ref="G469:I469"/>
    <mergeCell ref="B91:C91"/>
    <mergeCell ref="D288:I288"/>
    <mergeCell ref="E263:F263"/>
    <mergeCell ref="B389:C389"/>
    <mergeCell ref="G563:I563"/>
    <mergeCell ref="D389:E389"/>
    <mergeCell ref="E179:H179"/>
    <mergeCell ref="E542:F542"/>
    <mergeCell ref="A573:D573"/>
    <mergeCell ref="B416:C416"/>
    <mergeCell ref="B93:C93"/>
    <mergeCell ref="G451:I451"/>
    <mergeCell ref="G556:I556"/>
    <mergeCell ref="B391:C391"/>
    <mergeCell ref="B562:C562"/>
    <mergeCell ref="B385:C385"/>
    <mergeCell ref="D447:E447"/>
    <mergeCell ref="D385:E385"/>
    <mergeCell ref="B323:I323"/>
    <mergeCell ref="G493:I493"/>
    <mergeCell ref="A2:I2"/>
    <mergeCell ref="G393:I393"/>
    <mergeCell ref="G564:I564"/>
    <mergeCell ref="G558:I558"/>
    <mergeCell ref="D384:E384"/>
    <mergeCell ref="A283:B283"/>
    <mergeCell ref="A361:I361"/>
    <mergeCell ref="E272:H272"/>
    <mergeCell ref="D449:E449"/>
    <mergeCell ref="G545:I545"/>
    <mergeCell ref="C277:D277"/>
    <mergeCell ref="B547:C547"/>
    <mergeCell ref="D386:E386"/>
    <mergeCell ref="C276:D276"/>
    <mergeCell ref="D557:E557"/>
    <mergeCell ref="B182:C182"/>
    <mergeCell ref="D513:E513"/>
    <mergeCell ref="E270:F270"/>
    <mergeCell ref="A293:C293"/>
    <mergeCell ref="B467:C467"/>
    <mergeCell ref="C155:E155"/>
    <mergeCell ref="A526:D526"/>
    <mergeCell ref="A278:B278"/>
    <mergeCell ref="D343:I343"/>
    <mergeCell ref="B338:C338"/>
    <mergeCell ref="E570:F570"/>
    <mergeCell ref="B54:D54"/>
    <mergeCell ref="B469:C469"/>
    <mergeCell ref="B125:D125"/>
    <mergeCell ref="A284:C284"/>
    <mergeCell ref="B496:C496"/>
    <mergeCell ref="D531:E531"/>
    <mergeCell ref="G382:I382"/>
    <mergeCell ref="D345:I345"/>
    <mergeCell ref="G400:I400"/>
    <mergeCell ref="B406:C406"/>
    <mergeCell ref="F153:I153"/>
    <mergeCell ref="B340:C340"/>
    <mergeCell ref="E434:F434"/>
    <mergeCell ref="B56:D56"/>
    <mergeCell ref="B462:C462"/>
    <mergeCell ref="D462:E462"/>
    <mergeCell ref="B498:C498"/>
    <mergeCell ref="G446:I446"/>
    <mergeCell ref="B511:C511"/>
    <mergeCell ref="B176:D176"/>
    <mergeCell ref="B560:C560"/>
    <mergeCell ref="D560:E560"/>
    <mergeCell ref="D508:E508"/>
    <mergeCell ref="G464:I464"/>
    <mergeCell ref="G402:I402"/>
    <mergeCell ref="B404:C404"/>
    <mergeCell ref="G190:I190"/>
    <mergeCell ref="B120:D120"/>
    <mergeCell ref="D404:E404"/>
    <mergeCell ref="G500:I500"/>
    <mergeCell ref="G377:I377"/>
    <mergeCell ref="D562:E562"/>
    <mergeCell ref="E85:H85"/>
    <mergeCell ref="G540:I540"/>
    <mergeCell ref="D397:E397"/>
    <mergeCell ref="B147:D147"/>
    <mergeCell ref="A105:I105"/>
    <mergeCell ref="C225:D225"/>
    <mergeCell ref="G490:I490"/>
    <mergeCell ref="D528:E528"/>
    <mergeCell ref="B552:C552"/>
    <mergeCell ref="G477:I477"/>
    <mergeCell ref="D503:E503"/>
    <mergeCell ref="E436:F436"/>
    <mergeCell ref="E433:F433"/>
    <mergeCell ref="C227:D227"/>
    <mergeCell ref="B353:C353"/>
    <mergeCell ref="E525:F525"/>
    <mergeCell ref="B480:C480"/>
    <mergeCell ref="A539:D539"/>
    <mergeCell ref="E122:H122"/>
    <mergeCell ref="G258:H258"/>
    <mergeCell ref="B455:C455"/>
    <mergeCell ref="A371:I371"/>
    <mergeCell ref="B430:C430"/>
    <mergeCell ref="D455:E455"/>
    <mergeCell ref="D430:E430"/>
    <mergeCell ref="A165:I165"/>
    <mergeCell ref="A336:I336"/>
    <mergeCell ref="B417:C417"/>
    <mergeCell ref="A529:I529"/>
    <mergeCell ref="E266:F266"/>
    <mergeCell ref="A10:I10"/>
    <mergeCell ref="E260:F260"/>
    <mergeCell ref="G266:H266"/>
    <mergeCell ref="A289:C289"/>
    <mergeCell ref="G260:H260"/>
    <mergeCell ref="B186:C186"/>
    <mergeCell ref="B392:C392"/>
    <mergeCell ref="D392:E392"/>
    <mergeCell ref="G395:I395"/>
    <mergeCell ref="E147:H147"/>
    <mergeCell ref="B457:C457"/>
    <mergeCell ref="D457:E457"/>
    <mergeCell ref="E274:H274"/>
    <mergeCell ref="G553:I553"/>
    <mergeCell ref="G259:H259"/>
    <mergeCell ref="D475:E475"/>
    <mergeCell ref="G503:I503"/>
    <mergeCell ref="B394:C394"/>
    <mergeCell ref="G459:I459"/>
    <mergeCell ref="D394:E394"/>
    <mergeCell ref="D450:E450"/>
    <mergeCell ref="B486:C486"/>
    <mergeCell ref="B557:C557"/>
    <mergeCell ref="G396:I396"/>
    <mergeCell ref="G261:H261"/>
    <mergeCell ref="A155:B155"/>
    <mergeCell ref="G390:I390"/>
    <mergeCell ref="B458:C458"/>
    <mergeCell ref="G461:I461"/>
    <mergeCell ref="G561:I561"/>
    <mergeCell ref="G488:I488"/>
    <mergeCell ref="G567:I567"/>
    <mergeCell ref="E275:H275"/>
    <mergeCell ref="D452:E452"/>
    <mergeCell ref="G548:I548"/>
    <mergeCell ref="D550:E550"/>
    <mergeCell ref="A292:C292"/>
    <mergeCell ref="A286:C286"/>
    <mergeCell ref="B185:C185"/>
    <mergeCell ref="G373:I373"/>
    <mergeCell ref="B483:C483"/>
    <mergeCell ref="A542:D542"/>
    <mergeCell ref="A294:C294"/>
    <mergeCell ref="G187:I187"/>
    <mergeCell ref="D346:I346"/>
    <mergeCell ref="G485:I485"/>
    <mergeCell ref="B178:D178"/>
    <mergeCell ref="B347:C347"/>
    <mergeCell ref="G472:I472"/>
    <mergeCell ref="B341:C341"/>
    <mergeCell ref="B512:C512"/>
    <mergeCell ref="A57:I57"/>
    <mergeCell ref="B412:C412"/>
    <mergeCell ref="B468:C468"/>
    <mergeCell ref="A544:D544"/>
    <mergeCell ref="D468:E468"/>
    <mergeCell ref="D547:E547"/>
    <mergeCell ref="E573:F573"/>
    <mergeCell ref="D184:F184"/>
    <mergeCell ref="A32:I32"/>
    <mergeCell ref="A303:I303"/>
    <mergeCell ref="D348:I348"/>
    <mergeCell ref="B484:C484"/>
    <mergeCell ref="E281:G281"/>
    <mergeCell ref="A219:I219"/>
    <mergeCell ref="G487:I487"/>
    <mergeCell ref="D478:E478"/>
    <mergeCell ref="B405:C405"/>
    <mergeCell ref="G514:I514"/>
    <mergeCell ref="A601:I601"/>
    <mergeCell ref="D405:E405"/>
    <mergeCell ref="E437:F437"/>
    <mergeCell ref="B222:D222"/>
    <mergeCell ref="A332:I332"/>
    <mergeCell ref="B342:C342"/>
    <mergeCell ref="G516:I516"/>
    <mergeCell ref="B407:C407"/>
    <mergeCell ref="B123:D123"/>
    <mergeCell ref="D407:E407"/>
    <mergeCell ref="E224:H224"/>
    <mergeCell ref="B221:D221"/>
    <mergeCell ref="E282:G282"/>
    <mergeCell ref="G409:I409"/>
    <mergeCell ref="C241:D241"/>
    <mergeCell ref="C228:D228"/>
    <mergeCell ref="D187:F187"/>
    <mergeCell ref="A522:D522"/>
    <mergeCell ref="E526:F526"/>
    <mergeCell ref="B359:C359"/>
    <mergeCell ref="C243:D243"/>
    <mergeCell ref="E268:F268"/>
    <mergeCell ref="E572:F572"/>
    <mergeCell ref="E566:F566"/>
    <mergeCell ref="B369:C369"/>
    <mergeCell ref="A524:D524"/>
    <mergeCell ref="B489:C489"/>
    <mergeCell ref="D341:I341"/>
    <mergeCell ref="D483:E483"/>
    <mergeCell ref="F155:I155"/>
    <mergeCell ref="E574:F574"/>
    <mergeCell ref="D458:E458"/>
    <mergeCell ref="B531:C531"/>
    <mergeCell ref="B473:C473"/>
    <mergeCell ref="G460:I460"/>
    <mergeCell ref="G509:I509"/>
    <mergeCell ref="G398:I398"/>
    <mergeCell ref="G569:I569"/>
    <mergeCell ref="G496:I496"/>
    <mergeCell ref="H280:I280"/>
    <mergeCell ref="E277:H277"/>
    <mergeCell ref="D342:I342"/>
    <mergeCell ref="B307:I307"/>
    <mergeCell ref="G475:I475"/>
    <mergeCell ref="D552:E552"/>
    <mergeCell ref="C246:D246"/>
    <mergeCell ref="B508:C508"/>
    <mergeCell ref="E362:I362"/>
    <mergeCell ref="G462:I462"/>
    <mergeCell ref="G511:I511"/>
    <mergeCell ref="G489:I489"/>
    <mergeCell ref="D537:E537"/>
    <mergeCell ref="G427:I427"/>
    <mergeCell ref="G560:I560"/>
    <mergeCell ref="E569:F569"/>
    <mergeCell ref="H282:I282"/>
    <mergeCell ref="G566:I566"/>
    <mergeCell ref="G399:I399"/>
    <mergeCell ref="G264:H264"/>
    <mergeCell ref="C236:D236"/>
    <mergeCell ref="E364:I364"/>
    <mergeCell ref="B55:D55"/>
    <mergeCell ref="D395:E395"/>
    <mergeCell ref="G491:I491"/>
    <mergeCell ref="D553:E553"/>
    <mergeCell ref="B349:C349"/>
    <mergeCell ref="E363:I363"/>
    <mergeCell ref="E521:F521"/>
    <mergeCell ref="A121:I121"/>
    <mergeCell ref="G506:I506"/>
    <mergeCell ref="E53:G53"/>
    <mergeCell ref="H283:I283"/>
    <mergeCell ref="B426:C426"/>
    <mergeCell ref="A254:B254"/>
    <mergeCell ref="G522:I522"/>
    <mergeCell ref="B413:C413"/>
    <mergeCell ref="A329:I329"/>
    <mergeCell ref="E523:F523"/>
    <mergeCell ref="E230:H230"/>
    <mergeCell ref="E55:G55"/>
    <mergeCell ref="B428:C428"/>
    <mergeCell ref="B344:C344"/>
    <mergeCell ref="B415:C415"/>
    <mergeCell ref="G480:I480"/>
    <mergeCell ref="D515:E515"/>
    <mergeCell ref="D471:E471"/>
    <mergeCell ref="E232:H232"/>
    <mergeCell ref="D291:I291"/>
    <mergeCell ref="G430:I430"/>
    <mergeCell ref="B223:D223"/>
    <mergeCell ref="D421:E421"/>
    <mergeCell ref="G417:I417"/>
    <mergeCell ref="C249:D249"/>
    <mergeCell ref="B479:C479"/>
    <mergeCell ref="D408:E40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2026-04-14T13:50:37Z</dcterms:created>
  <dcterms:modified xmlns:dcterms="http://purl.org/dc/terms/" xmlns:xsi="http://www.w3.org/2001/XMLSchema-instance" xsi:type="dcterms:W3CDTF">2026-05-04T20:37:22Z</dcterms:modified>
  <cp:lastModifiedBy>Michael Flynt</cp:lastModifiedBy>
  <cp:revision>0</cp:revision>
</cp:coreProperties>
</file>